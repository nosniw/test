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drawings/drawing24.xml" ContentType="application/vnd.openxmlformats-officedocument.drawing+xml"/>
  <Override PartName="/xl/comments24.xml" ContentType="application/vnd.openxmlformats-officedocument.spreadsheetml.comments+xml"/>
  <Override PartName="/xl/drawings/drawing25.xml" ContentType="application/vnd.openxmlformats-officedocument.drawing+xml"/>
  <Override PartName="/xl/comments25.xml" ContentType="application/vnd.openxmlformats-officedocument.spreadsheetml.comments+xml"/>
  <Override PartName="/xl/drawings/drawing26.xml" ContentType="application/vnd.openxmlformats-officedocument.drawing+xml"/>
  <Override PartName="/xl/comments26.xml" ContentType="application/vnd.openxmlformats-officedocument.spreadsheetml.comments+xml"/>
  <Override PartName="/xl/drawings/drawing27.xml" ContentType="application/vnd.openxmlformats-officedocument.drawing+xml"/>
  <Override PartName="/xl/comments27.xml" ContentType="application/vnd.openxmlformats-officedocument.spreadsheetml.comments+xml"/>
  <Override PartName="/xl/drawings/drawing28.xml" ContentType="application/vnd.openxmlformats-officedocument.drawing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Airport Common Drive\SDT\SDT\00 - DO flight Inform\SDT daily flight sheet\2025\"/>
    </mc:Choice>
  </mc:AlternateContent>
  <bookViews>
    <workbookView xWindow="-15" yWindow="-15" windowWidth="19230" windowHeight="11745" tabRatio="885" activeTab="8"/>
  </bookViews>
  <sheets>
    <sheet name="01" sheetId="3066" r:id="rId1"/>
    <sheet name="02" sheetId="3067" r:id="rId2"/>
    <sheet name="03" sheetId="3068" r:id="rId3"/>
    <sheet name="04" sheetId="3069" r:id="rId4"/>
    <sheet name="05" sheetId="3070" r:id="rId5"/>
    <sheet name="06" sheetId="3071" r:id="rId6"/>
    <sheet name="07" sheetId="3072" r:id="rId7"/>
    <sheet name="08" sheetId="3074" r:id="rId8"/>
    <sheet name="09" sheetId="3075" r:id="rId9"/>
    <sheet name="10" sheetId="3076" r:id="rId10"/>
    <sheet name="11" sheetId="3073" r:id="rId11"/>
    <sheet name="12" sheetId="3077" r:id="rId12"/>
    <sheet name="13" sheetId="3078" r:id="rId13"/>
    <sheet name="14" sheetId="3079" r:id="rId14"/>
    <sheet name="15" sheetId="3080" r:id="rId15"/>
    <sheet name="16" sheetId="3081" r:id="rId16"/>
    <sheet name="17" sheetId="3082" r:id="rId17"/>
    <sheet name="18" sheetId="3083" r:id="rId18"/>
    <sheet name="19" sheetId="3084" r:id="rId19"/>
    <sheet name="20" sheetId="3085" r:id="rId20"/>
    <sheet name="21" sheetId="3086" r:id="rId21"/>
    <sheet name="22" sheetId="3087" r:id="rId22"/>
    <sheet name="23" sheetId="3088" r:id="rId23"/>
    <sheet name="24" sheetId="3089" r:id="rId24"/>
    <sheet name="25" sheetId="3090" r:id="rId25"/>
    <sheet name="26" sheetId="3091" r:id="rId26"/>
    <sheet name="27" sheetId="3092" r:id="rId27"/>
    <sheet name="SAMPLE" sheetId="3063" r:id="rId28"/>
    <sheet name="Flight" sheetId="3062" r:id="rId29"/>
    <sheet name="Shift" sheetId="3064" r:id="rId30"/>
    <sheet name="Staff" sheetId="3065" r:id="rId31"/>
  </sheets>
  <externalReferences>
    <externalReference r:id="rId32"/>
    <externalReference r:id="rId33"/>
  </externalReferences>
  <definedNames>
    <definedName name="_xlnm._FilterDatabase" localSheetId="28" hidden="1">Flight!$A$1:$E$98</definedName>
    <definedName name="_xlnm.Print_Area" localSheetId="0">'01'!$A$1:$M$54</definedName>
    <definedName name="_xlnm.Print_Area" localSheetId="1">'02'!$A$1:$M$55</definedName>
    <definedName name="_xlnm.Print_Area" localSheetId="2">'03'!$A$1:$M$55</definedName>
    <definedName name="_xlnm.Print_Area" localSheetId="3">'04'!$A$1:$M$54</definedName>
    <definedName name="_xlnm.Print_Area" localSheetId="4">'05'!$A$1:$M$57</definedName>
    <definedName name="_xlnm.Print_Area" localSheetId="5">'06'!$A$1:$M$56</definedName>
    <definedName name="_xlnm.Print_Area" localSheetId="6">'07'!$A$1:$M$56</definedName>
    <definedName name="_xlnm.Print_Area" localSheetId="7">'08'!$A$1:$M$54</definedName>
    <definedName name="_xlnm.Print_Area" localSheetId="8">'09'!$A$1:$M$57</definedName>
    <definedName name="_xlnm.Print_Area" localSheetId="9">'10'!$A$1:$M$52</definedName>
    <definedName name="_xlnm.Print_Area" localSheetId="10">'11'!$A$1:$M$56</definedName>
    <definedName name="_xlnm.Print_Area" localSheetId="11">'12'!$A$1:$M$57</definedName>
    <definedName name="_xlnm.Print_Area" localSheetId="12">'13'!$A$1:$M$56</definedName>
    <definedName name="_xlnm.Print_Area" localSheetId="13">'14'!$A$1:$M$54</definedName>
    <definedName name="_xlnm.Print_Area" localSheetId="14">'15'!$A$1:$M$55</definedName>
    <definedName name="_xlnm.Print_Area" localSheetId="15">'16'!$A$1:$M$56</definedName>
    <definedName name="_xlnm.Print_Area" localSheetId="16">'17'!$A$1:$M$54</definedName>
    <definedName name="_xlnm.Print_Area" localSheetId="17">'18'!$A$1:$M$54</definedName>
    <definedName name="_xlnm.Print_Area" localSheetId="18">'19'!$A$1:$M$54</definedName>
    <definedName name="_xlnm.Print_Area" localSheetId="19">'20'!$A$1:$M$56</definedName>
    <definedName name="_xlnm.Print_Area" localSheetId="20">'21'!$A$1:$M$56</definedName>
    <definedName name="_xlnm.Print_Area" localSheetId="21">'22'!$A$1:$M$55</definedName>
    <definedName name="_xlnm.Print_Area" localSheetId="22">'23'!$A$1:$M$56</definedName>
    <definedName name="_xlnm.Print_Area" localSheetId="23">'24'!$A$1:$M$54</definedName>
    <definedName name="_xlnm.Print_Area" localSheetId="24">'25'!$A$1:$M$53</definedName>
    <definedName name="_xlnm.Print_Area" localSheetId="25">'26'!$A$1:$M$55</definedName>
    <definedName name="_xlnm.Print_Area" localSheetId="26">'27'!$A$1:$M$55</definedName>
    <definedName name="_xlnm.Print_Area" localSheetId="27">SAMPLE!$A$1:$M$56</definedName>
  </definedNames>
  <calcPr calcId="162913"/>
</workbook>
</file>

<file path=xl/calcChain.xml><?xml version="1.0" encoding="utf-8"?>
<calcChain xmlns="http://schemas.openxmlformats.org/spreadsheetml/2006/main">
  <c r="K24" i="3075" l="1"/>
  <c r="A29" i="3092" l="1"/>
  <c r="A31" i="3092" s="1"/>
  <c r="A33" i="3092" s="1"/>
  <c r="A35" i="3092" s="1"/>
  <c r="A37" i="3092" s="1"/>
  <c r="A39" i="3092" s="1"/>
  <c r="A41" i="3092" s="1"/>
  <c r="A30" i="3092"/>
  <c r="A32" i="3092" s="1"/>
  <c r="A34" i="3092" s="1"/>
  <c r="A36" i="3092" s="1"/>
  <c r="A38" i="3092" s="1"/>
  <c r="A40" i="3092" s="1"/>
  <c r="E9" i="3092"/>
  <c r="H9" i="3092"/>
  <c r="I9" i="3092"/>
  <c r="J9" i="3092"/>
  <c r="E33" i="3092"/>
  <c r="B33" i="3092" s="1"/>
  <c r="H33" i="3092"/>
  <c r="A31" i="3091"/>
  <c r="G31" i="3091" s="1"/>
  <c r="E31" i="3091"/>
  <c r="B31" i="3091" s="1"/>
  <c r="H31" i="3091"/>
  <c r="A30" i="3090"/>
  <c r="G30" i="3090" s="1"/>
  <c r="E30" i="3090"/>
  <c r="B30" i="3090" s="1"/>
  <c r="H30" i="3090"/>
  <c r="A30" i="3089"/>
  <c r="G30" i="3089" s="1"/>
  <c r="E30" i="3089"/>
  <c r="B30" i="3089" s="1"/>
  <c r="H30" i="3089"/>
  <c r="A32" i="3088"/>
  <c r="G32" i="3088" s="1"/>
  <c r="E32" i="3088"/>
  <c r="B32" i="3088" s="1"/>
  <c r="H32" i="3088"/>
  <c r="A31" i="3087"/>
  <c r="G31" i="3087" s="1"/>
  <c r="E31" i="3087"/>
  <c r="B31" i="3087" s="1"/>
  <c r="H31" i="3087"/>
  <c r="A32" i="3086"/>
  <c r="G32" i="3086" s="1"/>
  <c r="E32" i="3086"/>
  <c r="C32" i="3086" s="1"/>
  <c r="H32" i="3086"/>
  <c r="A33" i="3085"/>
  <c r="G33" i="3085" s="1"/>
  <c r="E33" i="3085"/>
  <c r="C33" i="3085" s="1"/>
  <c r="H33" i="3085"/>
  <c r="A31" i="3084"/>
  <c r="G31" i="3084" s="1"/>
  <c r="E31" i="3084"/>
  <c r="B31" i="3084" s="1"/>
  <c r="H31" i="3084"/>
  <c r="A31" i="3083"/>
  <c r="G31" i="3083" s="1"/>
  <c r="E31" i="3083"/>
  <c r="B31" i="3083" s="1"/>
  <c r="H31" i="3083"/>
  <c r="E29" i="3082"/>
  <c r="H29" i="3082"/>
  <c r="E30" i="3082"/>
  <c r="B30" i="3082" s="1"/>
  <c r="H30" i="3082"/>
  <c r="A30" i="3082"/>
  <c r="G30" i="3082" s="1"/>
  <c r="A32" i="3081"/>
  <c r="G32" i="3081" s="1"/>
  <c r="E32" i="3081"/>
  <c r="B32" i="3081" s="1"/>
  <c r="H32" i="3081"/>
  <c r="E31" i="3080"/>
  <c r="B31" i="3080" s="1"/>
  <c r="G31" i="3080"/>
  <c r="H31" i="3080"/>
  <c r="A31" i="3079"/>
  <c r="G31" i="3079" s="1"/>
  <c r="E31" i="3079"/>
  <c r="B31" i="3079" s="1"/>
  <c r="H31" i="3079"/>
  <c r="I31" i="3079"/>
  <c r="B33" i="3085" l="1"/>
  <c r="C33" i="3092"/>
  <c r="C31" i="3091"/>
  <c r="C30" i="3090"/>
  <c r="C30" i="3089"/>
  <c r="C32" i="3088"/>
  <c r="C31" i="3087"/>
  <c r="B32" i="3086"/>
  <c r="C31" i="3084"/>
  <c r="C31" i="3083"/>
  <c r="C32" i="3081"/>
  <c r="C31" i="3080"/>
  <c r="C31" i="3079"/>
  <c r="E29" i="3089"/>
  <c r="B29" i="3089" s="1"/>
  <c r="H29" i="3089"/>
  <c r="I29" i="3089"/>
  <c r="J29" i="3089"/>
  <c r="B21" i="3089"/>
  <c r="H21" i="3089"/>
  <c r="E9" i="3089"/>
  <c r="H9" i="3089"/>
  <c r="I9" i="3089"/>
  <c r="J9" i="3089"/>
  <c r="E9" i="3087"/>
  <c r="H9" i="3087"/>
  <c r="I9" i="3087"/>
  <c r="J9" i="3087"/>
  <c r="G9" i="3086"/>
  <c r="J9" i="3085"/>
  <c r="J15" i="3082"/>
  <c r="B29" i="3082"/>
  <c r="I15" i="3082"/>
  <c r="H15" i="3082"/>
  <c r="E15" i="3082"/>
  <c r="B15" i="3082" s="1"/>
  <c r="K15" i="3082" s="1"/>
  <c r="E13" i="3082"/>
  <c r="H13" i="3082"/>
  <c r="I13" i="3082"/>
  <c r="J13" i="3082"/>
  <c r="E10" i="3082"/>
  <c r="H10" i="3082"/>
  <c r="E11" i="3082"/>
  <c r="H11" i="3082"/>
  <c r="I11" i="3082"/>
  <c r="J11" i="3082"/>
  <c r="E40" i="3078"/>
  <c r="C29" i="3089" l="1"/>
  <c r="C21" i="3089"/>
  <c r="K14" i="3075"/>
  <c r="K27" i="3074" l="1"/>
  <c r="K29" i="3074" l="1"/>
  <c r="K17" i="3074" l="1"/>
  <c r="K9" i="3074" l="1"/>
  <c r="J36" i="3072" l="1"/>
  <c r="D104" i="3092" l="1"/>
  <c r="D102" i="3092"/>
  <c r="F102" i="3092" s="1"/>
  <c r="D101" i="3092"/>
  <c r="F101" i="3092" s="1"/>
  <c r="D100" i="3092"/>
  <c r="F100" i="3092" s="1"/>
  <c r="D99" i="3092"/>
  <c r="F99" i="3092" s="1"/>
  <c r="D98" i="3092"/>
  <c r="F98" i="3092" s="1"/>
  <c r="D97" i="3092"/>
  <c r="F97" i="3092" s="1"/>
  <c r="D96" i="3092"/>
  <c r="F96" i="3092" s="1"/>
  <c r="D95" i="3092"/>
  <c r="F95" i="3092" s="1"/>
  <c r="D94" i="3092"/>
  <c r="F94" i="3092" s="1"/>
  <c r="D93" i="3092"/>
  <c r="F93" i="3092" s="1"/>
  <c r="D92" i="3092"/>
  <c r="F92" i="3092" s="1"/>
  <c r="D91" i="3092"/>
  <c r="F91" i="3092" s="1"/>
  <c r="D90" i="3092"/>
  <c r="F90" i="3092" s="1"/>
  <c r="D89" i="3092"/>
  <c r="F89" i="3092" s="1"/>
  <c r="D88" i="3092"/>
  <c r="F88" i="3092" s="1"/>
  <c r="D87" i="3092"/>
  <c r="F87" i="3092" s="1"/>
  <c r="D86" i="3092"/>
  <c r="F86" i="3092" s="1"/>
  <c r="D85" i="3092"/>
  <c r="F85" i="3092" s="1"/>
  <c r="D84" i="3092"/>
  <c r="F84" i="3092" s="1"/>
  <c r="D83" i="3092"/>
  <c r="F83" i="3092" s="1"/>
  <c r="D82" i="3092"/>
  <c r="F82" i="3092" s="1"/>
  <c r="D81" i="3092"/>
  <c r="F81" i="3092" s="1"/>
  <c r="I76" i="3092"/>
  <c r="I75" i="3092"/>
  <c r="I74" i="3092"/>
  <c r="I73" i="3092"/>
  <c r="E72" i="3092"/>
  <c r="F72" i="3092" s="1"/>
  <c r="K72" i="3092" s="1"/>
  <c r="E71" i="3092"/>
  <c r="F71" i="3092" s="1"/>
  <c r="K71" i="3092" s="1"/>
  <c r="E70" i="3092"/>
  <c r="E69" i="3092"/>
  <c r="H69" i="3092" s="1"/>
  <c r="E68" i="3092"/>
  <c r="F68" i="3092" s="1"/>
  <c r="K68" i="3092" s="1"/>
  <c r="F67" i="3092"/>
  <c r="K67" i="3092" s="1"/>
  <c r="E67" i="3092"/>
  <c r="I67" i="3092" s="1"/>
  <c r="E66" i="3092"/>
  <c r="E65" i="3092"/>
  <c r="H65" i="3092" s="1"/>
  <c r="E64" i="3092"/>
  <c r="F64" i="3092" s="1"/>
  <c r="K64" i="3092" s="1"/>
  <c r="E63" i="3092"/>
  <c r="H63" i="3092" s="1"/>
  <c r="E62" i="3092"/>
  <c r="E61" i="3092"/>
  <c r="J41" i="3092"/>
  <c r="I41" i="3092"/>
  <c r="H41" i="3092"/>
  <c r="E41" i="3092"/>
  <c r="J40" i="3092"/>
  <c r="I40" i="3092"/>
  <c r="H40" i="3092"/>
  <c r="E40" i="3092"/>
  <c r="J39" i="3092"/>
  <c r="I39" i="3092"/>
  <c r="H39" i="3092"/>
  <c r="E39" i="3092"/>
  <c r="B39" i="3092" s="1"/>
  <c r="K39" i="3092" s="1"/>
  <c r="C39" i="3092" s="1"/>
  <c r="J38" i="3092"/>
  <c r="I38" i="3092"/>
  <c r="H38" i="3092"/>
  <c r="E38" i="3092"/>
  <c r="J37" i="3092"/>
  <c r="I37" i="3092"/>
  <c r="H37" i="3092"/>
  <c r="E37" i="3092"/>
  <c r="J36" i="3092"/>
  <c r="I36" i="3092"/>
  <c r="H36" i="3092"/>
  <c r="E36" i="3092"/>
  <c r="B36" i="3092" s="1"/>
  <c r="K36" i="3092" s="1"/>
  <c r="C36" i="3092" s="1"/>
  <c r="J35" i="3092"/>
  <c r="I35" i="3092"/>
  <c r="H35" i="3092"/>
  <c r="E35" i="3092"/>
  <c r="J34" i="3092"/>
  <c r="I34" i="3092"/>
  <c r="H34" i="3092"/>
  <c r="E34" i="3092"/>
  <c r="J32" i="3092"/>
  <c r="I32" i="3092"/>
  <c r="H32" i="3092"/>
  <c r="E32" i="3092"/>
  <c r="B32" i="3092" s="1"/>
  <c r="K32" i="3092" s="1"/>
  <c r="J31" i="3092"/>
  <c r="I31" i="3092"/>
  <c r="H31" i="3092"/>
  <c r="E31" i="3092"/>
  <c r="B31" i="3092" s="1"/>
  <c r="K31" i="3092" s="1"/>
  <c r="J30" i="3092"/>
  <c r="I30" i="3092"/>
  <c r="H30" i="3092"/>
  <c r="E30" i="3092"/>
  <c r="J29" i="3092"/>
  <c r="I29" i="3092"/>
  <c r="H29" i="3092"/>
  <c r="E29" i="3092"/>
  <c r="J28" i="3092"/>
  <c r="I28" i="3092"/>
  <c r="H28" i="3092"/>
  <c r="E28" i="3092"/>
  <c r="B28" i="3092" s="1"/>
  <c r="K28" i="3092" s="1"/>
  <c r="J27" i="3092"/>
  <c r="I27" i="3092"/>
  <c r="H27" i="3092"/>
  <c r="E27" i="3092"/>
  <c r="J26" i="3092"/>
  <c r="I26" i="3092"/>
  <c r="H26" i="3092"/>
  <c r="E26" i="3092"/>
  <c r="J25" i="3092"/>
  <c r="I25" i="3092"/>
  <c r="H25" i="3092"/>
  <c r="E25" i="3092"/>
  <c r="B25" i="3092" s="1"/>
  <c r="K25" i="3092" s="1"/>
  <c r="J24" i="3092"/>
  <c r="I24" i="3092"/>
  <c r="H24" i="3092"/>
  <c r="E24" i="3092"/>
  <c r="B24" i="3092" s="1"/>
  <c r="K24" i="3092" s="1"/>
  <c r="J23" i="3092"/>
  <c r="I23" i="3092"/>
  <c r="H23" i="3092"/>
  <c r="E23" i="3092"/>
  <c r="J22" i="3092"/>
  <c r="I22" i="3092"/>
  <c r="H22" i="3092"/>
  <c r="E22" i="3092"/>
  <c r="J21" i="3092"/>
  <c r="I21" i="3092"/>
  <c r="H21" i="3092"/>
  <c r="E21" i="3092"/>
  <c r="B21" i="3092" s="1"/>
  <c r="K21" i="3092" s="1"/>
  <c r="J20" i="3092"/>
  <c r="I20" i="3092"/>
  <c r="H20" i="3092"/>
  <c r="E20" i="3092"/>
  <c r="B20" i="3092" s="1"/>
  <c r="K20" i="3092" s="1"/>
  <c r="J19" i="3092"/>
  <c r="I19" i="3092"/>
  <c r="H19" i="3092"/>
  <c r="E19" i="3092"/>
  <c r="J18" i="3092"/>
  <c r="I18" i="3092"/>
  <c r="H18" i="3092"/>
  <c r="E18" i="3092"/>
  <c r="J17" i="3092"/>
  <c r="I17" i="3092"/>
  <c r="H17" i="3092"/>
  <c r="E17" i="3092"/>
  <c r="B17" i="3092" s="1"/>
  <c r="K17" i="3092" s="1"/>
  <c r="J16" i="3092"/>
  <c r="I16" i="3092"/>
  <c r="H16" i="3092"/>
  <c r="E16" i="3092"/>
  <c r="B16" i="3092" s="1"/>
  <c r="K16" i="3092" s="1"/>
  <c r="J15" i="3092"/>
  <c r="I15" i="3092"/>
  <c r="H15" i="3092"/>
  <c r="E15" i="3092"/>
  <c r="J14" i="3092"/>
  <c r="I14" i="3092"/>
  <c r="H14" i="3092"/>
  <c r="E14" i="3092"/>
  <c r="J13" i="3092"/>
  <c r="I13" i="3092"/>
  <c r="H13" i="3092"/>
  <c r="E13" i="3092"/>
  <c r="J12" i="3092"/>
  <c r="I12" i="3092"/>
  <c r="H12" i="3092"/>
  <c r="E12" i="3092"/>
  <c r="J11" i="3092"/>
  <c r="I11" i="3092"/>
  <c r="H11" i="3092"/>
  <c r="E11" i="3092"/>
  <c r="J10" i="3092"/>
  <c r="I10" i="3092"/>
  <c r="H10" i="3092"/>
  <c r="E10" i="3092"/>
  <c r="J8" i="3092"/>
  <c r="I8" i="3092"/>
  <c r="H8" i="3092"/>
  <c r="A8" i="3092"/>
  <c r="G1" i="3092"/>
  <c r="D104" i="3091"/>
  <c r="D102" i="3091"/>
  <c r="F102" i="3091" s="1"/>
  <c r="D101" i="3091"/>
  <c r="F101" i="3091" s="1"/>
  <c r="D100" i="3091"/>
  <c r="F100" i="3091" s="1"/>
  <c r="D99" i="3091"/>
  <c r="F99" i="3091" s="1"/>
  <c r="D98" i="3091"/>
  <c r="F98" i="3091" s="1"/>
  <c r="D97" i="3091"/>
  <c r="F97" i="3091" s="1"/>
  <c r="D96" i="3091"/>
  <c r="F96" i="3091" s="1"/>
  <c r="D95" i="3091"/>
  <c r="F95" i="3091" s="1"/>
  <c r="D94" i="3091"/>
  <c r="F94" i="3091" s="1"/>
  <c r="D93" i="3091"/>
  <c r="F93" i="3091" s="1"/>
  <c r="D92" i="3091"/>
  <c r="F92" i="3091" s="1"/>
  <c r="D91" i="3091"/>
  <c r="F91" i="3091" s="1"/>
  <c r="D90" i="3091"/>
  <c r="F90" i="3091" s="1"/>
  <c r="D89" i="3091"/>
  <c r="F89" i="3091" s="1"/>
  <c r="D88" i="3091"/>
  <c r="F88" i="3091" s="1"/>
  <c r="D87" i="3091"/>
  <c r="F87" i="3091" s="1"/>
  <c r="D86" i="3091"/>
  <c r="F86" i="3091" s="1"/>
  <c r="D85" i="3091"/>
  <c r="F85" i="3091" s="1"/>
  <c r="D84" i="3091"/>
  <c r="F84" i="3091" s="1"/>
  <c r="D83" i="3091"/>
  <c r="F83" i="3091" s="1"/>
  <c r="D82" i="3091"/>
  <c r="F82" i="3091" s="1"/>
  <c r="D81" i="3091"/>
  <c r="F81" i="3091" s="1"/>
  <c r="I76" i="3091"/>
  <c r="I75" i="3091"/>
  <c r="I74" i="3091"/>
  <c r="I73" i="3091"/>
  <c r="E72" i="3091"/>
  <c r="F72" i="3091" s="1"/>
  <c r="K72" i="3091" s="1"/>
  <c r="E71" i="3091"/>
  <c r="G71" i="3091" s="1"/>
  <c r="L71" i="3091" s="1"/>
  <c r="E70" i="3091"/>
  <c r="E69" i="3091"/>
  <c r="G69" i="3091" s="1"/>
  <c r="L69" i="3091" s="1"/>
  <c r="E68" i="3091"/>
  <c r="F68" i="3091" s="1"/>
  <c r="K68" i="3091" s="1"/>
  <c r="E67" i="3091"/>
  <c r="G67" i="3091" s="1"/>
  <c r="L67" i="3091" s="1"/>
  <c r="E66" i="3091"/>
  <c r="E65" i="3091"/>
  <c r="G65" i="3091" s="1"/>
  <c r="L65" i="3091" s="1"/>
  <c r="E64" i="3091"/>
  <c r="F64" i="3091" s="1"/>
  <c r="K64" i="3091" s="1"/>
  <c r="E63" i="3091"/>
  <c r="I63" i="3091" s="1"/>
  <c r="E62" i="3091"/>
  <c r="I62" i="3091" s="1"/>
  <c r="E61" i="3091"/>
  <c r="G61" i="3091" s="1"/>
  <c r="K41" i="3091"/>
  <c r="J41" i="3091"/>
  <c r="I41" i="3091"/>
  <c r="H41" i="3091"/>
  <c r="E41" i="3091"/>
  <c r="C41" i="3091" s="1"/>
  <c r="J40" i="3091"/>
  <c r="I40" i="3091"/>
  <c r="H40" i="3091"/>
  <c r="E40" i="3091"/>
  <c r="B40" i="3091"/>
  <c r="K40" i="3091" s="1"/>
  <c r="C40" i="3091" s="1"/>
  <c r="J39" i="3091"/>
  <c r="I39" i="3091"/>
  <c r="H39" i="3091"/>
  <c r="E39" i="3091"/>
  <c r="B39" i="3091" s="1"/>
  <c r="K39" i="3091" s="1"/>
  <c r="J38" i="3091"/>
  <c r="I38" i="3091"/>
  <c r="H38" i="3091"/>
  <c r="B38" i="3091"/>
  <c r="K38" i="3091" s="1"/>
  <c r="J37" i="3091"/>
  <c r="I37" i="3091"/>
  <c r="H37" i="3091"/>
  <c r="E37" i="3091"/>
  <c r="B37" i="3091" s="1"/>
  <c r="K37" i="3091" s="1"/>
  <c r="C37" i="3091" s="1"/>
  <c r="J36" i="3091"/>
  <c r="I36" i="3091"/>
  <c r="H36" i="3091"/>
  <c r="E36" i="3091"/>
  <c r="J35" i="3091"/>
  <c r="I35" i="3091"/>
  <c r="H35" i="3091"/>
  <c r="E35" i="3091"/>
  <c r="J34" i="3091"/>
  <c r="I34" i="3091"/>
  <c r="H34" i="3091"/>
  <c r="E34" i="3091"/>
  <c r="J33" i="3091"/>
  <c r="I33" i="3091"/>
  <c r="H33" i="3091"/>
  <c r="E33" i="3091"/>
  <c r="B33" i="3091" s="1"/>
  <c r="K33" i="3091" s="1"/>
  <c r="J32" i="3091"/>
  <c r="I32" i="3091"/>
  <c r="H32" i="3091"/>
  <c r="E32" i="3091"/>
  <c r="B32" i="3091" s="1"/>
  <c r="K32" i="3091" s="1"/>
  <c r="C32" i="3091" s="1"/>
  <c r="J30" i="3091"/>
  <c r="I30" i="3091"/>
  <c r="H30" i="3091"/>
  <c r="E30" i="3091"/>
  <c r="J29" i="3091"/>
  <c r="I29" i="3091"/>
  <c r="H29" i="3091"/>
  <c r="E29" i="3091"/>
  <c r="J28" i="3091"/>
  <c r="I28" i="3091"/>
  <c r="H28" i="3091"/>
  <c r="E28" i="3091"/>
  <c r="B28" i="3091" s="1"/>
  <c r="K28" i="3091" s="1"/>
  <c r="J27" i="3091"/>
  <c r="I27" i="3091"/>
  <c r="H27" i="3091"/>
  <c r="B27" i="3091"/>
  <c r="K27" i="3091" s="1"/>
  <c r="C27" i="3091" s="1"/>
  <c r="J26" i="3091"/>
  <c r="I26" i="3091"/>
  <c r="H26" i="3091"/>
  <c r="E26" i="3091"/>
  <c r="J25" i="3091"/>
  <c r="I25" i="3091"/>
  <c r="H25" i="3091"/>
  <c r="E25" i="3091"/>
  <c r="B25" i="3091" s="1"/>
  <c r="K25" i="3091" s="1"/>
  <c r="J24" i="3091"/>
  <c r="I24" i="3091"/>
  <c r="H24" i="3091"/>
  <c r="E24" i="3091"/>
  <c r="B24" i="3091" s="1"/>
  <c r="K24" i="3091" s="1"/>
  <c r="J23" i="3091"/>
  <c r="I23" i="3091"/>
  <c r="H23" i="3091"/>
  <c r="E23" i="3091"/>
  <c r="J22" i="3091"/>
  <c r="I22" i="3091"/>
  <c r="H22" i="3091"/>
  <c r="J21" i="3091"/>
  <c r="I21" i="3091"/>
  <c r="H21" i="3091"/>
  <c r="E21" i="3091"/>
  <c r="B21" i="3091" s="1"/>
  <c r="K21" i="3091" s="1"/>
  <c r="J20" i="3091"/>
  <c r="I20" i="3091"/>
  <c r="H20" i="3091"/>
  <c r="E20" i="3091"/>
  <c r="B20" i="3091" s="1"/>
  <c r="K20" i="3091" s="1"/>
  <c r="C20" i="3091" s="1"/>
  <c r="J19" i="3091"/>
  <c r="I19" i="3091"/>
  <c r="H19" i="3091"/>
  <c r="E19" i="3091"/>
  <c r="J18" i="3091"/>
  <c r="I18" i="3091"/>
  <c r="H18" i="3091"/>
  <c r="E18" i="3091"/>
  <c r="J17" i="3091"/>
  <c r="I17" i="3091"/>
  <c r="H17" i="3091"/>
  <c r="E17" i="3091"/>
  <c r="B17" i="3091" s="1"/>
  <c r="K17" i="3091" s="1"/>
  <c r="J16" i="3091"/>
  <c r="I16" i="3091"/>
  <c r="H16" i="3091"/>
  <c r="E16" i="3091"/>
  <c r="B16" i="3091" s="1"/>
  <c r="K16" i="3091" s="1"/>
  <c r="C16" i="3091" s="1"/>
  <c r="J15" i="3091"/>
  <c r="I15" i="3091"/>
  <c r="H15" i="3091"/>
  <c r="E15" i="3091"/>
  <c r="J14" i="3091"/>
  <c r="I14" i="3091"/>
  <c r="H14" i="3091"/>
  <c r="E14" i="3091"/>
  <c r="J13" i="3091"/>
  <c r="I13" i="3091"/>
  <c r="H13" i="3091"/>
  <c r="E13" i="3091"/>
  <c r="J12" i="3091"/>
  <c r="I12" i="3091"/>
  <c r="H12" i="3091"/>
  <c r="E12" i="3091"/>
  <c r="J11" i="3091"/>
  <c r="I11" i="3091"/>
  <c r="H11" i="3091"/>
  <c r="E11" i="3091"/>
  <c r="J10" i="3091"/>
  <c r="I10" i="3091"/>
  <c r="H10" i="3091"/>
  <c r="E10" i="3091"/>
  <c r="J9" i="3091"/>
  <c r="I9" i="3091"/>
  <c r="H9" i="3091"/>
  <c r="E9" i="3091"/>
  <c r="J8" i="3091"/>
  <c r="I8" i="3091"/>
  <c r="H8" i="3091"/>
  <c r="E8" i="3091"/>
  <c r="A8" i="3091"/>
  <c r="G8" i="3091" s="1"/>
  <c r="G1" i="3091"/>
  <c r="D102" i="3090"/>
  <c r="D100" i="3090"/>
  <c r="F100" i="3090" s="1"/>
  <c r="D99" i="3090"/>
  <c r="F99" i="3090" s="1"/>
  <c r="D98" i="3090"/>
  <c r="F98" i="3090" s="1"/>
  <c r="D97" i="3090"/>
  <c r="F97" i="3090" s="1"/>
  <c r="D96" i="3090"/>
  <c r="F96" i="3090" s="1"/>
  <c r="D95" i="3090"/>
  <c r="F95" i="3090" s="1"/>
  <c r="D94" i="3090"/>
  <c r="F94" i="3090" s="1"/>
  <c r="D93" i="3090"/>
  <c r="F93" i="3090" s="1"/>
  <c r="D92" i="3090"/>
  <c r="F92" i="3090" s="1"/>
  <c r="D91" i="3090"/>
  <c r="F91" i="3090" s="1"/>
  <c r="D90" i="3090"/>
  <c r="F90" i="3090" s="1"/>
  <c r="D89" i="3090"/>
  <c r="F89" i="3090" s="1"/>
  <c r="D88" i="3090"/>
  <c r="F88" i="3090" s="1"/>
  <c r="D87" i="3090"/>
  <c r="F87" i="3090" s="1"/>
  <c r="D86" i="3090"/>
  <c r="F86" i="3090" s="1"/>
  <c r="D85" i="3090"/>
  <c r="F85" i="3090" s="1"/>
  <c r="D84" i="3090"/>
  <c r="F84" i="3090" s="1"/>
  <c r="D83" i="3090"/>
  <c r="F83" i="3090" s="1"/>
  <c r="D82" i="3090"/>
  <c r="F82" i="3090" s="1"/>
  <c r="D81" i="3090"/>
  <c r="F81" i="3090" s="1"/>
  <c r="D80" i="3090"/>
  <c r="F80" i="3090" s="1"/>
  <c r="D79" i="3090"/>
  <c r="F79" i="3090" s="1"/>
  <c r="I74" i="3090"/>
  <c r="I73" i="3090"/>
  <c r="I72" i="3090"/>
  <c r="I71" i="3090"/>
  <c r="E70" i="3090"/>
  <c r="I70" i="3090" s="1"/>
  <c r="E69" i="3090"/>
  <c r="H69" i="3090" s="1"/>
  <c r="E68" i="3090"/>
  <c r="E67" i="3090"/>
  <c r="F67" i="3090" s="1"/>
  <c r="K67" i="3090" s="1"/>
  <c r="E66" i="3090"/>
  <c r="G66" i="3090" s="1"/>
  <c r="L66" i="3090" s="1"/>
  <c r="E65" i="3090"/>
  <c r="H65" i="3090" s="1"/>
  <c r="E64" i="3090"/>
  <c r="G64" i="3090" s="1"/>
  <c r="L64" i="3090" s="1"/>
  <c r="E63" i="3090"/>
  <c r="F63" i="3090" s="1"/>
  <c r="K63" i="3090" s="1"/>
  <c r="E62" i="3090"/>
  <c r="G62" i="3090" s="1"/>
  <c r="L62" i="3090" s="1"/>
  <c r="E61" i="3090"/>
  <c r="H61" i="3090" s="1"/>
  <c r="E60" i="3090"/>
  <c r="E59" i="3090"/>
  <c r="F59" i="3090" s="1"/>
  <c r="K39" i="3090"/>
  <c r="J39" i="3090"/>
  <c r="I39" i="3090"/>
  <c r="H39" i="3090"/>
  <c r="E39" i="3090"/>
  <c r="J38" i="3090"/>
  <c r="I38" i="3090"/>
  <c r="H38" i="3090"/>
  <c r="E38" i="3090"/>
  <c r="J37" i="3090"/>
  <c r="I37" i="3090"/>
  <c r="H37" i="3090"/>
  <c r="E37" i="3090"/>
  <c r="B37" i="3090" s="1"/>
  <c r="K37" i="3090" s="1"/>
  <c r="J36" i="3090"/>
  <c r="I36" i="3090"/>
  <c r="H36" i="3090"/>
  <c r="E36" i="3090"/>
  <c r="J35" i="3090"/>
  <c r="I35" i="3090"/>
  <c r="H35" i="3090"/>
  <c r="E35" i="3090"/>
  <c r="J34" i="3090"/>
  <c r="I34" i="3090"/>
  <c r="H34" i="3090"/>
  <c r="E34" i="3090"/>
  <c r="B34" i="3090" s="1"/>
  <c r="K34" i="3090" s="1"/>
  <c r="C34" i="3090" s="1"/>
  <c r="J33" i="3090"/>
  <c r="I33" i="3090"/>
  <c r="H33" i="3090"/>
  <c r="E33" i="3090"/>
  <c r="J32" i="3090"/>
  <c r="I32" i="3090"/>
  <c r="H32" i="3090"/>
  <c r="E32" i="3090"/>
  <c r="B32" i="3090" s="1"/>
  <c r="K32" i="3090" s="1"/>
  <c r="J31" i="3090"/>
  <c r="I31" i="3090"/>
  <c r="H31" i="3090"/>
  <c r="E31" i="3090"/>
  <c r="B31" i="3090" s="1"/>
  <c r="K31" i="3090" s="1"/>
  <c r="C31" i="3090" s="1"/>
  <c r="J29" i="3090"/>
  <c r="I29" i="3090"/>
  <c r="H29" i="3090"/>
  <c r="E29" i="3090"/>
  <c r="B29" i="3090" s="1"/>
  <c r="K29" i="3090" s="1"/>
  <c r="C29" i="3090" s="1"/>
  <c r="J28" i="3090"/>
  <c r="I28" i="3090"/>
  <c r="H28" i="3090"/>
  <c r="E28" i="3090"/>
  <c r="J27" i="3090"/>
  <c r="I27" i="3090"/>
  <c r="H27" i="3090"/>
  <c r="E27" i="3090"/>
  <c r="B27" i="3090" s="1"/>
  <c r="K27" i="3090" s="1"/>
  <c r="J26" i="3090"/>
  <c r="I26" i="3090"/>
  <c r="H26" i="3090"/>
  <c r="E26" i="3090"/>
  <c r="B26" i="3090" s="1"/>
  <c r="K26" i="3090" s="1"/>
  <c r="C26" i="3090" s="1"/>
  <c r="J25" i="3090"/>
  <c r="I25" i="3090"/>
  <c r="H25" i="3090"/>
  <c r="E25" i="3090"/>
  <c r="J24" i="3090"/>
  <c r="I24" i="3090"/>
  <c r="H24" i="3090"/>
  <c r="E24" i="3090"/>
  <c r="B24" i="3090" s="1"/>
  <c r="K24" i="3090" s="1"/>
  <c r="J23" i="3090"/>
  <c r="I23" i="3090"/>
  <c r="H23" i="3090"/>
  <c r="E23" i="3090"/>
  <c r="B23" i="3090" s="1"/>
  <c r="K23" i="3090" s="1"/>
  <c r="C23" i="3090" s="1"/>
  <c r="J22" i="3090"/>
  <c r="I22" i="3090"/>
  <c r="H22" i="3090"/>
  <c r="E22" i="3090"/>
  <c r="J21" i="3090"/>
  <c r="I21" i="3090"/>
  <c r="H21" i="3090"/>
  <c r="J20" i="3090"/>
  <c r="I20" i="3090"/>
  <c r="H20" i="3090"/>
  <c r="E20" i="3090"/>
  <c r="J19" i="3090"/>
  <c r="I19" i="3090"/>
  <c r="H19" i="3090"/>
  <c r="E19" i="3090"/>
  <c r="B19" i="3090" s="1"/>
  <c r="K19" i="3090" s="1"/>
  <c r="C19" i="3090" s="1"/>
  <c r="J18" i="3090"/>
  <c r="I18" i="3090"/>
  <c r="H18" i="3090"/>
  <c r="E18" i="3090"/>
  <c r="B18" i="3090" s="1"/>
  <c r="K18" i="3090" s="1"/>
  <c r="J17" i="3090"/>
  <c r="I17" i="3090"/>
  <c r="H17" i="3090"/>
  <c r="E17" i="3090"/>
  <c r="B17" i="3090" s="1"/>
  <c r="K17" i="3090" s="1"/>
  <c r="J16" i="3090"/>
  <c r="I16" i="3090"/>
  <c r="H16" i="3090"/>
  <c r="E16" i="3090"/>
  <c r="B16" i="3090" s="1"/>
  <c r="K16" i="3090" s="1"/>
  <c r="J15" i="3090"/>
  <c r="I15" i="3090"/>
  <c r="H15" i="3090"/>
  <c r="E15" i="3090"/>
  <c r="B15" i="3090" s="1"/>
  <c r="K15" i="3090" s="1"/>
  <c r="J14" i="3090"/>
  <c r="I14" i="3090"/>
  <c r="H14" i="3090"/>
  <c r="E14" i="3090"/>
  <c r="B14" i="3090" s="1"/>
  <c r="K14" i="3090" s="1"/>
  <c r="C14" i="3090" s="1"/>
  <c r="J13" i="3090"/>
  <c r="I13" i="3090"/>
  <c r="H13" i="3090"/>
  <c r="E13" i="3090"/>
  <c r="B13" i="3090" s="1"/>
  <c r="K13" i="3090" s="1"/>
  <c r="C13" i="3090" s="1"/>
  <c r="J12" i="3090"/>
  <c r="I12" i="3090"/>
  <c r="H12" i="3090"/>
  <c r="E12" i="3090"/>
  <c r="J11" i="3090"/>
  <c r="I11" i="3090"/>
  <c r="H11" i="3090"/>
  <c r="E11" i="3090"/>
  <c r="J10" i="3090"/>
  <c r="I10" i="3090"/>
  <c r="H10" i="3090"/>
  <c r="E10" i="3090"/>
  <c r="J9" i="3090"/>
  <c r="I9" i="3090"/>
  <c r="H9" i="3090"/>
  <c r="E9" i="3090"/>
  <c r="J8" i="3090"/>
  <c r="I8" i="3090"/>
  <c r="H8" i="3090"/>
  <c r="E8" i="3090"/>
  <c r="A8" i="3090"/>
  <c r="A10" i="3090" s="1"/>
  <c r="G10" i="3090" s="1"/>
  <c r="G1" i="3090"/>
  <c r="D103" i="3089"/>
  <c r="D101" i="3089"/>
  <c r="F101" i="3089" s="1"/>
  <c r="D100" i="3089"/>
  <c r="F100" i="3089" s="1"/>
  <c r="D99" i="3089"/>
  <c r="F99" i="3089" s="1"/>
  <c r="D98" i="3089"/>
  <c r="F98" i="3089" s="1"/>
  <c r="D97" i="3089"/>
  <c r="F97" i="3089" s="1"/>
  <c r="D96" i="3089"/>
  <c r="F96" i="3089" s="1"/>
  <c r="D95" i="3089"/>
  <c r="F95" i="3089" s="1"/>
  <c r="D94" i="3089"/>
  <c r="F94" i="3089" s="1"/>
  <c r="D93" i="3089"/>
  <c r="F93" i="3089" s="1"/>
  <c r="D92" i="3089"/>
  <c r="F92" i="3089" s="1"/>
  <c r="D91" i="3089"/>
  <c r="F91" i="3089" s="1"/>
  <c r="D90" i="3089"/>
  <c r="F90" i="3089" s="1"/>
  <c r="D89" i="3089"/>
  <c r="F89" i="3089" s="1"/>
  <c r="D88" i="3089"/>
  <c r="F88" i="3089" s="1"/>
  <c r="D87" i="3089"/>
  <c r="F87" i="3089" s="1"/>
  <c r="D86" i="3089"/>
  <c r="F86" i="3089" s="1"/>
  <c r="D85" i="3089"/>
  <c r="F85" i="3089" s="1"/>
  <c r="D84" i="3089"/>
  <c r="F84" i="3089" s="1"/>
  <c r="D83" i="3089"/>
  <c r="F83" i="3089" s="1"/>
  <c r="D82" i="3089"/>
  <c r="F82" i="3089" s="1"/>
  <c r="D81" i="3089"/>
  <c r="F81" i="3089" s="1"/>
  <c r="D80" i="3089"/>
  <c r="F80" i="3089" s="1"/>
  <c r="I75" i="3089"/>
  <c r="I74" i="3089"/>
  <c r="I73" i="3089"/>
  <c r="I72" i="3089"/>
  <c r="E71" i="3089"/>
  <c r="G71" i="3089" s="1"/>
  <c r="L71" i="3089" s="1"/>
  <c r="E70" i="3089"/>
  <c r="F70" i="3089" s="1"/>
  <c r="K70" i="3089" s="1"/>
  <c r="E69" i="3089"/>
  <c r="E68" i="3089"/>
  <c r="F68" i="3089" s="1"/>
  <c r="K68" i="3089" s="1"/>
  <c r="E67" i="3089"/>
  <c r="I67" i="3089" s="1"/>
  <c r="E66" i="3089"/>
  <c r="E65" i="3089"/>
  <c r="I65" i="3089" s="1"/>
  <c r="E64" i="3089"/>
  <c r="F64" i="3089" s="1"/>
  <c r="K64" i="3089" s="1"/>
  <c r="E63" i="3089"/>
  <c r="G63" i="3089" s="1"/>
  <c r="L63" i="3089" s="1"/>
  <c r="E62" i="3089"/>
  <c r="F62" i="3089" s="1"/>
  <c r="K62" i="3089" s="1"/>
  <c r="E61" i="3089"/>
  <c r="E60" i="3089"/>
  <c r="K40" i="3089"/>
  <c r="J40" i="3089"/>
  <c r="I40" i="3089"/>
  <c r="H40" i="3089"/>
  <c r="E40" i="3089"/>
  <c r="J39" i="3089"/>
  <c r="I39" i="3089"/>
  <c r="H39" i="3089"/>
  <c r="E39" i="3089"/>
  <c r="J38" i="3089"/>
  <c r="I38" i="3089"/>
  <c r="H38" i="3089"/>
  <c r="E38" i="3089"/>
  <c r="B38" i="3089" s="1"/>
  <c r="K38" i="3089" s="1"/>
  <c r="J37" i="3089"/>
  <c r="I37" i="3089"/>
  <c r="H37" i="3089"/>
  <c r="E37" i="3089"/>
  <c r="J36" i="3089"/>
  <c r="I36" i="3089"/>
  <c r="H36" i="3089"/>
  <c r="E36" i="3089"/>
  <c r="J35" i="3089"/>
  <c r="I35" i="3089"/>
  <c r="H35" i="3089"/>
  <c r="E35" i="3089"/>
  <c r="B35" i="3089" s="1"/>
  <c r="K35" i="3089" s="1"/>
  <c r="C35" i="3089" s="1"/>
  <c r="J34" i="3089"/>
  <c r="I34" i="3089"/>
  <c r="H34" i="3089"/>
  <c r="E34" i="3089"/>
  <c r="J33" i="3089"/>
  <c r="I33" i="3089"/>
  <c r="H33" i="3089"/>
  <c r="E33" i="3089"/>
  <c r="J32" i="3089"/>
  <c r="I32" i="3089"/>
  <c r="H32" i="3089"/>
  <c r="E32" i="3089"/>
  <c r="B32" i="3089" s="1"/>
  <c r="K32" i="3089" s="1"/>
  <c r="C32" i="3089" s="1"/>
  <c r="J31" i="3089"/>
  <c r="I31" i="3089"/>
  <c r="H31" i="3089"/>
  <c r="E31" i="3089"/>
  <c r="B31" i="3089" s="1"/>
  <c r="K31" i="3089" s="1"/>
  <c r="C31" i="3089" s="1"/>
  <c r="J28" i="3089"/>
  <c r="I28" i="3089"/>
  <c r="H28" i="3089"/>
  <c r="E28" i="3089"/>
  <c r="J27" i="3089"/>
  <c r="I27" i="3089"/>
  <c r="H27" i="3089"/>
  <c r="E27" i="3089"/>
  <c r="J26" i="3089"/>
  <c r="I26" i="3089"/>
  <c r="H26" i="3089"/>
  <c r="E26" i="3089"/>
  <c r="B26" i="3089" s="1"/>
  <c r="K26" i="3089" s="1"/>
  <c r="C26" i="3089" s="1"/>
  <c r="J25" i="3089"/>
  <c r="I25" i="3089"/>
  <c r="H25" i="3089"/>
  <c r="E25" i="3089"/>
  <c r="B25" i="3089" s="1"/>
  <c r="K25" i="3089" s="1"/>
  <c r="C25" i="3089" s="1"/>
  <c r="J24" i="3089"/>
  <c r="I24" i="3089"/>
  <c r="H24" i="3089"/>
  <c r="E24" i="3089"/>
  <c r="J23" i="3089"/>
  <c r="I23" i="3089"/>
  <c r="H23" i="3089"/>
  <c r="E23" i="3089"/>
  <c r="J22" i="3089"/>
  <c r="I22" i="3089"/>
  <c r="H22" i="3089"/>
  <c r="E22" i="3089"/>
  <c r="B22" i="3089" s="1"/>
  <c r="K22" i="3089" s="1"/>
  <c r="C22" i="3089" s="1"/>
  <c r="J20" i="3089"/>
  <c r="I20" i="3089"/>
  <c r="H20" i="3089"/>
  <c r="E20" i="3089"/>
  <c r="B20" i="3089" s="1"/>
  <c r="K20" i="3089" s="1"/>
  <c r="C20" i="3089" s="1"/>
  <c r="J19" i="3089"/>
  <c r="I19" i="3089"/>
  <c r="H19" i="3089"/>
  <c r="E19" i="3089"/>
  <c r="J18" i="3089"/>
  <c r="I18" i="3089"/>
  <c r="H18" i="3089"/>
  <c r="E18" i="3089"/>
  <c r="J17" i="3089"/>
  <c r="I17" i="3089"/>
  <c r="H17" i="3089"/>
  <c r="E17" i="3089"/>
  <c r="B17" i="3089" s="1"/>
  <c r="K17" i="3089" s="1"/>
  <c r="C17" i="3089" s="1"/>
  <c r="J16" i="3089"/>
  <c r="I16" i="3089"/>
  <c r="H16" i="3089"/>
  <c r="E16" i="3089"/>
  <c r="B16" i="3089" s="1"/>
  <c r="K16" i="3089" s="1"/>
  <c r="C16" i="3089" s="1"/>
  <c r="J15" i="3089"/>
  <c r="I15" i="3089"/>
  <c r="H15" i="3089"/>
  <c r="E15" i="3089"/>
  <c r="J14" i="3089"/>
  <c r="I14" i="3089"/>
  <c r="H14" i="3089"/>
  <c r="E14" i="3089"/>
  <c r="B14" i="3089" s="1"/>
  <c r="J13" i="3089"/>
  <c r="I13" i="3089"/>
  <c r="H13" i="3089"/>
  <c r="E13" i="3089"/>
  <c r="J12" i="3089"/>
  <c r="I12" i="3089"/>
  <c r="H12" i="3089"/>
  <c r="E12" i="3089"/>
  <c r="J11" i="3089"/>
  <c r="I11" i="3089"/>
  <c r="H11" i="3089"/>
  <c r="E11" i="3089"/>
  <c r="J10" i="3089"/>
  <c r="I10" i="3089"/>
  <c r="H10" i="3089"/>
  <c r="E10" i="3089"/>
  <c r="J8" i="3089"/>
  <c r="I8" i="3089"/>
  <c r="H8" i="3089"/>
  <c r="E8" i="3089"/>
  <c r="A8" i="3089"/>
  <c r="G1" i="3089"/>
  <c r="D105" i="3088"/>
  <c r="D103" i="3088"/>
  <c r="F103" i="3088" s="1"/>
  <c r="D102" i="3088"/>
  <c r="F102" i="3088" s="1"/>
  <c r="D101" i="3088"/>
  <c r="F101" i="3088" s="1"/>
  <c r="D100" i="3088"/>
  <c r="F100" i="3088" s="1"/>
  <c r="D99" i="3088"/>
  <c r="F99" i="3088" s="1"/>
  <c r="D98" i="3088"/>
  <c r="F98" i="3088" s="1"/>
  <c r="D97" i="3088"/>
  <c r="F97" i="3088" s="1"/>
  <c r="D96" i="3088"/>
  <c r="F96" i="3088" s="1"/>
  <c r="D95" i="3088"/>
  <c r="F95" i="3088" s="1"/>
  <c r="D94" i="3088"/>
  <c r="F94" i="3088" s="1"/>
  <c r="D93" i="3088"/>
  <c r="F93" i="3088" s="1"/>
  <c r="D92" i="3088"/>
  <c r="F92" i="3088" s="1"/>
  <c r="D91" i="3088"/>
  <c r="F91" i="3088" s="1"/>
  <c r="D90" i="3088"/>
  <c r="F90" i="3088" s="1"/>
  <c r="D89" i="3088"/>
  <c r="F89" i="3088" s="1"/>
  <c r="D88" i="3088"/>
  <c r="F88" i="3088" s="1"/>
  <c r="D87" i="3088"/>
  <c r="F87" i="3088" s="1"/>
  <c r="D86" i="3088"/>
  <c r="F86" i="3088" s="1"/>
  <c r="D85" i="3088"/>
  <c r="F85" i="3088" s="1"/>
  <c r="D84" i="3088"/>
  <c r="F84" i="3088" s="1"/>
  <c r="D83" i="3088"/>
  <c r="F83" i="3088" s="1"/>
  <c r="D82" i="3088"/>
  <c r="F82" i="3088" s="1"/>
  <c r="I77" i="3088"/>
  <c r="I76" i="3088"/>
  <c r="I75" i="3088"/>
  <c r="I74" i="3088"/>
  <c r="E73" i="3088"/>
  <c r="G73" i="3088" s="1"/>
  <c r="L73" i="3088" s="1"/>
  <c r="E72" i="3088"/>
  <c r="F72" i="3088" s="1"/>
  <c r="K72" i="3088" s="1"/>
  <c r="E71" i="3088"/>
  <c r="E70" i="3088"/>
  <c r="F70" i="3088" s="1"/>
  <c r="K70" i="3088" s="1"/>
  <c r="E69" i="3088"/>
  <c r="H69" i="3088" s="1"/>
  <c r="E68" i="3088"/>
  <c r="F68" i="3088" s="1"/>
  <c r="K68" i="3088" s="1"/>
  <c r="E67" i="3088"/>
  <c r="E66" i="3088"/>
  <c r="F66" i="3088" s="1"/>
  <c r="K66" i="3088" s="1"/>
  <c r="E65" i="3088"/>
  <c r="I65" i="3088" s="1"/>
  <c r="E64" i="3088"/>
  <c r="I64" i="3088" s="1"/>
  <c r="E63" i="3088"/>
  <c r="E62" i="3088"/>
  <c r="K42" i="3088"/>
  <c r="J42" i="3088"/>
  <c r="I42" i="3088"/>
  <c r="H42" i="3088"/>
  <c r="E42" i="3088"/>
  <c r="J41" i="3088"/>
  <c r="I41" i="3088"/>
  <c r="H41" i="3088"/>
  <c r="E41" i="3088"/>
  <c r="J40" i="3088"/>
  <c r="I40" i="3088"/>
  <c r="H40" i="3088"/>
  <c r="E40" i="3088"/>
  <c r="B40" i="3088" s="1"/>
  <c r="K40" i="3088" s="1"/>
  <c r="J39" i="3088"/>
  <c r="I39" i="3088"/>
  <c r="H39" i="3088"/>
  <c r="E39" i="3088"/>
  <c r="J38" i="3088"/>
  <c r="I38" i="3088"/>
  <c r="H38" i="3088"/>
  <c r="E38" i="3088"/>
  <c r="J37" i="3088"/>
  <c r="I37" i="3088"/>
  <c r="H37" i="3088"/>
  <c r="E37" i="3088"/>
  <c r="B37" i="3088" s="1"/>
  <c r="K37" i="3088" s="1"/>
  <c r="C37" i="3088" s="1"/>
  <c r="J36" i="3088"/>
  <c r="I36" i="3088"/>
  <c r="H36" i="3088"/>
  <c r="E36" i="3088"/>
  <c r="B36" i="3088" s="1"/>
  <c r="K36" i="3088" s="1"/>
  <c r="C36" i="3088" s="1"/>
  <c r="J35" i="3088"/>
  <c r="I35" i="3088"/>
  <c r="H35" i="3088"/>
  <c r="E35" i="3088"/>
  <c r="J34" i="3088"/>
  <c r="I34" i="3088"/>
  <c r="H34" i="3088"/>
  <c r="E34" i="3088"/>
  <c r="J33" i="3088"/>
  <c r="I33" i="3088"/>
  <c r="H33" i="3088"/>
  <c r="E33" i="3088"/>
  <c r="B33" i="3088" s="1"/>
  <c r="K33" i="3088" s="1"/>
  <c r="C33" i="3088" s="1"/>
  <c r="J31" i="3088"/>
  <c r="I31" i="3088"/>
  <c r="H31" i="3088"/>
  <c r="E31" i="3088"/>
  <c r="B31" i="3088" s="1"/>
  <c r="K31" i="3088" s="1"/>
  <c r="C31" i="3088" s="1"/>
  <c r="J30" i="3088"/>
  <c r="I30" i="3088"/>
  <c r="H30" i="3088"/>
  <c r="E30" i="3088"/>
  <c r="B30" i="3088" s="1"/>
  <c r="K30" i="3088" s="1"/>
  <c r="C30" i="3088" s="1"/>
  <c r="J29" i="3088"/>
  <c r="I29" i="3088"/>
  <c r="H29" i="3088"/>
  <c r="E29" i="3088"/>
  <c r="B29" i="3088" s="1"/>
  <c r="K29" i="3088" s="1"/>
  <c r="C29" i="3088" s="1"/>
  <c r="J28" i="3088"/>
  <c r="I28" i="3088"/>
  <c r="H28" i="3088"/>
  <c r="E28" i="3088"/>
  <c r="B28" i="3088" s="1"/>
  <c r="K28" i="3088" s="1"/>
  <c r="J27" i="3088"/>
  <c r="I27" i="3088"/>
  <c r="H27" i="3088"/>
  <c r="E27" i="3088"/>
  <c r="B27" i="3088" s="1"/>
  <c r="K27" i="3088" s="1"/>
  <c r="C27" i="3088" s="1"/>
  <c r="J26" i="3088"/>
  <c r="I26" i="3088"/>
  <c r="H26" i="3088"/>
  <c r="E26" i="3088"/>
  <c r="J25" i="3088"/>
  <c r="I25" i="3088"/>
  <c r="H25" i="3088"/>
  <c r="E25" i="3088"/>
  <c r="B25" i="3088" s="1"/>
  <c r="K25" i="3088" s="1"/>
  <c r="J24" i="3088"/>
  <c r="I24" i="3088"/>
  <c r="H24" i="3088"/>
  <c r="E24" i="3088"/>
  <c r="B24" i="3088" s="1"/>
  <c r="K24" i="3088" s="1"/>
  <c r="J23" i="3088"/>
  <c r="I23" i="3088"/>
  <c r="H23" i="3088"/>
  <c r="E23" i="3088"/>
  <c r="B23" i="3088" s="1"/>
  <c r="K23" i="3088" s="1"/>
  <c r="C23" i="3088" s="1"/>
  <c r="J22" i="3088"/>
  <c r="I22" i="3088"/>
  <c r="H22" i="3088"/>
  <c r="E22" i="3088"/>
  <c r="J21" i="3088"/>
  <c r="I21" i="3088"/>
  <c r="H21" i="3088"/>
  <c r="E21" i="3088"/>
  <c r="J20" i="3088"/>
  <c r="I20" i="3088"/>
  <c r="H20" i="3088"/>
  <c r="E20" i="3088"/>
  <c r="J19" i="3088"/>
  <c r="I19" i="3088"/>
  <c r="H19" i="3088"/>
  <c r="E19" i="3088"/>
  <c r="B19" i="3088" s="1"/>
  <c r="K19" i="3088" s="1"/>
  <c r="C19" i="3088" s="1"/>
  <c r="J18" i="3088"/>
  <c r="I18" i="3088"/>
  <c r="H18" i="3088"/>
  <c r="E18" i="3088"/>
  <c r="B18" i="3088" s="1"/>
  <c r="K18" i="3088" s="1"/>
  <c r="C18" i="3088" s="1"/>
  <c r="J17" i="3088"/>
  <c r="I17" i="3088"/>
  <c r="H17" i="3088"/>
  <c r="E17" i="3088"/>
  <c r="B17" i="3088" s="1"/>
  <c r="K17" i="3088" s="1"/>
  <c r="C17" i="3088" s="1"/>
  <c r="J16" i="3088"/>
  <c r="I16" i="3088"/>
  <c r="H16" i="3088"/>
  <c r="E16" i="3088"/>
  <c r="B16" i="3088" s="1"/>
  <c r="K16" i="3088" s="1"/>
  <c r="J15" i="3088"/>
  <c r="I15" i="3088"/>
  <c r="H15" i="3088"/>
  <c r="E15" i="3088"/>
  <c r="J14" i="3088"/>
  <c r="I14" i="3088"/>
  <c r="H14" i="3088"/>
  <c r="E14" i="3088"/>
  <c r="J12" i="3088"/>
  <c r="I12" i="3088"/>
  <c r="H12" i="3088"/>
  <c r="E12" i="3088"/>
  <c r="J11" i="3088"/>
  <c r="I11" i="3088"/>
  <c r="H11" i="3088"/>
  <c r="E11" i="3088"/>
  <c r="J10" i="3088"/>
  <c r="I10" i="3088"/>
  <c r="H10" i="3088"/>
  <c r="E10" i="3088"/>
  <c r="J8" i="3088"/>
  <c r="I8" i="3088"/>
  <c r="H8" i="3088"/>
  <c r="E8" i="3088"/>
  <c r="A8" i="3088"/>
  <c r="G1" i="3088"/>
  <c r="D104" i="3087"/>
  <c r="D102" i="3087"/>
  <c r="F102" i="3087" s="1"/>
  <c r="D101" i="3087"/>
  <c r="F101" i="3087" s="1"/>
  <c r="D100" i="3087"/>
  <c r="F100" i="3087" s="1"/>
  <c r="D99" i="3087"/>
  <c r="F99" i="3087" s="1"/>
  <c r="D98" i="3087"/>
  <c r="F98" i="3087" s="1"/>
  <c r="D97" i="3087"/>
  <c r="F97" i="3087" s="1"/>
  <c r="D96" i="3087"/>
  <c r="F96" i="3087" s="1"/>
  <c r="D95" i="3087"/>
  <c r="F95" i="3087" s="1"/>
  <c r="D94" i="3087"/>
  <c r="F94" i="3087" s="1"/>
  <c r="D93" i="3087"/>
  <c r="F93" i="3087" s="1"/>
  <c r="D92" i="3087"/>
  <c r="F92" i="3087" s="1"/>
  <c r="D91" i="3087"/>
  <c r="F91" i="3087" s="1"/>
  <c r="D90" i="3087"/>
  <c r="F90" i="3087" s="1"/>
  <c r="D89" i="3087"/>
  <c r="F89" i="3087" s="1"/>
  <c r="D88" i="3087"/>
  <c r="F88" i="3087" s="1"/>
  <c r="D87" i="3087"/>
  <c r="F87" i="3087" s="1"/>
  <c r="D86" i="3087"/>
  <c r="F86" i="3087" s="1"/>
  <c r="D85" i="3087"/>
  <c r="F85" i="3087" s="1"/>
  <c r="D84" i="3087"/>
  <c r="F84" i="3087" s="1"/>
  <c r="D83" i="3087"/>
  <c r="F83" i="3087" s="1"/>
  <c r="D82" i="3087"/>
  <c r="F82" i="3087" s="1"/>
  <c r="D81" i="3087"/>
  <c r="F81" i="3087" s="1"/>
  <c r="I76" i="3087"/>
  <c r="I75" i="3087"/>
  <c r="I74" i="3087"/>
  <c r="I73" i="3087"/>
  <c r="E72" i="3087"/>
  <c r="G72" i="3087" s="1"/>
  <c r="L72" i="3087" s="1"/>
  <c r="E71" i="3087"/>
  <c r="E70" i="3087"/>
  <c r="E69" i="3087"/>
  <c r="H69" i="3087" s="1"/>
  <c r="E68" i="3087"/>
  <c r="G68" i="3087" s="1"/>
  <c r="L68" i="3087" s="1"/>
  <c r="E67" i="3087"/>
  <c r="F67" i="3087" s="1"/>
  <c r="K67" i="3087" s="1"/>
  <c r="E66" i="3087"/>
  <c r="E65" i="3087"/>
  <c r="G65" i="3087" s="1"/>
  <c r="L65" i="3087" s="1"/>
  <c r="E64" i="3087"/>
  <c r="G64" i="3087" s="1"/>
  <c r="L64" i="3087" s="1"/>
  <c r="E63" i="3087"/>
  <c r="F63" i="3087" s="1"/>
  <c r="K63" i="3087" s="1"/>
  <c r="E62" i="3087"/>
  <c r="E61" i="3087"/>
  <c r="K41" i="3087"/>
  <c r="J41" i="3087"/>
  <c r="I41" i="3087"/>
  <c r="H41" i="3087"/>
  <c r="E41" i="3087"/>
  <c r="J40" i="3087"/>
  <c r="I40" i="3087"/>
  <c r="H40" i="3087"/>
  <c r="E40" i="3087"/>
  <c r="J39" i="3087"/>
  <c r="I39" i="3087"/>
  <c r="H39" i="3087"/>
  <c r="E39" i="3087"/>
  <c r="B39" i="3087" s="1"/>
  <c r="K39" i="3087" s="1"/>
  <c r="J38" i="3087"/>
  <c r="I38" i="3087"/>
  <c r="H38" i="3087"/>
  <c r="E38" i="3087"/>
  <c r="J37" i="3087"/>
  <c r="I37" i="3087"/>
  <c r="H37" i="3087"/>
  <c r="E37" i="3087"/>
  <c r="J36" i="3087"/>
  <c r="I36" i="3087"/>
  <c r="H36" i="3087"/>
  <c r="E36" i="3087"/>
  <c r="B36" i="3087" s="1"/>
  <c r="K36" i="3087" s="1"/>
  <c r="J35" i="3087"/>
  <c r="I35" i="3087"/>
  <c r="H35" i="3087"/>
  <c r="E35" i="3087"/>
  <c r="B35" i="3087" s="1"/>
  <c r="K35" i="3087" s="1"/>
  <c r="C35" i="3087" s="1"/>
  <c r="J34" i="3087"/>
  <c r="I34" i="3087"/>
  <c r="H34" i="3087"/>
  <c r="E34" i="3087"/>
  <c r="J33" i="3087"/>
  <c r="I33" i="3087"/>
  <c r="H33" i="3087"/>
  <c r="E33" i="3087"/>
  <c r="J32" i="3087"/>
  <c r="I32" i="3087"/>
  <c r="H32" i="3087"/>
  <c r="E32" i="3087"/>
  <c r="B32" i="3087" s="1"/>
  <c r="K32" i="3087" s="1"/>
  <c r="J30" i="3087"/>
  <c r="I30" i="3087"/>
  <c r="H30" i="3087"/>
  <c r="E30" i="3087"/>
  <c r="B30" i="3087" s="1"/>
  <c r="K30" i="3087" s="1"/>
  <c r="C30" i="3087" s="1"/>
  <c r="J29" i="3087"/>
  <c r="I29" i="3087"/>
  <c r="H29" i="3087"/>
  <c r="E29" i="3087"/>
  <c r="J28" i="3087"/>
  <c r="I28" i="3087"/>
  <c r="H28" i="3087"/>
  <c r="E28" i="3087"/>
  <c r="J27" i="3087"/>
  <c r="I27" i="3087"/>
  <c r="H27" i="3087"/>
  <c r="E27" i="3087"/>
  <c r="B27" i="3087" s="1"/>
  <c r="K27" i="3087" s="1"/>
  <c r="J26" i="3087"/>
  <c r="I26" i="3087"/>
  <c r="H26" i="3087"/>
  <c r="E26" i="3087"/>
  <c r="J25" i="3087"/>
  <c r="I25" i="3087"/>
  <c r="H25" i="3087"/>
  <c r="E25" i="3087"/>
  <c r="J24" i="3087"/>
  <c r="I24" i="3087"/>
  <c r="H24" i="3087"/>
  <c r="E24" i="3087"/>
  <c r="B24" i="3087" s="1"/>
  <c r="K24" i="3087" s="1"/>
  <c r="J23" i="3087"/>
  <c r="I23" i="3087"/>
  <c r="H23" i="3087"/>
  <c r="E23" i="3087"/>
  <c r="B23" i="3087" s="1"/>
  <c r="K23" i="3087" s="1"/>
  <c r="C23" i="3087" s="1"/>
  <c r="J22" i="3087"/>
  <c r="I22" i="3087"/>
  <c r="H22" i="3087"/>
  <c r="E22" i="3087"/>
  <c r="J21" i="3087"/>
  <c r="I21" i="3087"/>
  <c r="H21" i="3087"/>
  <c r="E21" i="3087"/>
  <c r="J20" i="3087"/>
  <c r="I20" i="3087"/>
  <c r="H20" i="3087"/>
  <c r="E20" i="3087"/>
  <c r="B20" i="3087" s="1"/>
  <c r="K20" i="3087" s="1"/>
  <c r="J19" i="3087"/>
  <c r="I19" i="3087"/>
  <c r="H19" i="3087"/>
  <c r="E19" i="3087"/>
  <c r="B19" i="3087" s="1"/>
  <c r="K19" i="3087" s="1"/>
  <c r="C19" i="3087" s="1"/>
  <c r="J18" i="3087"/>
  <c r="I18" i="3087"/>
  <c r="H18" i="3087"/>
  <c r="E18" i="3087"/>
  <c r="J17" i="3087"/>
  <c r="I17" i="3087"/>
  <c r="H17" i="3087"/>
  <c r="E17" i="3087"/>
  <c r="J16" i="3087"/>
  <c r="I16" i="3087"/>
  <c r="H16" i="3087"/>
  <c r="E16" i="3087"/>
  <c r="B16" i="3087" s="1"/>
  <c r="K16" i="3087" s="1"/>
  <c r="J15" i="3087"/>
  <c r="I15" i="3087"/>
  <c r="H15" i="3087"/>
  <c r="E15" i="3087"/>
  <c r="B15" i="3087" s="1"/>
  <c r="K15" i="3087" s="1"/>
  <c r="C15" i="3087" s="1"/>
  <c r="J14" i="3087"/>
  <c r="I14" i="3087"/>
  <c r="H14" i="3087"/>
  <c r="E14" i="3087"/>
  <c r="J13" i="3087"/>
  <c r="I13" i="3087"/>
  <c r="H13" i="3087"/>
  <c r="E13" i="3087"/>
  <c r="J12" i="3087"/>
  <c r="I12" i="3087"/>
  <c r="H12" i="3087"/>
  <c r="E12" i="3087"/>
  <c r="J11" i="3087"/>
  <c r="I11" i="3087"/>
  <c r="H11" i="3087"/>
  <c r="E11" i="3087"/>
  <c r="J8" i="3087"/>
  <c r="I8" i="3087"/>
  <c r="H8" i="3087"/>
  <c r="A8" i="3087"/>
  <c r="A10" i="3087" s="1"/>
  <c r="G10" i="3087" s="1"/>
  <c r="G1" i="3087"/>
  <c r="D105" i="3086"/>
  <c r="D103" i="3086"/>
  <c r="F103" i="3086" s="1"/>
  <c r="D102" i="3086"/>
  <c r="F102" i="3086" s="1"/>
  <c r="D101" i="3086"/>
  <c r="F101" i="3086" s="1"/>
  <c r="D100" i="3086"/>
  <c r="F100" i="3086" s="1"/>
  <c r="D99" i="3086"/>
  <c r="F99" i="3086" s="1"/>
  <c r="D98" i="3086"/>
  <c r="F98" i="3086" s="1"/>
  <c r="D97" i="3086"/>
  <c r="F97" i="3086" s="1"/>
  <c r="D96" i="3086"/>
  <c r="F96" i="3086" s="1"/>
  <c r="D95" i="3086"/>
  <c r="F95" i="3086" s="1"/>
  <c r="D94" i="3086"/>
  <c r="F94" i="3086" s="1"/>
  <c r="D93" i="3086"/>
  <c r="F93" i="3086" s="1"/>
  <c r="D92" i="3086"/>
  <c r="F92" i="3086" s="1"/>
  <c r="D91" i="3086"/>
  <c r="F91" i="3086" s="1"/>
  <c r="D90" i="3086"/>
  <c r="F90" i="3086" s="1"/>
  <c r="D89" i="3086"/>
  <c r="F89" i="3086" s="1"/>
  <c r="D88" i="3086"/>
  <c r="F88" i="3086" s="1"/>
  <c r="D87" i="3086"/>
  <c r="F87" i="3086" s="1"/>
  <c r="D86" i="3086"/>
  <c r="F86" i="3086" s="1"/>
  <c r="D85" i="3086"/>
  <c r="F85" i="3086" s="1"/>
  <c r="D84" i="3086"/>
  <c r="F84" i="3086" s="1"/>
  <c r="D83" i="3086"/>
  <c r="F83" i="3086" s="1"/>
  <c r="D82" i="3086"/>
  <c r="F82" i="3086" s="1"/>
  <c r="I77" i="3086"/>
  <c r="I76" i="3086"/>
  <c r="I75" i="3086"/>
  <c r="I74" i="3086"/>
  <c r="E73" i="3086"/>
  <c r="E72" i="3086"/>
  <c r="I72" i="3086" s="1"/>
  <c r="E71" i="3086"/>
  <c r="G71" i="3086" s="1"/>
  <c r="L71" i="3086" s="1"/>
  <c r="E70" i="3086"/>
  <c r="F70" i="3086" s="1"/>
  <c r="K70" i="3086" s="1"/>
  <c r="E69" i="3086"/>
  <c r="I69" i="3086" s="1"/>
  <c r="E68" i="3086"/>
  <c r="H68" i="3086" s="1"/>
  <c r="E67" i="3086"/>
  <c r="G67" i="3086" s="1"/>
  <c r="L67" i="3086" s="1"/>
  <c r="E66" i="3086"/>
  <c r="F66" i="3086" s="1"/>
  <c r="K66" i="3086" s="1"/>
  <c r="E65" i="3086"/>
  <c r="H65" i="3086" s="1"/>
  <c r="E64" i="3086"/>
  <c r="E63" i="3086"/>
  <c r="E62" i="3086"/>
  <c r="F62" i="3086" s="1"/>
  <c r="K42" i="3086"/>
  <c r="J42" i="3086"/>
  <c r="I42" i="3086"/>
  <c r="H42" i="3086"/>
  <c r="E42" i="3086"/>
  <c r="C42" i="3086" s="1"/>
  <c r="J41" i="3086"/>
  <c r="I41" i="3086"/>
  <c r="H41" i="3086"/>
  <c r="E41" i="3086"/>
  <c r="B41" i="3086" s="1"/>
  <c r="K41" i="3086" s="1"/>
  <c r="J40" i="3086"/>
  <c r="I40" i="3086"/>
  <c r="H40" i="3086"/>
  <c r="E40" i="3086"/>
  <c r="B40" i="3086" s="1"/>
  <c r="K40" i="3086" s="1"/>
  <c r="J39" i="3086"/>
  <c r="I39" i="3086"/>
  <c r="H39" i="3086"/>
  <c r="E39" i="3086"/>
  <c r="B39" i="3086" s="1"/>
  <c r="K39" i="3086" s="1"/>
  <c r="J38" i="3086"/>
  <c r="I38" i="3086"/>
  <c r="H38" i="3086"/>
  <c r="E38" i="3086"/>
  <c r="B38" i="3086" s="1"/>
  <c r="K38" i="3086" s="1"/>
  <c r="C38" i="3086" s="1"/>
  <c r="J37" i="3086"/>
  <c r="I37" i="3086"/>
  <c r="H37" i="3086"/>
  <c r="E37" i="3086"/>
  <c r="B37" i="3086" s="1"/>
  <c r="K37" i="3086" s="1"/>
  <c r="J36" i="3086"/>
  <c r="I36" i="3086"/>
  <c r="H36" i="3086"/>
  <c r="E36" i="3086"/>
  <c r="J35" i="3086"/>
  <c r="I35" i="3086"/>
  <c r="H35" i="3086"/>
  <c r="E35" i="3086"/>
  <c r="B35" i="3086" s="1"/>
  <c r="K35" i="3086" s="1"/>
  <c r="J34" i="3086"/>
  <c r="I34" i="3086"/>
  <c r="H34" i="3086"/>
  <c r="E34" i="3086"/>
  <c r="B34" i="3086" s="1"/>
  <c r="K34" i="3086" s="1"/>
  <c r="C34" i="3086" s="1"/>
  <c r="J33" i="3086"/>
  <c r="I33" i="3086"/>
  <c r="H33" i="3086"/>
  <c r="E33" i="3086"/>
  <c r="B33" i="3086" s="1"/>
  <c r="K33" i="3086" s="1"/>
  <c r="J31" i="3086"/>
  <c r="I31" i="3086"/>
  <c r="H31" i="3086"/>
  <c r="E31" i="3086"/>
  <c r="J30" i="3086"/>
  <c r="I30" i="3086"/>
  <c r="H30" i="3086"/>
  <c r="E30" i="3086"/>
  <c r="B30" i="3086" s="1"/>
  <c r="K30" i="3086" s="1"/>
  <c r="J29" i="3086"/>
  <c r="I29" i="3086"/>
  <c r="H29" i="3086"/>
  <c r="E29" i="3086"/>
  <c r="B29" i="3086" s="1"/>
  <c r="K29" i="3086" s="1"/>
  <c r="C29" i="3086" s="1"/>
  <c r="J28" i="3086"/>
  <c r="I28" i="3086"/>
  <c r="H28" i="3086"/>
  <c r="E28" i="3086"/>
  <c r="B28" i="3086" s="1"/>
  <c r="K28" i="3086" s="1"/>
  <c r="J27" i="3086"/>
  <c r="I27" i="3086"/>
  <c r="H27" i="3086"/>
  <c r="E27" i="3086"/>
  <c r="B27" i="3086" s="1"/>
  <c r="K27" i="3086" s="1"/>
  <c r="J26" i="3086"/>
  <c r="I26" i="3086"/>
  <c r="H26" i="3086"/>
  <c r="E26" i="3086"/>
  <c r="B26" i="3086" s="1"/>
  <c r="K26" i="3086" s="1"/>
  <c r="C26" i="3086" s="1"/>
  <c r="J25" i="3086"/>
  <c r="I25" i="3086"/>
  <c r="H25" i="3086"/>
  <c r="E25" i="3086"/>
  <c r="B25" i="3086" s="1"/>
  <c r="K25" i="3086" s="1"/>
  <c r="C25" i="3086" s="1"/>
  <c r="J24" i="3086"/>
  <c r="I24" i="3086"/>
  <c r="H24" i="3086"/>
  <c r="E24" i="3086"/>
  <c r="B24" i="3086" s="1"/>
  <c r="K24" i="3086" s="1"/>
  <c r="C24" i="3086" s="1"/>
  <c r="J23" i="3086"/>
  <c r="I23" i="3086"/>
  <c r="H23" i="3086"/>
  <c r="E23" i="3086"/>
  <c r="B23" i="3086" s="1"/>
  <c r="K23" i="3086" s="1"/>
  <c r="J22" i="3086"/>
  <c r="I22" i="3086"/>
  <c r="H22" i="3086"/>
  <c r="E22" i="3086"/>
  <c r="B22" i="3086" s="1"/>
  <c r="K22" i="3086" s="1"/>
  <c r="C22" i="3086" s="1"/>
  <c r="J21" i="3086"/>
  <c r="I21" i="3086"/>
  <c r="H21" i="3086"/>
  <c r="E21" i="3086"/>
  <c r="B21" i="3086" s="1"/>
  <c r="K21" i="3086" s="1"/>
  <c r="J20" i="3086"/>
  <c r="I20" i="3086"/>
  <c r="H20" i="3086"/>
  <c r="E20" i="3086"/>
  <c r="B20" i="3086" s="1"/>
  <c r="K20" i="3086" s="1"/>
  <c r="C20" i="3086" s="1"/>
  <c r="J19" i="3086"/>
  <c r="I19" i="3086"/>
  <c r="H19" i="3086"/>
  <c r="E19" i="3086"/>
  <c r="J18" i="3086"/>
  <c r="I18" i="3086"/>
  <c r="H18" i="3086"/>
  <c r="E18" i="3086"/>
  <c r="B18" i="3086" s="1"/>
  <c r="K18" i="3086" s="1"/>
  <c r="C18" i="3086" s="1"/>
  <c r="J17" i="3086"/>
  <c r="I17" i="3086"/>
  <c r="H17" i="3086"/>
  <c r="E17" i="3086"/>
  <c r="B17" i="3086" s="1"/>
  <c r="K17" i="3086" s="1"/>
  <c r="J16" i="3086"/>
  <c r="I16" i="3086"/>
  <c r="H16" i="3086"/>
  <c r="E16" i="3086"/>
  <c r="B16" i="3086" s="1"/>
  <c r="K16" i="3086" s="1"/>
  <c r="C16" i="3086" s="1"/>
  <c r="J15" i="3086"/>
  <c r="I15" i="3086"/>
  <c r="H15" i="3086"/>
  <c r="E15" i="3086"/>
  <c r="J14" i="3086"/>
  <c r="I14" i="3086"/>
  <c r="H14" i="3086"/>
  <c r="E14" i="3086"/>
  <c r="B14" i="3086" s="1"/>
  <c r="K14" i="3086" s="1"/>
  <c r="C14" i="3086" s="1"/>
  <c r="J13" i="3086"/>
  <c r="I13" i="3086"/>
  <c r="H13" i="3086"/>
  <c r="E13" i="3086"/>
  <c r="J12" i="3086"/>
  <c r="I12" i="3086"/>
  <c r="H12" i="3086"/>
  <c r="E12" i="3086"/>
  <c r="J11" i="3086"/>
  <c r="I11" i="3086"/>
  <c r="H11" i="3086"/>
  <c r="E11" i="3086"/>
  <c r="J10" i="3086"/>
  <c r="I10" i="3086"/>
  <c r="H10" i="3086"/>
  <c r="E10" i="3086"/>
  <c r="J8" i="3086"/>
  <c r="I8" i="3086"/>
  <c r="H8" i="3086"/>
  <c r="E8" i="3086"/>
  <c r="A8" i="3086"/>
  <c r="G8" i="3086" s="1"/>
  <c r="G1" i="3086"/>
  <c r="D105" i="3085"/>
  <c r="D103" i="3085"/>
  <c r="F103" i="3085" s="1"/>
  <c r="D102" i="3085"/>
  <c r="F102" i="3085" s="1"/>
  <c r="D101" i="3085"/>
  <c r="F101" i="3085" s="1"/>
  <c r="D100" i="3085"/>
  <c r="F100" i="3085" s="1"/>
  <c r="D99" i="3085"/>
  <c r="F99" i="3085" s="1"/>
  <c r="D98" i="3085"/>
  <c r="F98" i="3085" s="1"/>
  <c r="D97" i="3085"/>
  <c r="F97" i="3085" s="1"/>
  <c r="D96" i="3085"/>
  <c r="F96" i="3085" s="1"/>
  <c r="D95" i="3085"/>
  <c r="F95" i="3085" s="1"/>
  <c r="D94" i="3085"/>
  <c r="F94" i="3085" s="1"/>
  <c r="D93" i="3085"/>
  <c r="F93" i="3085" s="1"/>
  <c r="D92" i="3085"/>
  <c r="F92" i="3085" s="1"/>
  <c r="D91" i="3085"/>
  <c r="F91" i="3085" s="1"/>
  <c r="D90" i="3085"/>
  <c r="F90" i="3085" s="1"/>
  <c r="D89" i="3085"/>
  <c r="F89" i="3085" s="1"/>
  <c r="D88" i="3085"/>
  <c r="F88" i="3085" s="1"/>
  <c r="D87" i="3085"/>
  <c r="F87" i="3085" s="1"/>
  <c r="D86" i="3085"/>
  <c r="F86" i="3085" s="1"/>
  <c r="D85" i="3085"/>
  <c r="F85" i="3085" s="1"/>
  <c r="D84" i="3085"/>
  <c r="F84" i="3085" s="1"/>
  <c r="D83" i="3085"/>
  <c r="F83" i="3085" s="1"/>
  <c r="D82" i="3085"/>
  <c r="F82" i="3085" s="1"/>
  <c r="I77" i="3085"/>
  <c r="I76" i="3085"/>
  <c r="I75" i="3085"/>
  <c r="I74" i="3085"/>
  <c r="E73" i="3085"/>
  <c r="F73" i="3085" s="1"/>
  <c r="K73" i="3085" s="1"/>
  <c r="E72" i="3085"/>
  <c r="F72" i="3085" s="1"/>
  <c r="K72" i="3085" s="1"/>
  <c r="E71" i="3085"/>
  <c r="H71" i="3085" s="1"/>
  <c r="E70" i="3085"/>
  <c r="F70" i="3085" s="1"/>
  <c r="K70" i="3085" s="1"/>
  <c r="E69" i="3085"/>
  <c r="F69" i="3085" s="1"/>
  <c r="K69" i="3085" s="1"/>
  <c r="E68" i="3085"/>
  <c r="I68" i="3085" s="1"/>
  <c r="E67" i="3085"/>
  <c r="H67" i="3085" s="1"/>
  <c r="E66" i="3085"/>
  <c r="F66" i="3085" s="1"/>
  <c r="K66" i="3085" s="1"/>
  <c r="E65" i="3085"/>
  <c r="G65" i="3085" s="1"/>
  <c r="L65" i="3085" s="1"/>
  <c r="E64" i="3085"/>
  <c r="F64" i="3085" s="1"/>
  <c r="K64" i="3085" s="1"/>
  <c r="E63" i="3085"/>
  <c r="H63" i="3085" s="1"/>
  <c r="E62" i="3085"/>
  <c r="J42" i="3085"/>
  <c r="I42" i="3085"/>
  <c r="H42" i="3085"/>
  <c r="E42" i="3085"/>
  <c r="J41" i="3085"/>
  <c r="I41" i="3085"/>
  <c r="H41" i="3085"/>
  <c r="E41" i="3085"/>
  <c r="B41" i="3085" s="1"/>
  <c r="K41" i="3085" s="1"/>
  <c r="J40" i="3085"/>
  <c r="I40" i="3085"/>
  <c r="H40" i="3085"/>
  <c r="E40" i="3085"/>
  <c r="B40" i="3085" s="1"/>
  <c r="K40" i="3085" s="1"/>
  <c r="J39" i="3085"/>
  <c r="I39" i="3085"/>
  <c r="H39" i="3085"/>
  <c r="E39" i="3085"/>
  <c r="J38" i="3085"/>
  <c r="I38" i="3085"/>
  <c r="H38" i="3085"/>
  <c r="E38" i="3085"/>
  <c r="J37" i="3085"/>
  <c r="I37" i="3085"/>
  <c r="H37" i="3085"/>
  <c r="E37" i="3085"/>
  <c r="B37" i="3085" s="1"/>
  <c r="K37" i="3085" s="1"/>
  <c r="C37" i="3085" s="1"/>
  <c r="J36" i="3085"/>
  <c r="I36" i="3085"/>
  <c r="H36" i="3085"/>
  <c r="E36" i="3085"/>
  <c r="B36" i="3085" s="1"/>
  <c r="K36" i="3085" s="1"/>
  <c r="C36" i="3085" s="1"/>
  <c r="J35" i="3085"/>
  <c r="I35" i="3085"/>
  <c r="H35" i="3085"/>
  <c r="E35" i="3085"/>
  <c r="J34" i="3085"/>
  <c r="I34" i="3085"/>
  <c r="H34" i="3085"/>
  <c r="E34" i="3085"/>
  <c r="J32" i="3085"/>
  <c r="I32" i="3085"/>
  <c r="H32" i="3085"/>
  <c r="E32" i="3085"/>
  <c r="J31" i="3085"/>
  <c r="I31" i="3085"/>
  <c r="H31" i="3085"/>
  <c r="E31" i="3085"/>
  <c r="B31" i="3085" s="1"/>
  <c r="K31" i="3085" s="1"/>
  <c r="C31" i="3085" s="1"/>
  <c r="J30" i="3085"/>
  <c r="I30" i="3085"/>
  <c r="H30" i="3085"/>
  <c r="E30" i="3085"/>
  <c r="J29" i="3085"/>
  <c r="I29" i="3085"/>
  <c r="H29" i="3085"/>
  <c r="E29" i="3085"/>
  <c r="B29" i="3085" s="1"/>
  <c r="K29" i="3085" s="1"/>
  <c r="J28" i="3085"/>
  <c r="I28" i="3085"/>
  <c r="H28" i="3085"/>
  <c r="E28" i="3085"/>
  <c r="B28" i="3085" s="1"/>
  <c r="K28" i="3085" s="1"/>
  <c r="J27" i="3085"/>
  <c r="I27" i="3085"/>
  <c r="H27" i="3085"/>
  <c r="E27" i="3085"/>
  <c r="J26" i="3085"/>
  <c r="I26" i="3085"/>
  <c r="H26" i="3085"/>
  <c r="E26" i="3085"/>
  <c r="B26" i="3085" s="1"/>
  <c r="K26" i="3085" s="1"/>
  <c r="C26" i="3085" s="1"/>
  <c r="J25" i="3085"/>
  <c r="I25" i="3085"/>
  <c r="H25" i="3085"/>
  <c r="E25" i="3085"/>
  <c r="B25" i="3085" s="1"/>
  <c r="K25" i="3085" s="1"/>
  <c r="J24" i="3085"/>
  <c r="I24" i="3085"/>
  <c r="H24" i="3085"/>
  <c r="E24" i="3085"/>
  <c r="B24" i="3085" s="1"/>
  <c r="K24" i="3085" s="1"/>
  <c r="J23" i="3085"/>
  <c r="I23" i="3085"/>
  <c r="H23" i="3085"/>
  <c r="E23" i="3085"/>
  <c r="J22" i="3085"/>
  <c r="I22" i="3085"/>
  <c r="H22" i="3085"/>
  <c r="E22" i="3085"/>
  <c r="J21" i="3085"/>
  <c r="I21" i="3085"/>
  <c r="H21" i="3085"/>
  <c r="E21" i="3085"/>
  <c r="B21" i="3085" s="1"/>
  <c r="K21" i="3085" s="1"/>
  <c r="C21" i="3085" s="1"/>
  <c r="J20" i="3085"/>
  <c r="I20" i="3085"/>
  <c r="H20" i="3085"/>
  <c r="E20" i="3085"/>
  <c r="B20" i="3085" s="1"/>
  <c r="K20" i="3085" s="1"/>
  <c r="J19" i="3085"/>
  <c r="I19" i="3085"/>
  <c r="H19" i="3085"/>
  <c r="E19" i="3085"/>
  <c r="J18" i="3085"/>
  <c r="I18" i="3085"/>
  <c r="H18" i="3085"/>
  <c r="E18" i="3085"/>
  <c r="J17" i="3085"/>
  <c r="I17" i="3085"/>
  <c r="H17" i="3085"/>
  <c r="E17" i="3085"/>
  <c r="J16" i="3085"/>
  <c r="I16" i="3085"/>
  <c r="H16" i="3085"/>
  <c r="E16" i="3085"/>
  <c r="B16" i="3085" s="1"/>
  <c r="K16" i="3085" s="1"/>
  <c r="C16" i="3085" s="1"/>
  <c r="J15" i="3085"/>
  <c r="I15" i="3085"/>
  <c r="H15" i="3085"/>
  <c r="E15" i="3085"/>
  <c r="J14" i="3085"/>
  <c r="I14" i="3085"/>
  <c r="H14" i="3085"/>
  <c r="E14" i="3085"/>
  <c r="J13" i="3085"/>
  <c r="I13" i="3085"/>
  <c r="H13" i="3085"/>
  <c r="E13" i="3085"/>
  <c r="J12" i="3085"/>
  <c r="I12" i="3085"/>
  <c r="H12" i="3085"/>
  <c r="E12" i="3085"/>
  <c r="J11" i="3085"/>
  <c r="I11" i="3085"/>
  <c r="H11" i="3085"/>
  <c r="E11" i="3085"/>
  <c r="J10" i="3085"/>
  <c r="I10" i="3085"/>
  <c r="H10" i="3085"/>
  <c r="E10" i="3085"/>
  <c r="J8" i="3085"/>
  <c r="I8" i="3085"/>
  <c r="H8" i="3085"/>
  <c r="A8" i="3085"/>
  <c r="G1" i="3085"/>
  <c r="D103" i="3084"/>
  <c r="D101" i="3084"/>
  <c r="F101" i="3084" s="1"/>
  <c r="F100" i="3084"/>
  <c r="D100" i="3084"/>
  <c r="D99" i="3084"/>
  <c r="F99" i="3084" s="1"/>
  <c r="D98" i="3084"/>
  <c r="F98" i="3084" s="1"/>
  <c r="D97" i="3084"/>
  <c r="F97" i="3084" s="1"/>
  <c r="D96" i="3084"/>
  <c r="F96" i="3084" s="1"/>
  <c r="D95" i="3084"/>
  <c r="F95" i="3084" s="1"/>
  <c r="D94" i="3084"/>
  <c r="F94" i="3084" s="1"/>
  <c r="D93" i="3084"/>
  <c r="F93" i="3084" s="1"/>
  <c r="D92" i="3084"/>
  <c r="F92" i="3084" s="1"/>
  <c r="D91" i="3084"/>
  <c r="F91" i="3084" s="1"/>
  <c r="D90" i="3084"/>
  <c r="F90" i="3084" s="1"/>
  <c r="D89" i="3084"/>
  <c r="F89" i="3084" s="1"/>
  <c r="D88" i="3084"/>
  <c r="F88" i="3084" s="1"/>
  <c r="D87" i="3084"/>
  <c r="F87" i="3084" s="1"/>
  <c r="D86" i="3084"/>
  <c r="F86" i="3084" s="1"/>
  <c r="D85" i="3084"/>
  <c r="F85" i="3084" s="1"/>
  <c r="D84" i="3084"/>
  <c r="F84" i="3084" s="1"/>
  <c r="D83" i="3084"/>
  <c r="F83" i="3084" s="1"/>
  <c r="D82" i="3084"/>
  <c r="F82" i="3084" s="1"/>
  <c r="D81" i="3084"/>
  <c r="F81" i="3084" s="1"/>
  <c r="D80" i="3084"/>
  <c r="F80" i="3084" s="1"/>
  <c r="I75" i="3084"/>
  <c r="I74" i="3084"/>
  <c r="I73" i="3084"/>
  <c r="I72" i="3084"/>
  <c r="E71" i="3084"/>
  <c r="F71" i="3084" s="1"/>
  <c r="K71" i="3084" s="1"/>
  <c r="E70" i="3084"/>
  <c r="G70" i="3084" s="1"/>
  <c r="L70" i="3084" s="1"/>
  <c r="E69" i="3084"/>
  <c r="E68" i="3084"/>
  <c r="G68" i="3084" s="1"/>
  <c r="L68" i="3084" s="1"/>
  <c r="E67" i="3084"/>
  <c r="F67" i="3084" s="1"/>
  <c r="K67" i="3084" s="1"/>
  <c r="E66" i="3084"/>
  <c r="G66" i="3084" s="1"/>
  <c r="L66" i="3084" s="1"/>
  <c r="E65" i="3084"/>
  <c r="E64" i="3084"/>
  <c r="G64" i="3084" s="1"/>
  <c r="L64" i="3084" s="1"/>
  <c r="E63" i="3084"/>
  <c r="G63" i="3084" s="1"/>
  <c r="L63" i="3084" s="1"/>
  <c r="E62" i="3084"/>
  <c r="G62" i="3084" s="1"/>
  <c r="L62" i="3084" s="1"/>
  <c r="E61" i="3084"/>
  <c r="E60" i="3084"/>
  <c r="G60" i="3084" s="1"/>
  <c r="K40" i="3084"/>
  <c r="J40" i="3084"/>
  <c r="I40" i="3084"/>
  <c r="H40" i="3084"/>
  <c r="E40" i="3084"/>
  <c r="J39" i="3084"/>
  <c r="I39" i="3084"/>
  <c r="H39" i="3084"/>
  <c r="E39" i="3084"/>
  <c r="B39" i="3084" s="1"/>
  <c r="K39" i="3084" s="1"/>
  <c r="J38" i="3084"/>
  <c r="I38" i="3084"/>
  <c r="H38" i="3084"/>
  <c r="B38" i="3084"/>
  <c r="K38" i="3084" s="1"/>
  <c r="C38" i="3084" s="1"/>
  <c r="J37" i="3084"/>
  <c r="I37" i="3084"/>
  <c r="H37" i="3084"/>
  <c r="E37" i="3084"/>
  <c r="B37" i="3084" s="1"/>
  <c r="K37" i="3084" s="1"/>
  <c r="J36" i="3084"/>
  <c r="I36" i="3084"/>
  <c r="H36" i="3084"/>
  <c r="E36" i="3084"/>
  <c r="B36" i="3084" s="1"/>
  <c r="K36" i="3084" s="1"/>
  <c r="C36" i="3084" s="1"/>
  <c r="J35" i="3084"/>
  <c r="I35" i="3084"/>
  <c r="H35" i="3084"/>
  <c r="E35" i="3084"/>
  <c r="B35" i="3084" s="1"/>
  <c r="K35" i="3084" s="1"/>
  <c r="J34" i="3084"/>
  <c r="I34" i="3084"/>
  <c r="H34" i="3084"/>
  <c r="E34" i="3084"/>
  <c r="J33" i="3084"/>
  <c r="I33" i="3084"/>
  <c r="H33" i="3084"/>
  <c r="E33" i="3084"/>
  <c r="B33" i="3084" s="1"/>
  <c r="K33" i="3084" s="1"/>
  <c r="J32" i="3084"/>
  <c r="I32" i="3084"/>
  <c r="H32" i="3084"/>
  <c r="E32" i="3084"/>
  <c r="B32" i="3084" s="1"/>
  <c r="K32" i="3084" s="1"/>
  <c r="C32" i="3084" s="1"/>
  <c r="J30" i="3084"/>
  <c r="I30" i="3084"/>
  <c r="H30" i="3084"/>
  <c r="E30" i="3084"/>
  <c r="B30" i="3084" s="1"/>
  <c r="K30" i="3084" s="1"/>
  <c r="J29" i="3084"/>
  <c r="I29" i="3084"/>
  <c r="H29" i="3084"/>
  <c r="E29" i="3084"/>
  <c r="J28" i="3084"/>
  <c r="I28" i="3084"/>
  <c r="H28" i="3084"/>
  <c r="E28" i="3084"/>
  <c r="B28" i="3084" s="1"/>
  <c r="K28" i="3084" s="1"/>
  <c r="J27" i="3084"/>
  <c r="I27" i="3084"/>
  <c r="H27" i="3084"/>
  <c r="E27" i="3084"/>
  <c r="B27" i="3084" s="1"/>
  <c r="K27" i="3084" s="1"/>
  <c r="C27" i="3084" s="1"/>
  <c r="J26" i="3084"/>
  <c r="I26" i="3084"/>
  <c r="H26" i="3084"/>
  <c r="E26" i="3084"/>
  <c r="J25" i="3084"/>
  <c r="I25" i="3084"/>
  <c r="H25" i="3084"/>
  <c r="E25" i="3084"/>
  <c r="B25" i="3084" s="1"/>
  <c r="K25" i="3084" s="1"/>
  <c r="J24" i="3084"/>
  <c r="I24" i="3084"/>
  <c r="H24" i="3084"/>
  <c r="E24" i="3084"/>
  <c r="B24" i="3084" s="1"/>
  <c r="K24" i="3084" s="1"/>
  <c r="C24" i="3084" s="1"/>
  <c r="J23" i="3084"/>
  <c r="I23" i="3084"/>
  <c r="H23" i="3084"/>
  <c r="E23" i="3084"/>
  <c r="B23" i="3084" s="1"/>
  <c r="K23" i="3084" s="1"/>
  <c r="J22" i="3084"/>
  <c r="I22" i="3084"/>
  <c r="H22" i="3084"/>
  <c r="E22" i="3084"/>
  <c r="J21" i="3084"/>
  <c r="I21" i="3084"/>
  <c r="H21" i="3084"/>
  <c r="E21" i="3084"/>
  <c r="B21" i="3084" s="1"/>
  <c r="K21" i="3084" s="1"/>
  <c r="C21" i="3084" s="1"/>
  <c r="J20" i="3084"/>
  <c r="I20" i="3084"/>
  <c r="H20" i="3084"/>
  <c r="E20" i="3084"/>
  <c r="B20" i="3084" s="1"/>
  <c r="K20" i="3084" s="1"/>
  <c r="J19" i="3084"/>
  <c r="I19" i="3084"/>
  <c r="H19" i="3084"/>
  <c r="E19" i="3084"/>
  <c r="B19" i="3084" s="1"/>
  <c r="K19" i="3084" s="1"/>
  <c r="J18" i="3084"/>
  <c r="I18" i="3084"/>
  <c r="H18" i="3084"/>
  <c r="E18" i="3084"/>
  <c r="J17" i="3084"/>
  <c r="I17" i="3084"/>
  <c r="H17" i="3084"/>
  <c r="E17" i="3084"/>
  <c r="J16" i="3084"/>
  <c r="I16" i="3084"/>
  <c r="H16" i="3084"/>
  <c r="E16" i="3084"/>
  <c r="B16" i="3084" s="1"/>
  <c r="K16" i="3084" s="1"/>
  <c r="C16" i="3084" s="1"/>
  <c r="J15" i="3084"/>
  <c r="I15" i="3084"/>
  <c r="H15" i="3084"/>
  <c r="E15" i="3084"/>
  <c r="B15" i="3084" s="1"/>
  <c r="K15" i="3084" s="1"/>
  <c r="J14" i="3084"/>
  <c r="I14" i="3084"/>
  <c r="H14" i="3084"/>
  <c r="E14" i="3084"/>
  <c r="J13" i="3084"/>
  <c r="I13" i="3084"/>
  <c r="H13" i="3084"/>
  <c r="E13" i="3084"/>
  <c r="J12" i="3084"/>
  <c r="I12" i="3084"/>
  <c r="H12" i="3084"/>
  <c r="E12" i="3084"/>
  <c r="J11" i="3084"/>
  <c r="I11" i="3084"/>
  <c r="H11" i="3084"/>
  <c r="E11" i="3084"/>
  <c r="J10" i="3084"/>
  <c r="I10" i="3084"/>
  <c r="H10" i="3084"/>
  <c r="E10" i="3084"/>
  <c r="J9" i="3084"/>
  <c r="I9" i="3084"/>
  <c r="H9" i="3084"/>
  <c r="E9" i="3084"/>
  <c r="J8" i="3084"/>
  <c r="I8" i="3084"/>
  <c r="H8" i="3084"/>
  <c r="E8" i="3084"/>
  <c r="A8" i="3084"/>
  <c r="G8" i="3084" s="1"/>
  <c r="G1" i="3084"/>
  <c r="D103" i="3083"/>
  <c r="D101" i="3083"/>
  <c r="F101" i="3083" s="1"/>
  <c r="D100" i="3083"/>
  <c r="F100" i="3083" s="1"/>
  <c r="D99" i="3083"/>
  <c r="F99" i="3083" s="1"/>
  <c r="D98" i="3083"/>
  <c r="F98" i="3083" s="1"/>
  <c r="D97" i="3083"/>
  <c r="F97" i="3083" s="1"/>
  <c r="D96" i="3083"/>
  <c r="F96" i="3083" s="1"/>
  <c r="D95" i="3083"/>
  <c r="F95" i="3083" s="1"/>
  <c r="D94" i="3083"/>
  <c r="F94" i="3083" s="1"/>
  <c r="D93" i="3083"/>
  <c r="F93" i="3083" s="1"/>
  <c r="D92" i="3083"/>
  <c r="F92" i="3083" s="1"/>
  <c r="D91" i="3083"/>
  <c r="F91" i="3083" s="1"/>
  <c r="D90" i="3083"/>
  <c r="F90" i="3083" s="1"/>
  <c r="D89" i="3083"/>
  <c r="F89" i="3083" s="1"/>
  <c r="D88" i="3083"/>
  <c r="F88" i="3083" s="1"/>
  <c r="D87" i="3083"/>
  <c r="F87" i="3083" s="1"/>
  <c r="D86" i="3083"/>
  <c r="F86" i="3083" s="1"/>
  <c r="D85" i="3083"/>
  <c r="F85" i="3083" s="1"/>
  <c r="D84" i="3083"/>
  <c r="F84" i="3083" s="1"/>
  <c r="D83" i="3083"/>
  <c r="F83" i="3083" s="1"/>
  <c r="D82" i="3083"/>
  <c r="F82" i="3083" s="1"/>
  <c r="D81" i="3083"/>
  <c r="F81" i="3083" s="1"/>
  <c r="D80" i="3083"/>
  <c r="F80" i="3083" s="1"/>
  <c r="I75" i="3083"/>
  <c r="I74" i="3083"/>
  <c r="I73" i="3083"/>
  <c r="I72" i="3083"/>
  <c r="E71" i="3083"/>
  <c r="F71" i="3083" s="1"/>
  <c r="K71" i="3083" s="1"/>
  <c r="E70" i="3083"/>
  <c r="F70" i="3083" s="1"/>
  <c r="K70" i="3083" s="1"/>
  <c r="E69" i="3083"/>
  <c r="H69" i="3083" s="1"/>
  <c r="F68" i="3083"/>
  <c r="K68" i="3083" s="1"/>
  <c r="E68" i="3083"/>
  <c r="I68" i="3083" s="1"/>
  <c r="E67" i="3083"/>
  <c r="F67" i="3083" s="1"/>
  <c r="K67" i="3083" s="1"/>
  <c r="E66" i="3083"/>
  <c r="F66" i="3083" s="1"/>
  <c r="K66" i="3083" s="1"/>
  <c r="E65" i="3083"/>
  <c r="H65" i="3083" s="1"/>
  <c r="E64" i="3083"/>
  <c r="G64" i="3083" s="1"/>
  <c r="L64" i="3083" s="1"/>
  <c r="E63" i="3083"/>
  <c r="F63" i="3083" s="1"/>
  <c r="K63" i="3083" s="1"/>
  <c r="E62" i="3083"/>
  <c r="F62" i="3083" s="1"/>
  <c r="K62" i="3083" s="1"/>
  <c r="E61" i="3083"/>
  <c r="H61" i="3083" s="1"/>
  <c r="E60" i="3083"/>
  <c r="K40" i="3083"/>
  <c r="J40" i="3083"/>
  <c r="I40" i="3083"/>
  <c r="H40" i="3083"/>
  <c r="E40" i="3083"/>
  <c r="C40" i="3083" s="1"/>
  <c r="J39" i="3083"/>
  <c r="I39" i="3083"/>
  <c r="H39" i="3083"/>
  <c r="E39" i="3083"/>
  <c r="B39" i="3083" s="1"/>
  <c r="K39" i="3083" s="1"/>
  <c r="J38" i="3083"/>
  <c r="I38" i="3083"/>
  <c r="H38" i="3083"/>
  <c r="E38" i="3083"/>
  <c r="B38" i="3083" s="1"/>
  <c r="K38" i="3083" s="1"/>
  <c r="J37" i="3083"/>
  <c r="I37" i="3083"/>
  <c r="H37" i="3083"/>
  <c r="E37" i="3083"/>
  <c r="B37" i="3083" s="1"/>
  <c r="K37" i="3083" s="1"/>
  <c r="C37" i="3083" s="1"/>
  <c r="J36" i="3083"/>
  <c r="I36" i="3083"/>
  <c r="H36" i="3083"/>
  <c r="E36" i="3083"/>
  <c r="B36" i="3083" s="1"/>
  <c r="K36" i="3083" s="1"/>
  <c r="J35" i="3083"/>
  <c r="I35" i="3083"/>
  <c r="H35" i="3083"/>
  <c r="E35" i="3083"/>
  <c r="J34" i="3083"/>
  <c r="I34" i="3083"/>
  <c r="H34" i="3083"/>
  <c r="E34" i="3083"/>
  <c r="B34" i="3083" s="1"/>
  <c r="K34" i="3083" s="1"/>
  <c r="C34" i="3083" s="1"/>
  <c r="J33" i="3083"/>
  <c r="I33" i="3083"/>
  <c r="H33" i="3083"/>
  <c r="E33" i="3083"/>
  <c r="B33" i="3083" s="1"/>
  <c r="K33" i="3083" s="1"/>
  <c r="J32" i="3083"/>
  <c r="I32" i="3083"/>
  <c r="H32" i="3083"/>
  <c r="E32" i="3083"/>
  <c r="B32" i="3083" s="1"/>
  <c r="K32" i="3083" s="1"/>
  <c r="J30" i="3083"/>
  <c r="I30" i="3083"/>
  <c r="H30" i="3083"/>
  <c r="E30" i="3083"/>
  <c r="J29" i="3083"/>
  <c r="I29" i="3083"/>
  <c r="H29" i="3083"/>
  <c r="E29" i="3083"/>
  <c r="B29" i="3083" s="1"/>
  <c r="K29" i="3083" s="1"/>
  <c r="C29" i="3083" s="1"/>
  <c r="J28" i="3083"/>
  <c r="I28" i="3083"/>
  <c r="H28" i="3083"/>
  <c r="E28" i="3083"/>
  <c r="B28" i="3083" s="1"/>
  <c r="K28" i="3083" s="1"/>
  <c r="J27" i="3083"/>
  <c r="I27" i="3083"/>
  <c r="H27" i="3083"/>
  <c r="E27" i="3083"/>
  <c r="B27" i="3083" s="1"/>
  <c r="K27" i="3083" s="1"/>
  <c r="J26" i="3083"/>
  <c r="I26" i="3083"/>
  <c r="H26" i="3083"/>
  <c r="E26" i="3083"/>
  <c r="B26" i="3083" s="1"/>
  <c r="K26" i="3083" s="1"/>
  <c r="C26" i="3083" s="1"/>
  <c r="J25" i="3083"/>
  <c r="I25" i="3083"/>
  <c r="H25" i="3083"/>
  <c r="E25" i="3083"/>
  <c r="B25" i="3083" s="1"/>
  <c r="K25" i="3083" s="1"/>
  <c r="J24" i="3083"/>
  <c r="I24" i="3083"/>
  <c r="H24" i="3083"/>
  <c r="E24" i="3083"/>
  <c r="B24" i="3083" s="1"/>
  <c r="K24" i="3083" s="1"/>
  <c r="J23" i="3083"/>
  <c r="I23" i="3083"/>
  <c r="H23" i="3083"/>
  <c r="E23" i="3083"/>
  <c r="J22" i="3083"/>
  <c r="I22" i="3083"/>
  <c r="H22" i="3083"/>
  <c r="E22" i="3083"/>
  <c r="B22" i="3083" s="1"/>
  <c r="K22" i="3083" s="1"/>
  <c r="C22" i="3083" s="1"/>
  <c r="J21" i="3083"/>
  <c r="I21" i="3083"/>
  <c r="H21" i="3083"/>
  <c r="E21" i="3083"/>
  <c r="B21" i="3083" s="1"/>
  <c r="K21" i="3083" s="1"/>
  <c r="J20" i="3083"/>
  <c r="I20" i="3083"/>
  <c r="H20" i="3083"/>
  <c r="E20" i="3083"/>
  <c r="B20" i="3083" s="1"/>
  <c r="K20" i="3083" s="1"/>
  <c r="J19" i="3083"/>
  <c r="I19" i="3083"/>
  <c r="H19" i="3083"/>
  <c r="E19" i="3083"/>
  <c r="J18" i="3083"/>
  <c r="I18" i="3083"/>
  <c r="H18" i="3083"/>
  <c r="E18" i="3083"/>
  <c r="B18" i="3083" s="1"/>
  <c r="K18" i="3083" s="1"/>
  <c r="C18" i="3083" s="1"/>
  <c r="J17" i="3083"/>
  <c r="I17" i="3083"/>
  <c r="H17" i="3083"/>
  <c r="E17" i="3083"/>
  <c r="B17" i="3083" s="1"/>
  <c r="K17" i="3083" s="1"/>
  <c r="J16" i="3083"/>
  <c r="I16" i="3083"/>
  <c r="H16" i="3083"/>
  <c r="E16" i="3083"/>
  <c r="B16" i="3083" s="1"/>
  <c r="K16" i="3083" s="1"/>
  <c r="J15" i="3083"/>
  <c r="I15" i="3083"/>
  <c r="H15" i="3083"/>
  <c r="E15" i="3083"/>
  <c r="J14" i="3083"/>
  <c r="I14" i="3083"/>
  <c r="H14" i="3083"/>
  <c r="E14" i="3083"/>
  <c r="B14" i="3083" s="1"/>
  <c r="K14" i="3083" s="1"/>
  <c r="C14" i="3083" s="1"/>
  <c r="J13" i="3083"/>
  <c r="I13" i="3083"/>
  <c r="H13" i="3083"/>
  <c r="E13" i="3083"/>
  <c r="J12" i="3083"/>
  <c r="I12" i="3083"/>
  <c r="H12" i="3083"/>
  <c r="E12" i="3083"/>
  <c r="J11" i="3083"/>
  <c r="I11" i="3083"/>
  <c r="H11" i="3083"/>
  <c r="E11" i="3083"/>
  <c r="J10" i="3083"/>
  <c r="I10" i="3083"/>
  <c r="H10" i="3083"/>
  <c r="E10" i="3083"/>
  <c r="J8" i="3083"/>
  <c r="I8" i="3083"/>
  <c r="H8" i="3083"/>
  <c r="E8" i="3083"/>
  <c r="A8" i="3083"/>
  <c r="A11" i="3083" s="1"/>
  <c r="A13" i="3083" s="1"/>
  <c r="G1" i="3083"/>
  <c r="K42" i="3081"/>
  <c r="J42" i="3081"/>
  <c r="I42" i="3081"/>
  <c r="H42" i="3081"/>
  <c r="E42" i="3081"/>
  <c r="B42" i="3081" s="1"/>
  <c r="C42" i="3081"/>
  <c r="D103" i="3082"/>
  <c r="D101" i="3082"/>
  <c r="F101" i="3082" s="1"/>
  <c r="D100" i="3082"/>
  <c r="F100" i="3082" s="1"/>
  <c r="D99" i="3082"/>
  <c r="F99" i="3082" s="1"/>
  <c r="D98" i="3082"/>
  <c r="F98" i="3082" s="1"/>
  <c r="D97" i="3082"/>
  <c r="F97" i="3082" s="1"/>
  <c r="D96" i="3082"/>
  <c r="F96" i="3082" s="1"/>
  <c r="D95" i="3082"/>
  <c r="F95" i="3082" s="1"/>
  <c r="D94" i="3082"/>
  <c r="F94" i="3082" s="1"/>
  <c r="D93" i="3082"/>
  <c r="F93" i="3082" s="1"/>
  <c r="D92" i="3082"/>
  <c r="F92" i="3082" s="1"/>
  <c r="D91" i="3082"/>
  <c r="F91" i="3082" s="1"/>
  <c r="D90" i="3082"/>
  <c r="F90" i="3082" s="1"/>
  <c r="D89" i="3082"/>
  <c r="F89" i="3082" s="1"/>
  <c r="D88" i="3082"/>
  <c r="F88" i="3082" s="1"/>
  <c r="D87" i="3082"/>
  <c r="F87" i="3082" s="1"/>
  <c r="D86" i="3082"/>
  <c r="F86" i="3082" s="1"/>
  <c r="D85" i="3082"/>
  <c r="F85" i="3082" s="1"/>
  <c r="D84" i="3082"/>
  <c r="F84" i="3082" s="1"/>
  <c r="D83" i="3082"/>
  <c r="F83" i="3082" s="1"/>
  <c r="D82" i="3082"/>
  <c r="F82" i="3082" s="1"/>
  <c r="D81" i="3082"/>
  <c r="F81" i="3082" s="1"/>
  <c r="D80" i="3082"/>
  <c r="F80" i="3082" s="1"/>
  <c r="I75" i="3082"/>
  <c r="I74" i="3082"/>
  <c r="I73" i="3082"/>
  <c r="I72" i="3082"/>
  <c r="E71" i="3082"/>
  <c r="F71" i="3082" s="1"/>
  <c r="K71" i="3082" s="1"/>
  <c r="E70" i="3082"/>
  <c r="H70" i="3082" s="1"/>
  <c r="E69" i="3082"/>
  <c r="H69" i="3082" s="1"/>
  <c r="E68" i="3082"/>
  <c r="G68" i="3082" s="1"/>
  <c r="L68" i="3082" s="1"/>
  <c r="E67" i="3082"/>
  <c r="F67" i="3082" s="1"/>
  <c r="K67" i="3082" s="1"/>
  <c r="E66" i="3082"/>
  <c r="I66" i="3082" s="1"/>
  <c r="E65" i="3082"/>
  <c r="H65" i="3082" s="1"/>
  <c r="E64" i="3082"/>
  <c r="G64" i="3082" s="1"/>
  <c r="L64" i="3082" s="1"/>
  <c r="E63" i="3082"/>
  <c r="F63" i="3082" s="1"/>
  <c r="K63" i="3082" s="1"/>
  <c r="E62" i="3082"/>
  <c r="F62" i="3082" s="1"/>
  <c r="K62" i="3082" s="1"/>
  <c r="E61" i="3082"/>
  <c r="H61" i="3082" s="1"/>
  <c r="E60" i="3082"/>
  <c r="K40" i="3082"/>
  <c r="J40" i="3082"/>
  <c r="I40" i="3082"/>
  <c r="H40" i="3082"/>
  <c r="E40" i="3082"/>
  <c r="C40" i="3082" s="1"/>
  <c r="J39" i="3082"/>
  <c r="I39" i="3082"/>
  <c r="H39" i="3082"/>
  <c r="E39" i="3082"/>
  <c r="J38" i="3082"/>
  <c r="I38" i="3082"/>
  <c r="H38" i="3082"/>
  <c r="E38" i="3082"/>
  <c r="B38" i="3082" s="1"/>
  <c r="K38" i="3082" s="1"/>
  <c r="J37" i="3082"/>
  <c r="I37" i="3082"/>
  <c r="H37" i="3082"/>
  <c r="E37" i="3082"/>
  <c r="B37" i="3082" s="1"/>
  <c r="K37" i="3082" s="1"/>
  <c r="C37" i="3082" s="1"/>
  <c r="J36" i="3082"/>
  <c r="I36" i="3082"/>
  <c r="H36" i="3082"/>
  <c r="E36" i="3082"/>
  <c r="B36" i="3082" s="1"/>
  <c r="K36" i="3082" s="1"/>
  <c r="J35" i="3082"/>
  <c r="I35" i="3082"/>
  <c r="H35" i="3082"/>
  <c r="E35" i="3082"/>
  <c r="B35" i="3082" s="1"/>
  <c r="K35" i="3082" s="1"/>
  <c r="J34" i="3082"/>
  <c r="I34" i="3082"/>
  <c r="H34" i="3082"/>
  <c r="E34" i="3082"/>
  <c r="J33" i="3082"/>
  <c r="I33" i="3082"/>
  <c r="H33" i="3082"/>
  <c r="E33" i="3082"/>
  <c r="B33" i="3082" s="1"/>
  <c r="K33" i="3082" s="1"/>
  <c r="C33" i="3082" s="1"/>
  <c r="J32" i="3082"/>
  <c r="I32" i="3082"/>
  <c r="H32" i="3082"/>
  <c r="E32" i="3082"/>
  <c r="B32" i="3082" s="1"/>
  <c r="K32" i="3082" s="1"/>
  <c r="C32" i="3082" s="1"/>
  <c r="J31" i="3082"/>
  <c r="I31" i="3082"/>
  <c r="H31" i="3082"/>
  <c r="E31" i="3082"/>
  <c r="B31" i="3082" s="1"/>
  <c r="K31" i="3082" s="1"/>
  <c r="J28" i="3082"/>
  <c r="I28" i="3082"/>
  <c r="H28" i="3082"/>
  <c r="E28" i="3082"/>
  <c r="J27" i="3082"/>
  <c r="I27" i="3082"/>
  <c r="H27" i="3082"/>
  <c r="E27" i="3082"/>
  <c r="J26" i="3082"/>
  <c r="I26" i="3082"/>
  <c r="H26" i="3082"/>
  <c r="E26" i="3082"/>
  <c r="B26" i="3082" s="1"/>
  <c r="K26" i="3082" s="1"/>
  <c r="C26" i="3082" s="1"/>
  <c r="J25" i="3082"/>
  <c r="I25" i="3082"/>
  <c r="H25" i="3082"/>
  <c r="E25" i="3082"/>
  <c r="B25" i="3082" s="1"/>
  <c r="K25" i="3082" s="1"/>
  <c r="C25" i="3082" s="1"/>
  <c r="J24" i="3082"/>
  <c r="I24" i="3082"/>
  <c r="H24" i="3082"/>
  <c r="E24" i="3082"/>
  <c r="J23" i="3082"/>
  <c r="I23" i="3082"/>
  <c r="H23" i="3082"/>
  <c r="E23" i="3082"/>
  <c r="B23" i="3082" s="1"/>
  <c r="K23" i="3082" s="1"/>
  <c r="J22" i="3082"/>
  <c r="I22" i="3082"/>
  <c r="H22" i="3082"/>
  <c r="E22" i="3082"/>
  <c r="J21" i="3082"/>
  <c r="I21" i="3082"/>
  <c r="H21" i="3082"/>
  <c r="E21" i="3082"/>
  <c r="B21" i="3082" s="1"/>
  <c r="K21" i="3082" s="1"/>
  <c r="C21" i="3082" s="1"/>
  <c r="J20" i="3082"/>
  <c r="I20" i="3082"/>
  <c r="H20" i="3082"/>
  <c r="E20" i="3082"/>
  <c r="J19" i="3082"/>
  <c r="I19" i="3082"/>
  <c r="H19" i="3082"/>
  <c r="E19" i="3082"/>
  <c r="B19" i="3082" s="1"/>
  <c r="K19" i="3082" s="1"/>
  <c r="C19" i="3082" s="1"/>
  <c r="J18" i="3082"/>
  <c r="I18" i="3082"/>
  <c r="H18" i="3082"/>
  <c r="E18" i="3082"/>
  <c r="B18" i="3082" s="1"/>
  <c r="K18" i="3082" s="1"/>
  <c r="C18" i="3082" s="1"/>
  <c r="J17" i="3082"/>
  <c r="I17" i="3082"/>
  <c r="H17" i="3082"/>
  <c r="E17" i="3082"/>
  <c r="B17" i="3082" s="1"/>
  <c r="K17" i="3082" s="1"/>
  <c r="J16" i="3082"/>
  <c r="I16" i="3082"/>
  <c r="H16" i="3082"/>
  <c r="E16" i="3082"/>
  <c r="J14" i="3082"/>
  <c r="I14" i="3082"/>
  <c r="H14" i="3082"/>
  <c r="E14" i="3082"/>
  <c r="B14" i="3082" s="1"/>
  <c r="J12" i="3082"/>
  <c r="I12" i="3082"/>
  <c r="H12" i="3082"/>
  <c r="E12" i="3082"/>
  <c r="J10" i="3082"/>
  <c r="I10" i="3082"/>
  <c r="J8" i="3082"/>
  <c r="I8" i="3082"/>
  <c r="H8" i="3082"/>
  <c r="E8" i="3082"/>
  <c r="A8" i="3082"/>
  <c r="G1" i="3082"/>
  <c r="E39" i="3063"/>
  <c r="B39" i="3063" s="1"/>
  <c r="H39" i="3063"/>
  <c r="I39" i="3063"/>
  <c r="J39" i="3063"/>
  <c r="K39" i="3063"/>
  <c r="E40" i="3063"/>
  <c r="B40" i="3063" s="1"/>
  <c r="H40" i="3063"/>
  <c r="I40" i="3063"/>
  <c r="J40" i="3063"/>
  <c r="K40" i="3063"/>
  <c r="E41" i="3063"/>
  <c r="C41" i="3063" s="1"/>
  <c r="H41" i="3063"/>
  <c r="I41" i="3063"/>
  <c r="J41" i="3063"/>
  <c r="K41" i="3063"/>
  <c r="E42" i="3063"/>
  <c r="B42" i="3063" s="1"/>
  <c r="H42" i="3063"/>
  <c r="I42" i="3063"/>
  <c r="J42" i="3063"/>
  <c r="K42" i="3063"/>
  <c r="D105" i="3081"/>
  <c r="D103" i="3081"/>
  <c r="F103" i="3081" s="1"/>
  <c r="D102" i="3081"/>
  <c r="F102" i="3081" s="1"/>
  <c r="D101" i="3081"/>
  <c r="F101" i="3081" s="1"/>
  <c r="D100" i="3081"/>
  <c r="F100" i="3081" s="1"/>
  <c r="D99" i="3081"/>
  <c r="F99" i="3081" s="1"/>
  <c r="D98" i="3081"/>
  <c r="F98" i="3081" s="1"/>
  <c r="D97" i="3081"/>
  <c r="F97" i="3081" s="1"/>
  <c r="D96" i="3081"/>
  <c r="F96" i="3081" s="1"/>
  <c r="D95" i="3081"/>
  <c r="F95" i="3081" s="1"/>
  <c r="D94" i="3081"/>
  <c r="F94" i="3081" s="1"/>
  <c r="D93" i="3081"/>
  <c r="F93" i="3081" s="1"/>
  <c r="D92" i="3081"/>
  <c r="F92" i="3081" s="1"/>
  <c r="D91" i="3081"/>
  <c r="F91" i="3081" s="1"/>
  <c r="D90" i="3081"/>
  <c r="F90" i="3081" s="1"/>
  <c r="D89" i="3081"/>
  <c r="F89" i="3081" s="1"/>
  <c r="D88" i="3081"/>
  <c r="F88" i="3081" s="1"/>
  <c r="D87" i="3081"/>
  <c r="F87" i="3081" s="1"/>
  <c r="D86" i="3081"/>
  <c r="F86" i="3081" s="1"/>
  <c r="D85" i="3081"/>
  <c r="F85" i="3081" s="1"/>
  <c r="D84" i="3081"/>
  <c r="F84" i="3081" s="1"/>
  <c r="D83" i="3081"/>
  <c r="F83" i="3081" s="1"/>
  <c r="D82" i="3081"/>
  <c r="F82" i="3081" s="1"/>
  <c r="I77" i="3081"/>
  <c r="I76" i="3081"/>
  <c r="I75" i="3081"/>
  <c r="I74" i="3081"/>
  <c r="E73" i="3081"/>
  <c r="F73" i="3081" s="1"/>
  <c r="K73" i="3081" s="1"/>
  <c r="E72" i="3081"/>
  <c r="F72" i="3081" s="1"/>
  <c r="K72" i="3081" s="1"/>
  <c r="E71" i="3081"/>
  <c r="H71" i="3081" s="1"/>
  <c r="E70" i="3081"/>
  <c r="E69" i="3081"/>
  <c r="F69" i="3081" s="1"/>
  <c r="K69" i="3081" s="1"/>
  <c r="E68" i="3081"/>
  <c r="H68" i="3081" s="1"/>
  <c r="E67" i="3081"/>
  <c r="H67" i="3081" s="1"/>
  <c r="E66" i="3081"/>
  <c r="H66" i="3081" s="1"/>
  <c r="E65" i="3081"/>
  <c r="F65" i="3081" s="1"/>
  <c r="K65" i="3081" s="1"/>
  <c r="E64" i="3081"/>
  <c r="H64" i="3081" s="1"/>
  <c r="E63" i="3081"/>
  <c r="H63" i="3081" s="1"/>
  <c r="E62" i="3081"/>
  <c r="J41" i="3081"/>
  <c r="I41" i="3081"/>
  <c r="H41" i="3081"/>
  <c r="E41" i="3081"/>
  <c r="J40" i="3081"/>
  <c r="I40" i="3081"/>
  <c r="H40" i="3081"/>
  <c r="E40" i="3081"/>
  <c r="B40" i="3081" s="1"/>
  <c r="K40" i="3081" s="1"/>
  <c r="J39" i="3081"/>
  <c r="I39" i="3081"/>
  <c r="H39" i="3081"/>
  <c r="E39" i="3081"/>
  <c r="B39" i="3081" s="1"/>
  <c r="K39" i="3081" s="1"/>
  <c r="J38" i="3081"/>
  <c r="I38" i="3081"/>
  <c r="H38" i="3081"/>
  <c r="E38" i="3081"/>
  <c r="J37" i="3081"/>
  <c r="I37" i="3081"/>
  <c r="H37" i="3081"/>
  <c r="E37" i="3081"/>
  <c r="B37" i="3081" s="1"/>
  <c r="K37" i="3081" s="1"/>
  <c r="C37" i="3081" s="1"/>
  <c r="J36" i="3081"/>
  <c r="I36" i="3081"/>
  <c r="H36" i="3081"/>
  <c r="E36" i="3081"/>
  <c r="B36" i="3081" s="1"/>
  <c r="K36" i="3081" s="1"/>
  <c r="J35" i="3081"/>
  <c r="I35" i="3081"/>
  <c r="H35" i="3081"/>
  <c r="E35" i="3081"/>
  <c r="B35" i="3081" s="1"/>
  <c r="K35" i="3081" s="1"/>
  <c r="J34" i="3081"/>
  <c r="I34" i="3081"/>
  <c r="H34" i="3081"/>
  <c r="E34" i="3081"/>
  <c r="J33" i="3081"/>
  <c r="I33" i="3081"/>
  <c r="H33" i="3081"/>
  <c r="E33" i="3081"/>
  <c r="B33" i="3081" s="1"/>
  <c r="K33" i="3081" s="1"/>
  <c r="C33" i="3081" s="1"/>
  <c r="J31" i="3081"/>
  <c r="I31" i="3081"/>
  <c r="H31" i="3081"/>
  <c r="E31" i="3081"/>
  <c r="B31" i="3081" s="1"/>
  <c r="K31" i="3081" s="1"/>
  <c r="J30" i="3081"/>
  <c r="I30" i="3081"/>
  <c r="H30" i="3081"/>
  <c r="E30" i="3081"/>
  <c r="B30" i="3081" s="1"/>
  <c r="K30" i="3081" s="1"/>
  <c r="J29" i="3081"/>
  <c r="I29" i="3081"/>
  <c r="H29" i="3081"/>
  <c r="E29" i="3081"/>
  <c r="B29" i="3081" s="1"/>
  <c r="K29" i="3081" s="1"/>
  <c r="J28" i="3081"/>
  <c r="I28" i="3081"/>
  <c r="H28" i="3081"/>
  <c r="E28" i="3081"/>
  <c r="J27" i="3081"/>
  <c r="I27" i="3081"/>
  <c r="H27" i="3081"/>
  <c r="E27" i="3081"/>
  <c r="B27" i="3081" s="1"/>
  <c r="K27" i="3081" s="1"/>
  <c r="C27" i="3081" s="1"/>
  <c r="J26" i="3081"/>
  <c r="I26" i="3081"/>
  <c r="H26" i="3081"/>
  <c r="E26" i="3081"/>
  <c r="B26" i="3081" s="1"/>
  <c r="K26" i="3081" s="1"/>
  <c r="J25" i="3081"/>
  <c r="I25" i="3081"/>
  <c r="H25" i="3081"/>
  <c r="E25" i="3081"/>
  <c r="B25" i="3081" s="1"/>
  <c r="K25" i="3081" s="1"/>
  <c r="J24" i="3081"/>
  <c r="I24" i="3081"/>
  <c r="H24" i="3081"/>
  <c r="J23" i="3081"/>
  <c r="I23" i="3081"/>
  <c r="H23" i="3081"/>
  <c r="E23" i="3081"/>
  <c r="B23" i="3081" s="1"/>
  <c r="K23" i="3081" s="1"/>
  <c r="C23" i="3081" s="1"/>
  <c r="J22" i="3081"/>
  <c r="I22" i="3081"/>
  <c r="H22" i="3081"/>
  <c r="E22" i="3081"/>
  <c r="B22" i="3081" s="1"/>
  <c r="K22" i="3081" s="1"/>
  <c r="J21" i="3081"/>
  <c r="I21" i="3081"/>
  <c r="H21" i="3081"/>
  <c r="E21" i="3081"/>
  <c r="B21" i="3081" s="1"/>
  <c r="K21" i="3081" s="1"/>
  <c r="J20" i="3081"/>
  <c r="I20" i="3081"/>
  <c r="H20" i="3081"/>
  <c r="E20" i="3081"/>
  <c r="J19" i="3081"/>
  <c r="I19" i="3081"/>
  <c r="H19" i="3081"/>
  <c r="E19" i="3081"/>
  <c r="B19" i="3081" s="1"/>
  <c r="K19" i="3081" s="1"/>
  <c r="C19" i="3081" s="1"/>
  <c r="J18" i="3081"/>
  <c r="I18" i="3081"/>
  <c r="H18" i="3081"/>
  <c r="E18" i="3081"/>
  <c r="B18" i="3081" s="1"/>
  <c r="K18" i="3081" s="1"/>
  <c r="J17" i="3081"/>
  <c r="I17" i="3081"/>
  <c r="H17" i="3081"/>
  <c r="E17" i="3081"/>
  <c r="B17" i="3081" s="1"/>
  <c r="K17" i="3081" s="1"/>
  <c r="J16" i="3081"/>
  <c r="I16" i="3081"/>
  <c r="H16" i="3081"/>
  <c r="E16" i="3081"/>
  <c r="J15" i="3081"/>
  <c r="I15" i="3081"/>
  <c r="H15" i="3081"/>
  <c r="E15" i="3081"/>
  <c r="J14" i="3081"/>
  <c r="I14" i="3081"/>
  <c r="H14" i="3081"/>
  <c r="E14" i="3081"/>
  <c r="J12" i="3081"/>
  <c r="I12" i="3081"/>
  <c r="H12" i="3081"/>
  <c r="E12" i="3081"/>
  <c r="J11" i="3081"/>
  <c r="I11" i="3081"/>
  <c r="H11" i="3081"/>
  <c r="E11" i="3081"/>
  <c r="J10" i="3081"/>
  <c r="I10" i="3081"/>
  <c r="H10" i="3081"/>
  <c r="E10" i="3081"/>
  <c r="J8" i="3081"/>
  <c r="I8" i="3081"/>
  <c r="H8" i="3081"/>
  <c r="E8" i="3081"/>
  <c r="A8" i="3081"/>
  <c r="G1" i="3081"/>
  <c r="D104" i="3080"/>
  <c r="D102" i="3080"/>
  <c r="F102" i="3080" s="1"/>
  <c r="D101" i="3080"/>
  <c r="F101" i="3080" s="1"/>
  <c r="D100" i="3080"/>
  <c r="F100" i="3080" s="1"/>
  <c r="D99" i="3080"/>
  <c r="F99" i="3080" s="1"/>
  <c r="D98" i="3080"/>
  <c r="F98" i="3080" s="1"/>
  <c r="D97" i="3080"/>
  <c r="F97" i="3080" s="1"/>
  <c r="D96" i="3080"/>
  <c r="F96" i="3080" s="1"/>
  <c r="D95" i="3080"/>
  <c r="F95" i="3080" s="1"/>
  <c r="D94" i="3080"/>
  <c r="F94" i="3080" s="1"/>
  <c r="D93" i="3080"/>
  <c r="F93" i="3080" s="1"/>
  <c r="D92" i="3080"/>
  <c r="F92" i="3080" s="1"/>
  <c r="D91" i="3080"/>
  <c r="F91" i="3080" s="1"/>
  <c r="D90" i="3080"/>
  <c r="F90" i="3080" s="1"/>
  <c r="D89" i="3080"/>
  <c r="F89" i="3080" s="1"/>
  <c r="D88" i="3080"/>
  <c r="F88" i="3080" s="1"/>
  <c r="D87" i="3080"/>
  <c r="F87" i="3080" s="1"/>
  <c r="D86" i="3080"/>
  <c r="F86" i="3080" s="1"/>
  <c r="D85" i="3080"/>
  <c r="F85" i="3080" s="1"/>
  <c r="D84" i="3080"/>
  <c r="F84" i="3080" s="1"/>
  <c r="D83" i="3080"/>
  <c r="F83" i="3080" s="1"/>
  <c r="D82" i="3080"/>
  <c r="F82" i="3080" s="1"/>
  <c r="D81" i="3080"/>
  <c r="F81" i="3080" s="1"/>
  <c r="I76" i="3080"/>
  <c r="I75" i="3080"/>
  <c r="I74" i="3080"/>
  <c r="I73" i="3080"/>
  <c r="E72" i="3080"/>
  <c r="F72" i="3080" s="1"/>
  <c r="K72" i="3080" s="1"/>
  <c r="E71" i="3080"/>
  <c r="H71" i="3080" s="1"/>
  <c r="E70" i="3080"/>
  <c r="H70" i="3080" s="1"/>
  <c r="E69" i="3080"/>
  <c r="G69" i="3080" s="1"/>
  <c r="L69" i="3080" s="1"/>
  <c r="E68" i="3080"/>
  <c r="F68" i="3080" s="1"/>
  <c r="K68" i="3080" s="1"/>
  <c r="E67" i="3080"/>
  <c r="G67" i="3080" s="1"/>
  <c r="L67" i="3080" s="1"/>
  <c r="E66" i="3080"/>
  <c r="H66" i="3080" s="1"/>
  <c r="E65" i="3080"/>
  <c r="G65" i="3080" s="1"/>
  <c r="L65" i="3080" s="1"/>
  <c r="E64" i="3080"/>
  <c r="F64" i="3080" s="1"/>
  <c r="K64" i="3080" s="1"/>
  <c r="E63" i="3080"/>
  <c r="H63" i="3080" s="1"/>
  <c r="E62" i="3080"/>
  <c r="H62" i="3080" s="1"/>
  <c r="E61" i="3080"/>
  <c r="K41" i="3080"/>
  <c r="J41" i="3080"/>
  <c r="I41" i="3080"/>
  <c r="H41" i="3080"/>
  <c r="E41" i="3080"/>
  <c r="B41" i="3080" s="1"/>
  <c r="J40" i="3080"/>
  <c r="I40" i="3080"/>
  <c r="H40" i="3080"/>
  <c r="E40" i="3080"/>
  <c r="B40" i="3080" s="1"/>
  <c r="K40" i="3080" s="1"/>
  <c r="J39" i="3080"/>
  <c r="I39" i="3080"/>
  <c r="H39" i="3080"/>
  <c r="E39" i="3080"/>
  <c r="J38" i="3080"/>
  <c r="I38" i="3080"/>
  <c r="H38" i="3080"/>
  <c r="E38" i="3080"/>
  <c r="B38" i="3080" s="1"/>
  <c r="K38" i="3080" s="1"/>
  <c r="J37" i="3080"/>
  <c r="I37" i="3080"/>
  <c r="H37" i="3080"/>
  <c r="E37" i="3080"/>
  <c r="B37" i="3080" s="1"/>
  <c r="K37" i="3080" s="1"/>
  <c r="C37" i="3080" s="1"/>
  <c r="J36" i="3080"/>
  <c r="I36" i="3080"/>
  <c r="H36" i="3080"/>
  <c r="E36" i="3080"/>
  <c r="J35" i="3080"/>
  <c r="I35" i="3080"/>
  <c r="H35" i="3080"/>
  <c r="E35" i="3080"/>
  <c r="J34" i="3080"/>
  <c r="I34" i="3080"/>
  <c r="H34" i="3080"/>
  <c r="E34" i="3080"/>
  <c r="B34" i="3080" s="1"/>
  <c r="K34" i="3080" s="1"/>
  <c r="C34" i="3080" s="1"/>
  <c r="J33" i="3080"/>
  <c r="I33" i="3080"/>
  <c r="H33" i="3080"/>
  <c r="E33" i="3080"/>
  <c r="B33" i="3080" s="1"/>
  <c r="K33" i="3080" s="1"/>
  <c r="J32" i="3080"/>
  <c r="I32" i="3080"/>
  <c r="H32" i="3080"/>
  <c r="E32" i="3080"/>
  <c r="J30" i="3080"/>
  <c r="I30" i="3080"/>
  <c r="H30" i="3080"/>
  <c r="E30" i="3080"/>
  <c r="B30" i="3080" s="1"/>
  <c r="K30" i="3080" s="1"/>
  <c r="C30" i="3080" s="1"/>
  <c r="J29" i="3080"/>
  <c r="I29" i="3080"/>
  <c r="H29" i="3080"/>
  <c r="E29" i="3080"/>
  <c r="J26" i="3080"/>
  <c r="I26" i="3080"/>
  <c r="H26" i="3080"/>
  <c r="E26" i="3080"/>
  <c r="B26" i="3080" s="1"/>
  <c r="K26" i="3080" s="1"/>
  <c r="C26" i="3080" s="1"/>
  <c r="J25" i="3080"/>
  <c r="I25" i="3080"/>
  <c r="H25" i="3080"/>
  <c r="E25" i="3080"/>
  <c r="J24" i="3080"/>
  <c r="I24" i="3080"/>
  <c r="H24" i="3080"/>
  <c r="E24" i="3080"/>
  <c r="B24" i="3080" s="1"/>
  <c r="K24" i="3080" s="1"/>
  <c r="C24" i="3080" s="1"/>
  <c r="J23" i="3080"/>
  <c r="I23" i="3080"/>
  <c r="H23" i="3080"/>
  <c r="E23" i="3080"/>
  <c r="B23" i="3080" s="1"/>
  <c r="K23" i="3080" s="1"/>
  <c r="J22" i="3080"/>
  <c r="I22" i="3080"/>
  <c r="H22" i="3080"/>
  <c r="E22" i="3080"/>
  <c r="J21" i="3080"/>
  <c r="I21" i="3080"/>
  <c r="H21" i="3080"/>
  <c r="E21" i="3080"/>
  <c r="B21" i="3080" s="1"/>
  <c r="K21" i="3080" s="1"/>
  <c r="C21" i="3080" s="1"/>
  <c r="J20" i="3080"/>
  <c r="I20" i="3080"/>
  <c r="H20" i="3080"/>
  <c r="E20" i="3080"/>
  <c r="B20" i="3080" s="1"/>
  <c r="K20" i="3080" s="1"/>
  <c r="J19" i="3080"/>
  <c r="I19" i="3080"/>
  <c r="H19" i="3080"/>
  <c r="E19" i="3080"/>
  <c r="B19" i="3080" s="1"/>
  <c r="K19" i="3080" s="1"/>
  <c r="C19" i="3080" s="1"/>
  <c r="J18" i="3080"/>
  <c r="I18" i="3080"/>
  <c r="H18" i="3080"/>
  <c r="E18" i="3080"/>
  <c r="J17" i="3080"/>
  <c r="I17" i="3080"/>
  <c r="H17" i="3080"/>
  <c r="E17" i="3080"/>
  <c r="J16" i="3080"/>
  <c r="I16" i="3080"/>
  <c r="H16" i="3080"/>
  <c r="E16" i="3080"/>
  <c r="B16" i="3080" s="1"/>
  <c r="K16" i="3080" s="1"/>
  <c r="C16" i="3080" s="1"/>
  <c r="J15" i="3080"/>
  <c r="I15" i="3080"/>
  <c r="H15" i="3080"/>
  <c r="E15" i="3080"/>
  <c r="B15" i="3080" s="1"/>
  <c r="K15" i="3080" s="1"/>
  <c r="J14" i="3080"/>
  <c r="I14" i="3080"/>
  <c r="H14" i="3080"/>
  <c r="E14" i="3080"/>
  <c r="J13" i="3080"/>
  <c r="I13" i="3080"/>
  <c r="H13" i="3080"/>
  <c r="E13" i="3080"/>
  <c r="B13" i="3080" s="1"/>
  <c r="K13" i="3080" s="1"/>
  <c r="C13" i="3080" s="1"/>
  <c r="J12" i="3080"/>
  <c r="I12" i="3080"/>
  <c r="H12" i="3080"/>
  <c r="E12" i="3080"/>
  <c r="J11" i="3080"/>
  <c r="I11" i="3080"/>
  <c r="H11" i="3080"/>
  <c r="E11" i="3080"/>
  <c r="J10" i="3080"/>
  <c r="I10" i="3080"/>
  <c r="H10" i="3080"/>
  <c r="E10" i="3080"/>
  <c r="J9" i="3080"/>
  <c r="I9" i="3080"/>
  <c r="H9" i="3080"/>
  <c r="E9" i="3080"/>
  <c r="J8" i="3080"/>
  <c r="I8" i="3080"/>
  <c r="H8" i="3080"/>
  <c r="E8" i="3080"/>
  <c r="A8" i="3080"/>
  <c r="G1" i="3080"/>
  <c r="D103" i="3079"/>
  <c r="D101" i="3079"/>
  <c r="F101" i="3079" s="1"/>
  <c r="D100" i="3079"/>
  <c r="F100" i="3079" s="1"/>
  <c r="D99" i="3079"/>
  <c r="F99" i="3079" s="1"/>
  <c r="D98" i="3079"/>
  <c r="F98" i="3079" s="1"/>
  <c r="D97" i="3079"/>
  <c r="F97" i="3079" s="1"/>
  <c r="D96" i="3079"/>
  <c r="F96" i="3079" s="1"/>
  <c r="D95" i="3079"/>
  <c r="F95" i="3079" s="1"/>
  <c r="D94" i="3079"/>
  <c r="F94" i="3079" s="1"/>
  <c r="D93" i="3079"/>
  <c r="F93" i="3079" s="1"/>
  <c r="D92" i="3079"/>
  <c r="F92" i="3079" s="1"/>
  <c r="D91" i="3079"/>
  <c r="F91" i="3079" s="1"/>
  <c r="D90" i="3079"/>
  <c r="F90" i="3079" s="1"/>
  <c r="D89" i="3079"/>
  <c r="F89" i="3079" s="1"/>
  <c r="D88" i="3079"/>
  <c r="F88" i="3079" s="1"/>
  <c r="D87" i="3079"/>
  <c r="F87" i="3079" s="1"/>
  <c r="D86" i="3079"/>
  <c r="F86" i="3079" s="1"/>
  <c r="D85" i="3079"/>
  <c r="F85" i="3079" s="1"/>
  <c r="D84" i="3079"/>
  <c r="F84" i="3079" s="1"/>
  <c r="D83" i="3079"/>
  <c r="F83" i="3079" s="1"/>
  <c r="D82" i="3079"/>
  <c r="F82" i="3079" s="1"/>
  <c r="D81" i="3079"/>
  <c r="F81" i="3079" s="1"/>
  <c r="D80" i="3079"/>
  <c r="F80" i="3079" s="1"/>
  <c r="I75" i="3079"/>
  <c r="I74" i="3079"/>
  <c r="I73" i="3079"/>
  <c r="I72" i="3079"/>
  <c r="E71" i="3079"/>
  <c r="F71" i="3079" s="1"/>
  <c r="K71" i="3079" s="1"/>
  <c r="E70" i="3079"/>
  <c r="F70" i="3079" s="1"/>
  <c r="K70" i="3079" s="1"/>
  <c r="E69" i="3079"/>
  <c r="H69" i="3079" s="1"/>
  <c r="E68" i="3079"/>
  <c r="H68" i="3079" s="1"/>
  <c r="E67" i="3079"/>
  <c r="F67" i="3079" s="1"/>
  <c r="K67" i="3079" s="1"/>
  <c r="E66" i="3079"/>
  <c r="I66" i="3079" s="1"/>
  <c r="E65" i="3079"/>
  <c r="H65" i="3079" s="1"/>
  <c r="E64" i="3079"/>
  <c r="E63" i="3079"/>
  <c r="F63" i="3079" s="1"/>
  <c r="K63" i="3079" s="1"/>
  <c r="E62" i="3079"/>
  <c r="F62" i="3079" s="1"/>
  <c r="K62" i="3079" s="1"/>
  <c r="E61" i="3079"/>
  <c r="H61" i="3079" s="1"/>
  <c r="E60" i="3079"/>
  <c r="K40" i="3079"/>
  <c r="J40" i="3079"/>
  <c r="I40" i="3079"/>
  <c r="H40" i="3079"/>
  <c r="E40" i="3079"/>
  <c r="C40" i="3079" s="1"/>
  <c r="J39" i="3079"/>
  <c r="I39" i="3079"/>
  <c r="H39" i="3079"/>
  <c r="E39" i="3079"/>
  <c r="B39" i="3079" s="1"/>
  <c r="K39" i="3079" s="1"/>
  <c r="J38" i="3079"/>
  <c r="I38" i="3079"/>
  <c r="H38" i="3079"/>
  <c r="E38" i="3079"/>
  <c r="B38" i="3079" s="1"/>
  <c r="K38" i="3079" s="1"/>
  <c r="J37" i="3079"/>
  <c r="I37" i="3079"/>
  <c r="H37" i="3079"/>
  <c r="E37" i="3079"/>
  <c r="J36" i="3079"/>
  <c r="I36" i="3079"/>
  <c r="H36" i="3079"/>
  <c r="E36" i="3079"/>
  <c r="B36" i="3079" s="1"/>
  <c r="K36" i="3079" s="1"/>
  <c r="J35" i="3079"/>
  <c r="I35" i="3079"/>
  <c r="H35" i="3079"/>
  <c r="E35" i="3079"/>
  <c r="B35" i="3079" s="1"/>
  <c r="K35" i="3079" s="1"/>
  <c r="C35" i="3079" s="1"/>
  <c r="J34" i="3079"/>
  <c r="I34" i="3079"/>
  <c r="H34" i="3079"/>
  <c r="E34" i="3079"/>
  <c r="J33" i="3079"/>
  <c r="I33" i="3079"/>
  <c r="H33" i="3079"/>
  <c r="E33" i="3079"/>
  <c r="B33" i="3079" s="1"/>
  <c r="K33" i="3079" s="1"/>
  <c r="J32" i="3079"/>
  <c r="I32" i="3079"/>
  <c r="H32" i="3079"/>
  <c r="E32" i="3079"/>
  <c r="B32" i="3079" s="1"/>
  <c r="K32" i="3079" s="1"/>
  <c r="J30" i="3079"/>
  <c r="I30" i="3079"/>
  <c r="H30" i="3079"/>
  <c r="E30" i="3079"/>
  <c r="B30" i="3079" s="1"/>
  <c r="K30" i="3079" s="1"/>
  <c r="C30" i="3079" s="1"/>
  <c r="J29" i="3079"/>
  <c r="I29" i="3079"/>
  <c r="H29" i="3079"/>
  <c r="E29" i="3079"/>
  <c r="J28" i="3079"/>
  <c r="I28" i="3079"/>
  <c r="H28" i="3079"/>
  <c r="E28" i="3079"/>
  <c r="B28" i="3079" s="1"/>
  <c r="K28" i="3079" s="1"/>
  <c r="J27" i="3079"/>
  <c r="I27" i="3079"/>
  <c r="H27" i="3079"/>
  <c r="E27" i="3079"/>
  <c r="B27" i="3079" s="1"/>
  <c r="K27" i="3079" s="1"/>
  <c r="C27" i="3079" s="1"/>
  <c r="J26" i="3079"/>
  <c r="I26" i="3079"/>
  <c r="H26" i="3079"/>
  <c r="E26" i="3079"/>
  <c r="J25" i="3079"/>
  <c r="I25" i="3079"/>
  <c r="H25" i="3079"/>
  <c r="E25" i="3079"/>
  <c r="B25" i="3079" s="1"/>
  <c r="K25" i="3079" s="1"/>
  <c r="C25" i="3079" s="1"/>
  <c r="J24" i="3079"/>
  <c r="I24" i="3079"/>
  <c r="H24" i="3079"/>
  <c r="E24" i="3079"/>
  <c r="B24" i="3079" s="1"/>
  <c r="K24" i="3079" s="1"/>
  <c r="J23" i="3079"/>
  <c r="I23" i="3079"/>
  <c r="H23" i="3079"/>
  <c r="E23" i="3079"/>
  <c r="B23" i="3079" s="1"/>
  <c r="K23" i="3079" s="1"/>
  <c r="C23" i="3079" s="1"/>
  <c r="J22" i="3079"/>
  <c r="I22" i="3079"/>
  <c r="H22" i="3079"/>
  <c r="J21" i="3079"/>
  <c r="I21" i="3079"/>
  <c r="H21" i="3079"/>
  <c r="E21" i="3079"/>
  <c r="J20" i="3079"/>
  <c r="I20" i="3079"/>
  <c r="H20" i="3079"/>
  <c r="E20" i="3079"/>
  <c r="B20" i="3079" s="1"/>
  <c r="K20" i="3079" s="1"/>
  <c r="C20" i="3079" s="1"/>
  <c r="J19" i="3079"/>
  <c r="I19" i="3079"/>
  <c r="H19" i="3079"/>
  <c r="E19" i="3079"/>
  <c r="B19" i="3079" s="1"/>
  <c r="K19" i="3079" s="1"/>
  <c r="J18" i="3079"/>
  <c r="I18" i="3079"/>
  <c r="H18" i="3079"/>
  <c r="E18" i="3079"/>
  <c r="J17" i="3079"/>
  <c r="I17" i="3079"/>
  <c r="H17" i="3079"/>
  <c r="E17" i="3079"/>
  <c r="B17" i="3079" s="1"/>
  <c r="K17" i="3079" s="1"/>
  <c r="C17" i="3079" s="1"/>
  <c r="J16" i="3079"/>
  <c r="I16" i="3079"/>
  <c r="H16" i="3079"/>
  <c r="E16" i="3079"/>
  <c r="J15" i="3079"/>
  <c r="I15" i="3079"/>
  <c r="H15" i="3079"/>
  <c r="E15" i="3079"/>
  <c r="B15" i="3079" s="1"/>
  <c r="K15" i="3079" s="1"/>
  <c r="C15" i="3079" s="1"/>
  <c r="J14" i="3079"/>
  <c r="I14" i="3079"/>
  <c r="H14" i="3079"/>
  <c r="E14" i="3079"/>
  <c r="J13" i="3079"/>
  <c r="I13" i="3079"/>
  <c r="H13" i="3079"/>
  <c r="E13" i="3079"/>
  <c r="B13" i="3079" s="1"/>
  <c r="K13" i="3079" s="1"/>
  <c r="J12" i="3079"/>
  <c r="I12" i="3079"/>
  <c r="H12" i="3079"/>
  <c r="E12" i="3079"/>
  <c r="J11" i="3079"/>
  <c r="I11" i="3079"/>
  <c r="H11" i="3079"/>
  <c r="E11" i="3079"/>
  <c r="J10" i="3079"/>
  <c r="I10" i="3079"/>
  <c r="H10" i="3079"/>
  <c r="E10" i="3079"/>
  <c r="J9" i="3079"/>
  <c r="I9" i="3079"/>
  <c r="H9" i="3079"/>
  <c r="E9" i="3079"/>
  <c r="J8" i="3079"/>
  <c r="I8" i="3079"/>
  <c r="H8" i="3079"/>
  <c r="E8" i="3079"/>
  <c r="A8" i="3079"/>
  <c r="A9" i="3079" s="1"/>
  <c r="A11" i="3079" s="1"/>
  <c r="G11" i="3079" s="1"/>
  <c r="G1" i="3079"/>
  <c r="G64" i="3092" l="1"/>
  <c r="L64" i="3092" s="1"/>
  <c r="H71" i="3092"/>
  <c r="F69" i="3092"/>
  <c r="K69" i="3092" s="1"/>
  <c r="H61" i="3092"/>
  <c r="B9" i="3092"/>
  <c r="K9" i="3092" s="1"/>
  <c r="C9" i="3092" s="1"/>
  <c r="G69" i="3092"/>
  <c r="L69" i="3092" s="1"/>
  <c r="G8" i="3092"/>
  <c r="A9" i="3092"/>
  <c r="G9" i="3092" s="1"/>
  <c r="C42" i="3063"/>
  <c r="B41" i="3063"/>
  <c r="B42" i="3086"/>
  <c r="F63" i="3092"/>
  <c r="K63" i="3092" s="1"/>
  <c r="G65" i="3092"/>
  <c r="L65" i="3092" s="1"/>
  <c r="G61" i="3092"/>
  <c r="L61" i="3092" s="1"/>
  <c r="G72" i="3092"/>
  <c r="L72" i="3092" s="1"/>
  <c r="B8" i="3092"/>
  <c r="K8" i="3092" s="1"/>
  <c r="C8" i="3092" s="1"/>
  <c r="B10" i="3092"/>
  <c r="K10" i="3092" s="1"/>
  <c r="B12" i="3092"/>
  <c r="K12" i="3092" s="1"/>
  <c r="C12" i="3092" s="1"/>
  <c r="B13" i="3091"/>
  <c r="K13" i="3091" s="1"/>
  <c r="C24" i="3091"/>
  <c r="C40" i="3063"/>
  <c r="C39" i="3091"/>
  <c r="H67" i="3091"/>
  <c r="B41" i="3091"/>
  <c r="C33" i="3091"/>
  <c r="H63" i="3091"/>
  <c r="F70" i="3090"/>
  <c r="K70" i="3090" s="1"/>
  <c r="C18" i="3090"/>
  <c r="C37" i="3090"/>
  <c r="F66" i="3090"/>
  <c r="K66" i="3090" s="1"/>
  <c r="C15" i="3090"/>
  <c r="G59" i="3090"/>
  <c r="H62" i="3090"/>
  <c r="F65" i="3090"/>
  <c r="K65" i="3090" s="1"/>
  <c r="A9" i="3090"/>
  <c r="G9" i="3090" s="1"/>
  <c r="C32" i="3090"/>
  <c r="G61" i="3090"/>
  <c r="L61" i="3090" s="1"/>
  <c r="A12" i="3090"/>
  <c r="G12" i="3090" s="1"/>
  <c r="C17" i="3090"/>
  <c r="F62" i="3090"/>
  <c r="K62" i="3090" s="1"/>
  <c r="H66" i="3090"/>
  <c r="F60" i="3089"/>
  <c r="B9" i="3089"/>
  <c r="K9" i="3089" s="1"/>
  <c r="C9" i="3089" s="1"/>
  <c r="H63" i="3089"/>
  <c r="G8" i="3089"/>
  <c r="A9" i="3089"/>
  <c r="G9" i="3089" s="1"/>
  <c r="A10" i="3089"/>
  <c r="G60" i="3089"/>
  <c r="L60" i="3089" s="1"/>
  <c r="H60" i="3089"/>
  <c r="B13" i="3088"/>
  <c r="K13" i="3088" s="1"/>
  <c r="C13" i="3088" s="1"/>
  <c r="G70" i="3088"/>
  <c r="L70" i="3088" s="1"/>
  <c r="H73" i="3088"/>
  <c r="G8" i="3088"/>
  <c r="A9" i="3088"/>
  <c r="G9" i="3088" s="1"/>
  <c r="A10" i="3088"/>
  <c r="A12" i="3088" s="1"/>
  <c r="G12" i="3088" s="1"/>
  <c r="F62" i="3088"/>
  <c r="B9" i="3088"/>
  <c r="K9" i="3088" s="1"/>
  <c r="C9" i="3088" s="1"/>
  <c r="F65" i="3088"/>
  <c r="K65" i="3088" s="1"/>
  <c r="F69" i="3088"/>
  <c r="K69" i="3088" s="1"/>
  <c r="B12" i="3088"/>
  <c r="K12" i="3088" s="1"/>
  <c r="C12" i="3088" s="1"/>
  <c r="B10" i="3087"/>
  <c r="K10" i="3087" s="1"/>
  <c r="C10" i="3087" s="1"/>
  <c r="I61" i="3087"/>
  <c r="B9" i="3087"/>
  <c r="K9" i="3087" s="1"/>
  <c r="C9" i="3087" s="1"/>
  <c r="D46" i="3087"/>
  <c r="C46" i="3087" s="1"/>
  <c r="G8" i="3087"/>
  <c r="A9" i="3087"/>
  <c r="G9" i="3087" s="1"/>
  <c r="A12" i="3087"/>
  <c r="G12" i="3087" s="1"/>
  <c r="A11" i="3087"/>
  <c r="G11" i="3087" s="1"/>
  <c r="B12" i="3087"/>
  <c r="K12" i="3087" s="1"/>
  <c r="C12" i="3087" s="1"/>
  <c r="G61" i="3087"/>
  <c r="L61" i="3087" s="1"/>
  <c r="F64" i="3087"/>
  <c r="K64" i="3087" s="1"/>
  <c r="B9" i="3086"/>
  <c r="K9" i="3086" s="1"/>
  <c r="C9" i="3086" s="1"/>
  <c r="B8" i="3086"/>
  <c r="K8" i="3086" s="1"/>
  <c r="A10" i="3086"/>
  <c r="A12" i="3086" s="1"/>
  <c r="C28" i="3086"/>
  <c r="C41" i="3085"/>
  <c r="G50" i="3085"/>
  <c r="G8" i="3085"/>
  <c r="A9" i="3085"/>
  <c r="F62" i="3085"/>
  <c r="B9" i="3085"/>
  <c r="K9" i="3085" s="1"/>
  <c r="C9" i="3085" s="1"/>
  <c r="F65" i="3085"/>
  <c r="K65" i="3085" s="1"/>
  <c r="B14" i="3085"/>
  <c r="K14" i="3085" s="1"/>
  <c r="C14" i="3085" s="1"/>
  <c r="G62" i="3085"/>
  <c r="L62" i="3085" s="1"/>
  <c r="H66" i="3085"/>
  <c r="B12" i="3085"/>
  <c r="K12" i="3085" s="1"/>
  <c r="C12" i="3085" s="1"/>
  <c r="H62" i="3085"/>
  <c r="I62" i="3085" s="1"/>
  <c r="H70" i="3085"/>
  <c r="H71" i="3084"/>
  <c r="H63" i="3084"/>
  <c r="H67" i="3084"/>
  <c r="F70" i="3084"/>
  <c r="K70" i="3084" s="1"/>
  <c r="B11" i="3084"/>
  <c r="K11" i="3084" s="1"/>
  <c r="C11" i="3084" s="1"/>
  <c r="H64" i="3084"/>
  <c r="I64" i="3084" s="1"/>
  <c r="B4" i="3084" s="1"/>
  <c r="C20" i="3084"/>
  <c r="H60" i="3084"/>
  <c r="F63" i="3084"/>
  <c r="K63" i="3084" s="1"/>
  <c r="A10" i="3083"/>
  <c r="A12" i="3083" s="1"/>
  <c r="G12" i="3083" s="1"/>
  <c r="B40" i="3083"/>
  <c r="G8" i="3083"/>
  <c r="A9" i="3083"/>
  <c r="G9" i="3083" s="1"/>
  <c r="B13" i="3083"/>
  <c r="K13" i="3083" s="1"/>
  <c r="C13" i="3083" s="1"/>
  <c r="B9" i="3083"/>
  <c r="K9" i="3083" s="1"/>
  <c r="C9" i="3083" s="1"/>
  <c r="B12" i="3083"/>
  <c r="K12" i="3083" s="1"/>
  <c r="G48" i="3083"/>
  <c r="G67" i="3083"/>
  <c r="L67" i="3083" s="1"/>
  <c r="G71" i="3083"/>
  <c r="L71" i="3083" s="1"/>
  <c r="H70" i="3083"/>
  <c r="K14" i="3082"/>
  <c r="C14" i="3082" s="1"/>
  <c r="F66" i="3082"/>
  <c r="K66" i="3082" s="1"/>
  <c r="G8" i="3082"/>
  <c r="A11" i="3082"/>
  <c r="G11" i="3082" s="1"/>
  <c r="A9" i="3082"/>
  <c r="G9" i="3082" s="1"/>
  <c r="G60" i="3082"/>
  <c r="L60" i="3082" s="1"/>
  <c r="B9" i="3082"/>
  <c r="K9" i="3082" s="1"/>
  <c r="C9" i="3082" s="1"/>
  <c r="B11" i="3082"/>
  <c r="K11" i="3082" s="1"/>
  <c r="C11" i="3082" s="1"/>
  <c r="G66" i="3082"/>
  <c r="L66" i="3082" s="1"/>
  <c r="B10" i="3082"/>
  <c r="K10" i="3082" s="1"/>
  <c r="C10" i="3082" s="1"/>
  <c r="B9" i="3081"/>
  <c r="K9" i="3081" s="1"/>
  <c r="C9" i="3081" s="1"/>
  <c r="B13" i="3081"/>
  <c r="K13" i="3081" s="1"/>
  <c r="C13" i="3081" s="1"/>
  <c r="G8" i="3081"/>
  <c r="A9" i="3081"/>
  <c r="G9" i="3081" s="1"/>
  <c r="B14" i="3081"/>
  <c r="K14" i="3081" s="1"/>
  <c r="C14" i="3081" s="1"/>
  <c r="B15" i="3081"/>
  <c r="K15" i="3081" s="1"/>
  <c r="C15" i="3081" s="1"/>
  <c r="G8" i="3080"/>
  <c r="B9" i="3080"/>
  <c r="K9" i="3080" s="1"/>
  <c r="C9" i="3080" s="1"/>
  <c r="G61" i="3080"/>
  <c r="L61" i="3080" s="1"/>
  <c r="G49" i="3080"/>
  <c r="G60" i="3079"/>
  <c r="L60" i="3079" s="1"/>
  <c r="G8" i="3079"/>
  <c r="F68" i="3079"/>
  <c r="K68" i="3079" s="1"/>
  <c r="C24" i="3079"/>
  <c r="C33" i="3079"/>
  <c r="G67" i="3079"/>
  <c r="L67" i="3079" s="1"/>
  <c r="H61" i="3080"/>
  <c r="C10" i="3092"/>
  <c r="C17" i="3092"/>
  <c r="C21" i="3092"/>
  <c r="C25" i="3092"/>
  <c r="C32" i="3092"/>
  <c r="B14" i="3092"/>
  <c r="K14" i="3092" s="1"/>
  <c r="C14" i="3092" s="1"/>
  <c r="C16" i="3092"/>
  <c r="B18" i="3092"/>
  <c r="K18" i="3092" s="1"/>
  <c r="C18" i="3092" s="1"/>
  <c r="C20" i="3092"/>
  <c r="B22" i="3092"/>
  <c r="K22" i="3092" s="1"/>
  <c r="C22" i="3092" s="1"/>
  <c r="C24" i="3092"/>
  <c r="B26" i="3092"/>
  <c r="K26" i="3092" s="1"/>
  <c r="C26" i="3092" s="1"/>
  <c r="C28" i="3092"/>
  <c r="B29" i="3092"/>
  <c r="K29" i="3092" s="1"/>
  <c r="C29" i="3092" s="1"/>
  <c r="C31" i="3092"/>
  <c r="B34" i="3092"/>
  <c r="K34" i="3092" s="1"/>
  <c r="C34" i="3092" s="1"/>
  <c r="B37" i="3092"/>
  <c r="K37" i="3092" s="1"/>
  <c r="C37" i="3092" s="1"/>
  <c r="B40" i="3092"/>
  <c r="K40" i="3092" s="1"/>
  <c r="C40" i="3092" s="1"/>
  <c r="A10" i="3092"/>
  <c r="A12" i="3092" s="1"/>
  <c r="A11" i="3092"/>
  <c r="A13" i="3092" s="1"/>
  <c r="A15" i="3092" s="1"/>
  <c r="B13" i="3092"/>
  <c r="K13" i="3092" s="1"/>
  <c r="C13" i="3092" s="1"/>
  <c r="C29" i="3085"/>
  <c r="C25" i="3085"/>
  <c r="A10" i="3085"/>
  <c r="A12" i="3085" s="1"/>
  <c r="G12" i="3085" s="1"/>
  <c r="A11" i="3085"/>
  <c r="A13" i="3085" s="1"/>
  <c r="A15" i="3085" s="1"/>
  <c r="B13" i="3085"/>
  <c r="K13" i="3085" s="1"/>
  <c r="C13" i="3085" s="1"/>
  <c r="B18" i="3085"/>
  <c r="K18" i="3085" s="1"/>
  <c r="C18" i="3085" s="1"/>
  <c r="C20" i="3085"/>
  <c r="B34" i="3085"/>
  <c r="K34" i="3085" s="1"/>
  <c r="C34" i="3085" s="1"/>
  <c r="B8" i="3085"/>
  <c r="K8" i="3085" s="1"/>
  <c r="C8" i="3085" s="1"/>
  <c r="B10" i="3085"/>
  <c r="K10" i="3085" s="1"/>
  <c r="C10" i="3085" s="1"/>
  <c r="B17" i="3085"/>
  <c r="K17" i="3085" s="1"/>
  <c r="C17" i="3085" s="1"/>
  <c r="B22" i="3085"/>
  <c r="K22" i="3085" s="1"/>
  <c r="C22" i="3085" s="1"/>
  <c r="C24" i="3085"/>
  <c r="B32" i="3085"/>
  <c r="K32" i="3085" s="1"/>
  <c r="C32" i="3085" s="1"/>
  <c r="B38" i="3085"/>
  <c r="K38" i="3085" s="1"/>
  <c r="C38" i="3085" s="1"/>
  <c r="C40" i="3085"/>
  <c r="C28" i="3085"/>
  <c r="H67" i="3092"/>
  <c r="G49" i="3092"/>
  <c r="F61" i="3092"/>
  <c r="K61" i="3092" s="1"/>
  <c r="F65" i="3092"/>
  <c r="K65" i="3092" s="1"/>
  <c r="G68" i="3092"/>
  <c r="L68" i="3092" s="1"/>
  <c r="F4" i="3091"/>
  <c r="B9" i="3091"/>
  <c r="K9" i="3091" s="1"/>
  <c r="C9" i="3091" s="1"/>
  <c r="C28" i="3091"/>
  <c r="F61" i="3091"/>
  <c r="K61" i="3091" s="1"/>
  <c r="F69" i="3091"/>
  <c r="K69" i="3091" s="1"/>
  <c r="F71" i="3091"/>
  <c r="K71" i="3091" s="1"/>
  <c r="G72" i="3091"/>
  <c r="L72" i="3091" s="1"/>
  <c r="B10" i="3091"/>
  <c r="K10" i="3091" s="1"/>
  <c r="C10" i="3091" s="1"/>
  <c r="H61" i="3091"/>
  <c r="F63" i="3091"/>
  <c r="K63" i="3091" s="1"/>
  <c r="F65" i="3091"/>
  <c r="K65" i="3091" s="1"/>
  <c r="F67" i="3091"/>
  <c r="K67" i="3091" s="1"/>
  <c r="G68" i="3091"/>
  <c r="L68" i="3091" s="1"/>
  <c r="H69" i="3091"/>
  <c r="B8" i="3091"/>
  <c r="K8" i="3091" s="1"/>
  <c r="C8" i="3091" s="1"/>
  <c r="B12" i="3091"/>
  <c r="K12" i="3091" s="1"/>
  <c r="C12" i="3091" s="1"/>
  <c r="C21" i="3091"/>
  <c r="G63" i="3091"/>
  <c r="L63" i="3091" s="1"/>
  <c r="G64" i="3091"/>
  <c r="L64" i="3091" s="1"/>
  <c r="H65" i="3091"/>
  <c r="I65" i="3091" s="1"/>
  <c r="H71" i="3091"/>
  <c r="B8" i="3090"/>
  <c r="K8" i="3090" s="1"/>
  <c r="C8" i="3090" s="1"/>
  <c r="B12" i="3090"/>
  <c r="K12" i="3090" s="1"/>
  <c r="H59" i="3090"/>
  <c r="F64" i="3090"/>
  <c r="K64" i="3090" s="1"/>
  <c r="G70" i="3090"/>
  <c r="L70" i="3090" s="1"/>
  <c r="G47" i="3090"/>
  <c r="H64" i="3090"/>
  <c r="G69" i="3090"/>
  <c r="L69" i="3090" s="1"/>
  <c r="H70" i="3090"/>
  <c r="B11" i="3090"/>
  <c r="K11" i="3090" s="1"/>
  <c r="C11" i="3090" s="1"/>
  <c r="H63" i="3090"/>
  <c r="G67" i="3090"/>
  <c r="L67" i="3090" s="1"/>
  <c r="B13" i="3089"/>
  <c r="K13" i="3089" s="1"/>
  <c r="C13" i="3089" s="1"/>
  <c r="F67" i="3089"/>
  <c r="K67" i="3089" s="1"/>
  <c r="F63" i="3089"/>
  <c r="K63" i="3089" s="1"/>
  <c r="G64" i="3089"/>
  <c r="L64" i="3089" s="1"/>
  <c r="G67" i="3089"/>
  <c r="L67" i="3089" s="1"/>
  <c r="G68" i="3089"/>
  <c r="L68" i="3089" s="1"/>
  <c r="C38" i="3089"/>
  <c r="F71" i="3089"/>
  <c r="K71" i="3089" s="1"/>
  <c r="H64" i="3089"/>
  <c r="F66" i="3089"/>
  <c r="K66" i="3089" s="1"/>
  <c r="H67" i="3089"/>
  <c r="H68" i="3089"/>
  <c r="H71" i="3089"/>
  <c r="G62" i="3088"/>
  <c r="L62" i="3088" s="1"/>
  <c r="F64" i="3088"/>
  <c r="K64" i="3088" s="1"/>
  <c r="G65" i="3088"/>
  <c r="L65" i="3088" s="1"/>
  <c r="G66" i="3088"/>
  <c r="L66" i="3088" s="1"/>
  <c r="G69" i="3088"/>
  <c r="L69" i="3088" s="1"/>
  <c r="H70" i="3088"/>
  <c r="B8" i="3088"/>
  <c r="K8" i="3088" s="1"/>
  <c r="C8" i="3088" s="1"/>
  <c r="B14" i="3088"/>
  <c r="K14" i="3088" s="1"/>
  <c r="C14" i="3088" s="1"/>
  <c r="C40" i="3088"/>
  <c r="H62" i="3088"/>
  <c r="H65" i="3088"/>
  <c r="H66" i="3088"/>
  <c r="F73" i="3088"/>
  <c r="K73" i="3088" s="1"/>
  <c r="B15" i="3088"/>
  <c r="K15" i="3088" s="1"/>
  <c r="C15" i="3088" s="1"/>
  <c r="G46" i="3087"/>
  <c r="H61" i="3087"/>
  <c r="F65" i="3087"/>
  <c r="K65" i="3087" s="1"/>
  <c r="F68" i="3087"/>
  <c r="K68" i="3087" s="1"/>
  <c r="F69" i="3087"/>
  <c r="K69" i="3087" s="1"/>
  <c r="F72" i="3087"/>
  <c r="K72" i="3087" s="1"/>
  <c r="G69" i="3087"/>
  <c r="L69" i="3087" s="1"/>
  <c r="F61" i="3087"/>
  <c r="K61" i="3087" s="1"/>
  <c r="H65" i="3087"/>
  <c r="F71" i="3087"/>
  <c r="K71" i="3087" s="1"/>
  <c r="B10" i="3086"/>
  <c r="K10" i="3086" s="1"/>
  <c r="C10" i="3086" s="1"/>
  <c r="B13" i="3086"/>
  <c r="K13" i="3086" s="1"/>
  <c r="C13" i="3086" s="1"/>
  <c r="C30" i="3086"/>
  <c r="F63" i="3086"/>
  <c r="K63" i="3086" s="1"/>
  <c r="F64" i="3086"/>
  <c r="K64" i="3086" s="1"/>
  <c r="F67" i="3086"/>
  <c r="K67" i="3086" s="1"/>
  <c r="F72" i="3086"/>
  <c r="K72" i="3086" s="1"/>
  <c r="C8" i="3086"/>
  <c r="C39" i="3086"/>
  <c r="G63" i="3086"/>
  <c r="L63" i="3086" s="1"/>
  <c r="G64" i="3086"/>
  <c r="L64" i="3086" s="1"/>
  <c r="F68" i="3086"/>
  <c r="K68" i="3086" s="1"/>
  <c r="F71" i="3086"/>
  <c r="K71" i="3086" s="1"/>
  <c r="G72" i="3086"/>
  <c r="L72" i="3086" s="1"/>
  <c r="C41" i="3086"/>
  <c r="H64" i="3086"/>
  <c r="G68" i="3086"/>
  <c r="L68" i="3086" s="1"/>
  <c r="H72" i="3086"/>
  <c r="A14" i="3086"/>
  <c r="G12" i="3086"/>
  <c r="C17" i="3086"/>
  <c r="C21" i="3086"/>
  <c r="G10" i="3086"/>
  <c r="H73" i="3086"/>
  <c r="G73" i="3086"/>
  <c r="L73" i="3086" s="1"/>
  <c r="F73" i="3086"/>
  <c r="K73" i="3086" s="1"/>
  <c r="B14" i="3087"/>
  <c r="K14" i="3087" s="1"/>
  <c r="C14" i="3087" s="1"/>
  <c r="A11" i="3086"/>
  <c r="B31" i="3086"/>
  <c r="K31" i="3086" s="1"/>
  <c r="C31" i="3086" s="1"/>
  <c r="C37" i="3086"/>
  <c r="K47" i="3086"/>
  <c r="G65" i="3086"/>
  <c r="L65" i="3086" s="1"/>
  <c r="F65" i="3086"/>
  <c r="I73" i="3086"/>
  <c r="B8" i="3087"/>
  <c r="K8" i="3087" s="1"/>
  <c r="C8" i="3087" s="1"/>
  <c r="C20" i="3087"/>
  <c r="C27" i="3087"/>
  <c r="C36" i="3087"/>
  <c r="I63" i="3087"/>
  <c r="H70" i="3087"/>
  <c r="G70" i="3087"/>
  <c r="L70" i="3087" s="1"/>
  <c r="F70" i="3087"/>
  <c r="K70" i="3087" s="1"/>
  <c r="C42" i="3088"/>
  <c r="B42" i="3088"/>
  <c r="B37" i="3089"/>
  <c r="K37" i="3089" s="1"/>
  <c r="C37" i="3089" s="1"/>
  <c r="C35" i="3086"/>
  <c r="H66" i="3086"/>
  <c r="G66" i="3086"/>
  <c r="L66" i="3086" s="1"/>
  <c r="B38" i="3087"/>
  <c r="K38" i="3087" s="1"/>
  <c r="C38" i="3087" s="1"/>
  <c r="H66" i="3087"/>
  <c r="G66" i="3087"/>
  <c r="L66" i="3087" s="1"/>
  <c r="F66" i="3087"/>
  <c r="K66" i="3087" s="1"/>
  <c r="B28" i="3089"/>
  <c r="K28" i="3089" s="1"/>
  <c r="C28" i="3089" s="1"/>
  <c r="B15" i="3086"/>
  <c r="K15" i="3086" s="1"/>
  <c r="C15" i="3086" s="1"/>
  <c r="B19" i="3086"/>
  <c r="K19" i="3086" s="1"/>
  <c r="C19" i="3086" s="1"/>
  <c r="C27" i="3086"/>
  <c r="G49" i="3086"/>
  <c r="K62" i="3086"/>
  <c r="G69" i="3086"/>
  <c r="L69" i="3086" s="1"/>
  <c r="F69" i="3086"/>
  <c r="K69" i="3086" s="1"/>
  <c r="B18" i="3087"/>
  <c r="K18" i="3087" s="1"/>
  <c r="C18" i="3087" s="1"/>
  <c r="B26" i="3087"/>
  <c r="K26" i="3087" s="1"/>
  <c r="C26" i="3087" s="1"/>
  <c r="B34" i="3087"/>
  <c r="K34" i="3087" s="1"/>
  <c r="C34" i="3087" s="1"/>
  <c r="C41" i="3087"/>
  <c r="B41" i="3087"/>
  <c r="G49" i="3087"/>
  <c r="B20" i="3088"/>
  <c r="K20" i="3088" s="1"/>
  <c r="C20" i="3088" s="1"/>
  <c r="B21" i="3088"/>
  <c r="K21" i="3088" s="1"/>
  <c r="C21" i="3088" s="1"/>
  <c r="B22" i="3088"/>
  <c r="K22" i="3088" s="1"/>
  <c r="C22" i="3088" s="1"/>
  <c r="K62" i="3088"/>
  <c r="H67" i="3088"/>
  <c r="G67" i="3088"/>
  <c r="L67" i="3088" s="1"/>
  <c r="F67" i="3088"/>
  <c r="K67" i="3088" s="1"/>
  <c r="G50" i="3088"/>
  <c r="B22" i="3087"/>
  <c r="K22" i="3087" s="1"/>
  <c r="C22" i="3087" s="1"/>
  <c r="B29" i="3087"/>
  <c r="K29" i="3087" s="1"/>
  <c r="C29" i="3087" s="1"/>
  <c r="B35" i="3088"/>
  <c r="K35" i="3088" s="1"/>
  <c r="C35" i="3088" s="1"/>
  <c r="B11" i="3086"/>
  <c r="K11" i="3086" s="1"/>
  <c r="C11" i="3086" s="1"/>
  <c r="B12" i="3086"/>
  <c r="K12" i="3086" s="1"/>
  <c r="C12" i="3086" s="1"/>
  <c r="C23" i="3086"/>
  <c r="C33" i="3086"/>
  <c r="B36" i="3086"/>
  <c r="K36" i="3086" s="1"/>
  <c r="C36" i="3086" s="1"/>
  <c r="C40" i="3086"/>
  <c r="K46" i="3086"/>
  <c r="H62" i="3086"/>
  <c r="G50" i="3086"/>
  <c r="G62" i="3086"/>
  <c r="K49" i="3086"/>
  <c r="D47" i="3086"/>
  <c r="D46" i="3086"/>
  <c r="H69" i="3086"/>
  <c r="C16" i="3087"/>
  <c r="C24" i="3087"/>
  <c r="C32" i="3087"/>
  <c r="C39" i="3087"/>
  <c r="H62" i="3087"/>
  <c r="K48" i="3087"/>
  <c r="D45" i="3087"/>
  <c r="B11" i="3087"/>
  <c r="K11" i="3087" s="1"/>
  <c r="C11" i="3087" s="1"/>
  <c r="G62" i="3087"/>
  <c r="L62" i="3087" s="1"/>
  <c r="G48" i="3087"/>
  <c r="F62" i="3087"/>
  <c r="K46" i="3087"/>
  <c r="K45" i="3087"/>
  <c r="B11" i="3088"/>
  <c r="K11" i="3088" s="1"/>
  <c r="C11" i="3088" s="1"/>
  <c r="B19" i="3089"/>
  <c r="K19" i="3089" s="1"/>
  <c r="C19" i="3089" s="1"/>
  <c r="C39" i="3090"/>
  <c r="B39" i="3090"/>
  <c r="H63" i="3086"/>
  <c r="H67" i="3086"/>
  <c r="I67" i="3086" s="1"/>
  <c r="F4" i="3086" s="1"/>
  <c r="G70" i="3086"/>
  <c r="L70" i="3086" s="1"/>
  <c r="H71" i="3086"/>
  <c r="I71" i="3086" s="1"/>
  <c r="B13" i="3087"/>
  <c r="K13" i="3087" s="1"/>
  <c r="C13" i="3087" s="1"/>
  <c r="B17" i="3087"/>
  <c r="K17" i="3087" s="1"/>
  <c r="C17" i="3087" s="1"/>
  <c r="B21" i="3087"/>
  <c r="K21" i="3087" s="1"/>
  <c r="C21" i="3087" s="1"/>
  <c r="B25" i="3087"/>
  <c r="K25" i="3087" s="1"/>
  <c r="C25" i="3087" s="1"/>
  <c r="B28" i="3087"/>
  <c r="K28" i="3087" s="1"/>
  <c r="C28" i="3087" s="1"/>
  <c r="B33" i="3087"/>
  <c r="K33" i="3087" s="1"/>
  <c r="C33" i="3087" s="1"/>
  <c r="B37" i="3087"/>
  <c r="K37" i="3087" s="1"/>
  <c r="C37" i="3087" s="1"/>
  <c r="B40" i="3087"/>
  <c r="K40" i="3087" s="1"/>
  <c r="C40" i="3087" s="1"/>
  <c r="G63" i="3087"/>
  <c r="L63" i="3087" s="1"/>
  <c r="H64" i="3087"/>
  <c r="G67" i="3087"/>
  <c r="L67" i="3087" s="1"/>
  <c r="H68" i="3087"/>
  <c r="G71" i="3087"/>
  <c r="L71" i="3087" s="1"/>
  <c r="H72" i="3087"/>
  <c r="B10" i="3088"/>
  <c r="K10" i="3088" s="1"/>
  <c r="C10" i="3088" s="1"/>
  <c r="A11" i="3088"/>
  <c r="A13" i="3088" s="1"/>
  <c r="C16" i="3088"/>
  <c r="B26" i="3088"/>
  <c r="K26" i="3088" s="1"/>
  <c r="C26" i="3088" s="1"/>
  <c r="H71" i="3088"/>
  <c r="G71" i="3088"/>
  <c r="L71" i="3088" s="1"/>
  <c r="F71" i="3088"/>
  <c r="B8" i="3089"/>
  <c r="K8" i="3089" s="1"/>
  <c r="C8" i="3089" s="1"/>
  <c r="B11" i="3089"/>
  <c r="K11" i="3089" s="1"/>
  <c r="C11" i="3089" s="1"/>
  <c r="G48" i="3089"/>
  <c r="H61" i="3089"/>
  <c r="K47" i="3089"/>
  <c r="D45" i="3089"/>
  <c r="D44" i="3089"/>
  <c r="B12" i="3089"/>
  <c r="K12" i="3089" s="1"/>
  <c r="C12" i="3089" s="1"/>
  <c r="G61" i="3089"/>
  <c r="L61" i="3089" s="1"/>
  <c r="F61" i="3089"/>
  <c r="K61" i="3089" s="1"/>
  <c r="K45" i="3089"/>
  <c r="K44" i="3089"/>
  <c r="C24" i="3090"/>
  <c r="B28" i="3090"/>
  <c r="K28" i="3090" s="1"/>
  <c r="C28" i="3090" s="1"/>
  <c r="H70" i="3086"/>
  <c r="H63" i="3087"/>
  <c r="H67" i="3087"/>
  <c r="H71" i="3087"/>
  <c r="C25" i="3088"/>
  <c r="C28" i="3088"/>
  <c r="B39" i="3088"/>
  <c r="K39" i="3088" s="1"/>
  <c r="C39" i="3088" s="1"/>
  <c r="B15" i="3089"/>
  <c r="K15" i="3089" s="1"/>
  <c r="C15" i="3089" s="1"/>
  <c r="B24" i="3089"/>
  <c r="K24" i="3089" s="1"/>
  <c r="C24" i="3089" s="1"/>
  <c r="B34" i="3089"/>
  <c r="K34" i="3089" s="1"/>
  <c r="C34" i="3089" s="1"/>
  <c r="C40" i="3089"/>
  <c r="B40" i="3089"/>
  <c r="K60" i="3089"/>
  <c r="H65" i="3089"/>
  <c r="G65" i="3089"/>
  <c r="L65" i="3089" s="1"/>
  <c r="F65" i="3089"/>
  <c r="K65" i="3089" s="1"/>
  <c r="K59" i="3090"/>
  <c r="C24" i="3088"/>
  <c r="H63" i="3088"/>
  <c r="K49" i="3088"/>
  <c r="D47" i="3088"/>
  <c r="D46" i="3088"/>
  <c r="G63" i="3088"/>
  <c r="L63" i="3088" s="1"/>
  <c r="F63" i="3088"/>
  <c r="K47" i="3088"/>
  <c r="K46" i="3088"/>
  <c r="H69" i="3089"/>
  <c r="G69" i="3089"/>
  <c r="L69" i="3089" s="1"/>
  <c r="F69" i="3089"/>
  <c r="B20" i="3090"/>
  <c r="K20" i="3090" s="1"/>
  <c r="C20" i="3090" s="1"/>
  <c r="B21" i="3090"/>
  <c r="K21" i="3090" s="1"/>
  <c r="C21" i="3090" s="1"/>
  <c r="B22" i="3090"/>
  <c r="K22" i="3090" s="1"/>
  <c r="C22" i="3090" s="1"/>
  <c r="B34" i="3088"/>
  <c r="K34" i="3088" s="1"/>
  <c r="C34" i="3088" s="1"/>
  <c r="B38" i="3088"/>
  <c r="K38" i="3088" s="1"/>
  <c r="C38" i="3088" s="1"/>
  <c r="B41" i="3088"/>
  <c r="K41" i="3088" s="1"/>
  <c r="C41" i="3088" s="1"/>
  <c r="G64" i="3088"/>
  <c r="L64" i="3088" s="1"/>
  <c r="G68" i="3088"/>
  <c r="L68" i="3088" s="1"/>
  <c r="G72" i="3088"/>
  <c r="L72" i="3088" s="1"/>
  <c r="B10" i="3089"/>
  <c r="K10" i="3089" s="1"/>
  <c r="C10" i="3089" s="1"/>
  <c r="A11" i="3089"/>
  <c r="K14" i="3089"/>
  <c r="B18" i="3089"/>
  <c r="K18" i="3089" s="1"/>
  <c r="C18" i="3089" s="1"/>
  <c r="B23" i="3089"/>
  <c r="K23" i="3089" s="1"/>
  <c r="C23" i="3089" s="1"/>
  <c r="B27" i="3089"/>
  <c r="K27" i="3089" s="1"/>
  <c r="C27" i="3089" s="1"/>
  <c r="B33" i="3089"/>
  <c r="K33" i="3089" s="1"/>
  <c r="C33" i="3089" s="1"/>
  <c r="B36" i="3089"/>
  <c r="K36" i="3089" s="1"/>
  <c r="C36" i="3089" s="1"/>
  <c r="B39" i="3089"/>
  <c r="K39" i="3089" s="1"/>
  <c r="C39" i="3089" s="1"/>
  <c r="G62" i="3089"/>
  <c r="L62" i="3089" s="1"/>
  <c r="I64" i="3089"/>
  <c r="G66" i="3089"/>
  <c r="L66" i="3089" s="1"/>
  <c r="G70" i="3089"/>
  <c r="L70" i="3089" s="1"/>
  <c r="B9" i="3090"/>
  <c r="K9" i="3090" s="1"/>
  <c r="C9" i="3090" s="1"/>
  <c r="B10" i="3090"/>
  <c r="K10" i="3090" s="1"/>
  <c r="C10" i="3090" s="1"/>
  <c r="C16" i="3090"/>
  <c r="G68" i="3090"/>
  <c r="L68" i="3090" s="1"/>
  <c r="H68" i="3090"/>
  <c r="F68" i="3090"/>
  <c r="K68" i="3090" s="1"/>
  <c r="G49" i="3088"/>
  <c r="H64" i="3088"/>
  <c r="H68" i="3088"/>
  <c r="H72" i="3088"/>
  <c r="G47" i="3089"/>
  <c r="H62" i="3089"/>
  <c r="H66" i="3089"/>
  <c r="H70" i="3089"/>
  <c r="C12" i="3090"/>
  <c r="B25" i="3090"/>
  <c r="K25" i="3090" s="1"/>
  <c r="C25" i="3090" s="1"/>
  <c r="C27" i="3090"/>
  <c r="B33" i="3090"/>
  <c r="K33" i="3090" s="1"/>
  <c r="C33" i="3090" s="1"/>
  <c r="G8" i="3090"/>
  <c r="B36" i="3090"/>
  <c r="K36" i="3090" s="1"/>
  <c r="C36" i="3090" s="1"/>
  <c r="G60" i="3090"/>
  <c r="L60" i="3090" s="1"/>
  <c r="K46" i="3090"/>
  <c r="D44" i="3090"/>
  <c r="D43" i="3090"/>
  <c r="H60" i="3090"/>
  <c r="F60" i="3090"/>
  <c r="K60" i="3090" s="1"/>
  <c r="K44" i="3090"/>
  <c r="K43" i="3090"/>
  <c r="A10" i="3091"/>
  <c r="A9" i="3091"/>
  <c r="B35" i="3090"/>
  <c r="K35" i="3090" s="1"/>
  <c r="C35" i="3090" s="1"/>
  <c r="B38" i="3090"/>
  <c r="K38" i="3090" s="1"/>
  <c r="C38" i="3090" s="1"/>
  <c r="I59" i="3090"/>
  <c r="G65" i="3090"/>
  <c r="L65" i="3090" s="1"/>
  <c r="I66" i="3090"/>
  <c r="H67" i="3090"/>
  <c r="B11" i="3091"/>
  <c r="K11" i="3091" s="1"/>
  <c r="C11" i="3091" s="1"/>
  <c r="B14" i="3091"/>
  <c r="K14" i="3091" s="1"/>
  <c r="C14" i="3091" s="1"/>
  <c r="B19" i="3091"/>
  <c r="K19" i="3091" s="1"/>
  <c r="C19" i="3091" s="1"/>
  <c r="B35" i="3091"/>
  <c r="K35" i="3091" s="1"/>
  <c r="C35" i="3091" s="1"/>
  <c r="B36" i="3091"/>
  <c r="K36" i="3091" s="1"/>
  <c r="C36" i="3091" s="1"/>
  <c r="G46" i="3090"/>
  <c r="F61" i="3090"/>
  <c r="G63" i="3090"/>
  <c r="I65" i="3090"/>
  <c r="I67" i="3090"/>
  <c r="F69" i="3090"/>
  <c r="C13" i="3091"/>
  <c r="C17" i="3091"/>
  <c r="C25" i="3091"/>
  <c r="H70" i="3091"/>
  <c r="G70" i="3091"/>
  <c r="L70" i="3091" s="1"/>
  <c r="F70" i="3091"/>
  <c r="K70" i="3091" s="1"/>
  <c r="G49" i="3091"/>
  <c r="H66" i="3092"/>
  <c r="G66" i="3092"/>
  <c r="L66" i="3092" s="1"/>
  <c r="F66" i="3092"/>
  <c r="K66" i="3092" s="1"/>
  <c r="I66" i="3092"/>
  <c r="L59" i="3090"/>
  <c r="I62" i="3090"/>
  <c r="B15" i="3091"/>
  <c r="K15" i="3091" s="1"/>
  <c r="C15" i="3091" s="1"/>
  <c r="B23" i="3091"/>
  <c r="K23" i="3091" s="1"/>
  <c r="C23" i="3091" s="1"/>
  <c r="B30" i="3091"/>
  <c r="K30" i="3091" s="1"/>
  <c r="C30" i="3091" s="1"/>
  <c r="B18" i="3091"/>
  <c r="K18" i="3091" s="1"/>
  <c r="C18" i="3091" s="1"/>
  <c r="B22" i="3091"/>
  <c r="K22" i="3091" s="1"/>
  <c r="C22" i="3091" s="1"/>
  <c r="B26" i="3091"/>
  <c r="K26" i="3091" s="1"/>
  <c r="C26" i="3091" s="1"/>
  <c r="B29" i="3091"/>
  <c r="K29" i="3091" s="1"/>
  <c r="C29" i="3091" s="1"/>
  <c r="B34" i="3091"/>
  <c r="K34" i="3091" s="1"/>
  <c r="C34" i="3091" s="1"/>
  <c r="I67" i="3091"/>
  <c r="B15" i="3092"/>
  <c r="K15" i="3092" s="1"/>
  <c r="C15" i="3092" s="1"/>
  <c r="B23" i="3092"/>
  <c r="K23" i="3092" s="1"/>
  <c r="C23" i="3092" s="1"/>
  <c r="B30" i="3092"/>
  <c r="K30" i="3092" s="1"/>
  <c r="C30" i="3092" s="1"/>
  <c r="B38" i="3092"/>
  <c r="K38" i="3092" s="1"/>
  <c r="C38" i="3092" s="1"/>
  <c r="H70" i="3092"/>
  <c r="G70" i="3092"/>
  <c r="L70" i="3092" s="1"/>
  <c r="F70" i="3092"/>
  <c r="K70" i="3092" s="1"/>
  <c r="H62" i="3091"/>
  <c r="G62" i="3091"/>
  <c r="L62" i="3091" s="1"/>
  <c r="G48" i="3091"/>
  <c r="F62" i="3091"/>
  <c r="K62" i="3091" s="1"/>
  <c r="K46" i="3091"/>
  <c r="K45" i="3091"/>
  <c r="G13" i="3092"/>
  <c r="I70" i="3092"/>
  <c r="C38" i="3091"/>
  <c r="L61" i="3091"/>
  <c r="H66" i="3091"/>
  <c r="G66" i="3091"/>
  <c r="L66" i="3091" s="1"/>
  <c r="F66" i="3091"/>
  <c r="B11" i="3092"/>
  <c r="K11" i="3092" s="1"/>
  <c r="C11" i="3092" s="1"/>
  <c r="B19" i="3092"/>
  <c r="K19" i="3092" s="1"/>
  <c r="C19" i="3092" s="1"/>
  <c r="B27" i="3092"/>
  <c r="K27" i="3092" s="1"/>
  <c r="C27" i="3092" s="1"/>
  <c r="B35" i="3092"/>
  <c r="K35" i="3092" s="1"/>
  <c r="C35" i="3092" s="1"/>
  <c r="B41" i="3092"/>
  <c r="K41" i="3092" s="1"/>
  <c r="C41" i="3092" s="1"/>
  <c r="H62" i="3092"/>
  <c r="K48" i="3092"/>
  <c r="D46" i="3092"/>
  <c r="D45" i="3092"/>
  <c r="G62" i="3092"/>
  <c r="G48" i="3092"/>
  <c r="F62" i="3092"/>
  <c r="K46" i="3092"/>
  <c r="K45" i="3092"/>
  <c r="I61" i="3091"/>
  <c r="H64" i="3091"/>
  <c r="H68" i="3091"/>
  <c r="I68" i="3091" s="1"/>
  <c r="H72" i="3091"/>
  <c r="G11" i="3092"/>
  <c r="G63" i="3092"/>
  <c r="L63" i="3092" s="1"/>
  <c r="H64" i="3092"/>
  <c r="I64" i="3092" s="1"/>
  <c r="G67" i="3092"/>
  <c r="L67" i="3092" s="1"/>
  <c r="H68" i="3092"/>
  <c r="G71" i="3092"/>
  <c r="L71" i="3092" s="1"/>
  <c r="H72" i="3092"/>
  <c r="I64" i="3091"/>
  <c r="I68" i="3092"/>
  <c r="D45" i="3091"/>
  <c r="D46" i="3091"/>
  <c r="K48" i="3091"/>
  <c r="G69" i="3085"/>
  <c r="L69" i="3085" s="1"/>
  <c r="G73" i="3085"/>
  <c r="L73" i="3085" s="1"/>
  <c r="G66" i="3085"/>
  <c r="L66" i="3085" s="1"/>
  <c r="F68" i="3085"/>
  <c r="K68" i="3085" s="1"/>
  <c r="G70" i="3085"/>
  <c r="L70" i="3085" s="1"/>
  <c r="K62" i="3085"/>
  <c r="I67" i="3085"/>
  <c r="K46" i="3085"/>
  <c r="K47" i="3085"/>
  <c r="F63" i="3085"/>
  <c r="K63" i="3085" s="1"/>
  <c r="G64" i="3085"/>
  <c r="L64" i="3085" s="1"/>
  <c r="H65" i="3085"/>
  <c r="I66" i="3085"/>
  <c r="F67" i="3085"/>
  <c r="K67" i="3085" s="1"/>
  <c r="G68" i="3085"/>
  <c r="L68" i="3085" s="1"/>
  <c r="H69" i="3085"/>
  <c r="F71" i="3085"/>
  <c r="K71" i="3085" s="1"/>
  <c r="G72" i="3085"/>
  <c r="L72" i="3085" s="1"/>
  <c r="H73" i="3085"/>
  <c r="B11" i="3085"/>
  <c r="K11" i="3085" s="1"/>
  <c r="C11" i="3085" s="1"/>
  <c r="B15" i="3085"/>
  <c r="K15" i="3085" s="1"/>
  <c r="C15" i="3085" s="1"/>
  <c r="B19" i="3085"/>
  <c r="K19" i="3085" s="1"/>
  <c r="C19" i="3085" s="1"/>
  <c r="B23" i="3085"/>
  <c r="K23" i="3085" s="1"/>
  <c r="C23" i="3085" s="1"/>
  <c r="B27" i="3085"/>
  <c r="K27" i="3085" s="1"/>
  <c r="C27" i="3085" s="1"/>
  <c r="B30" i="3085"/>
  <c r="K30" i="3085" s="1"/>
  <c r="C30" i="3085" s="1"/>
  <c r="B35" i="3085"/>
  <c r="K35" i="3085" s="1"/>
  <c r="C35" i="3085" s="1"/>
  <c r="B39" i="3085"/>
  <c r="K39" i="3085" s="1"/>
  <c r="C39" i="3085" s="1"/>
  <c r="B42" i="3085"/>
  <c r="K42" i="3085" s="1"/>
  <c r="C42" i="3085" s="1"/>
  <c r="G49" i="3085"/>
  <c r="G63" i="3085"/>
  <c r="L63" i="3085" s="1"/>
  <c r="H64" i="3085"/>
  <c r="G67" i="3085"/>
  <c r="L67" i="3085" s="1"/>
  <c r="H68" i="3085"/>
  <c r="G71" i="3085"/>
  <c r="L71" i="3085" s="1"/>
  <c r="H72" i="3085"/>
  <c r="D46" i="3085"/>
  <c r="D47" i="3085"/>
  <c r="K49" i="3085"/>
  <c r="A9" i="3084"/>
  <c r="B13" i="3084"/>
  <c r="K13" i="3084" s="1"/>
  <c r="C13" i="3084" s="1"/>
  <c r="C15" i="3084"/>
  <c r="C25" i="3084"/>
  <c r="C28" i="3084"/>
  <c r="C33" i="3084"/>
  <c r="C37" i="3084"/>
  <c r="C39" i="3084"/>
  <c r="B8" i="3084"/>
  <c r="K8" i="3084" s="1"/>
  <c r="C8" i="3084" s="1"/>
  <c r="B9" i="3084"/>
  <c r="K9" i="3084" s="1"/>
  <c r="C9" i="3084" s="1"/>
  <c r="A10" i="3084"/>
  <c r="G10" i="3084" s="1"/>
  <c r="B12" i="3084"/>
  <c r="K12" i="3084" s="1"/>
  <c r="C12" i="3084" s="1"/>
  <c r="B17" i="3084"/>
  <c r="K17" i="3084" s="1"/>
  <c r="C17" i="3084" s="1"/>
  <c r="C19" i="3084"/>
  <c r="C23" i="3084"/>
  <c r="C30" i="3084"/>
  <c r="C35" i="3084"/>
  <c r="F62" i="3084"/>
  <c r="K62" i="3084" s="1"/>
  <c r="F66" i="3084"/>
  <c r="K66" i="3084" s="1"/>
  <c r="G67" i="3084"/>
  <c r="L67" i="3084" s="1"/>
  <c r="H68" i="3084"/>
  <c r="G71" i="3084"/>
  <c r="L71" i="3084" s="1"/>
  <c r="B22" i="3084"/>
  <c r="K22" i="3084" s="1"/>
  <c r="C22" i="3084" s="1"/>
  <c r="B18" i="3084"/>
  <c r="K18" i="3084" s="1"/>
  <c r="C18" i="3084" s="1"/>
  <c r="G48" i="3084"/>
  <c r="H65" i="3084"/>
  <c r="F65" i="3084"/>
  <c r="K65" i="3084" s="1"/>
  <c r="G65" i="3084"/>
  <c r="L65" i="3084" s="1"/>
  <c r="H61" i="3084"/>
  <c r="K45" i="3084"/>
  <c r="G61" i="3084"/>
  <c r="L61" i="3084" s="1"/>
  <c r="F61" i="3084"/>
  <c r="K61" i="3084" s="1"/>
  <c r="K44" i="3084"/>
  <c r="B14" i="3084"/>
  <c r="K14" i="3084" s="1"/>
  <c r="C14" i="3084" s="1"/>
  <c r="B26" i="3084"/>
  <c r="K26" i="3084" s="1"/>
  <c r="C26" i="3084" s="1"/>
  <c r="B34" i="3084"/>
  <c r="K34" i="3084" s="1"/>
  <c r="C34" i="3084" s="1"/>
  <c r="C40" i="3084"/>
  <c r="B40" i="3084"/>
  <c r="L60" i="3084"/>
  <c r="I63" i="3084"/>
  <c r="H69" i="3084"/>
  <c r="G69" i="3084"/>
  <c r="L69" i="3084" s="1"/>
  <c r="F69" i="3084"/>
  <c r="B29" i="3084"/>
  <c r="K29" i="3084" s="1"/>
  <c r="C29" i="3084" s="1"/>
  <c r="B10" i="3084"/>
  <c r="K10" i="3084" s="1"/>
  <c r="C10" i="3084" s="1"/>
  <c r="G47" i="3084"/>
  <c r="F60" i="3084"/>
  <c r="H62" i="3084"/>
  <c r="I62" i="3084" s="1"/>
  <c r="F64" i="3084"/>
  <c r="K64" i="3084" s="1"/>
  <c r="H66" i="3084"/>
  <c r="F68" i="3084"/>
  <c r="K68" i="3084" s="1"/>
  <c r="H70" i="3084"/>
  <c r="I70" i="3084" s="1"/>
  <c r="D44" i="3084"/>
  <c r="D45" i="3084"/>
  <c r="K47" i="3084"/>
  <c r="F60" i="3083"/>
  <c r="K60" i="3083" s="1"/>
  <c r="H62" i="3083"/>
  <c r="F64" i="3083"/>
  <c r="K64" i="3083" s="1"/>
  <c r="H68" i="3083"/>
  <c r="H60" i="3083"/>
  <c r="H64" i="3083"/>
  <c r="G63" i="3083"/>
  <c r="L63" i="3083" s="1"/>
  <c r="B10" i="3083"/>
  <c r="K10" i="3083" s="1"/>
  <c r="C10" i="3083" s="1"/>
  <c r="C17" i="3083"/>
  <c r="C21" i="3083"/>
  <c r="C25" i="3083"/>
  <c r="C28" i="3083"/>
  <c r="C33" i="3083"/>
  <c r="C36" i="3083"/>
  <c r="C39" i="3083"/>
  <c r="B8" i="3083"/>
  <c r="K8" i="3083" s="1"/>
  <c r="C8" i="3083" s="1"/>
  <c r="C12" i="3083"/>
  <c r="C16" i="3083"/>
  <c r="C20" i="3083"/>
  <c r="C24" i="3083"/>
  <c r="C27" i="3083"/>
  <c r="C32" i="3083"/>
  <c r="C38" i="3083"/>
  <c r="H66" i="3083"/>
  <c r="G60" i="3083"/>
  <c r="L60" i="3083" s="1"/>
  <c r="G68" i="3083"/>
  <c r="L68" i="3083" s="1"/>
  <c r="A14" i="3083"/>
  <c r="G13" i="3083"/>
  <c r="A15" i="3083"/>
  <c r="G11" i="3083"/>
  <c r="K44" i="3083"/>
  <c r="K45" i="3083"/>
  <c r="F61" i="3083"/>
  <c r="K61" i="3083" s="1"/>
  <c r="G62" i="3083"/>
  <c r="L62" i="3083" s="1"/>
  <c r="H63" i="3083"/>
  <c r="F65" i="3083"/>
  <c r="K65" i="3083" s="1"/>
  <c r="G66" i="3083"/>
  <c r="L66" i="3083" s="1"/>
  <c r="H67" i="3083"/>
  <c r="F69" i="3083"/>
  <c r="K69" i="3083" s="1"/>
  <c r="G70" i="3083"/>
  <c r="L70" i="3083" s="1"/>
  <c r="H71" i="3083"/>
  <c r="I71" i="3083" s="1"/>
  <c r="G10" i="3083"/>
  <c r="B11" i="3083"/>
  <c r="K11" i="3083" s="1"/>
  <c r="C11" i="3083" s="1"/>
  <c r="B15" i="3083"/>
  <c r="K15" i="3083" s="1"/>
  <c r="C15" i="3083" s="1"/>
  <c r="B19" i="3083"/>
  <c r="K19" i="3083" s="1"/>
  <c r="C19" i="3083" s="1"/>
  <c r="B23" i="3083"/>
  <c r="K23" i="3083" s="1"/>
  <c r="C23" i="3083" s="1"/>
  <c r="B30" i="3083"/>
  <c r="K30" i="3083" s="1"/>
  <c r="C30" i="3083" s="1"/>
  <c r="B35" i="3083"/>
  <c r="K35" i="3083" s="1"/>
  <c r="C35" i="3083" s="1"/>
  <c r="G47" i="3083"/>
  <c r="G61" i="3083"/>
  <c r="L61" i="3083" s="1"/>
  <c r="G65" i="3083"/>
  <c r="L65" i="3083" s="1"/>
  <c r="G69" i="3083"/>
  <c r="L69" i="3083" s="1"/>
  <c r="D44" i="3083"/>
  <c r="D45" i="3083"/>
  <c r="K47" i="3083"/>
  <c r="C38" i="3082"/>
  <c r="G62" i="3082"/>
  <c r="L62" i="3082" s="1"/>
  <c r="H67" i="3082"/>
  <c r="F70" i="3082"/>
  <c r="K70" i="3082" s="1"/>
  <c r="B13" i="3082"/>
  <c r="K13" i="3082" s="1"/>
  <c r="G71" i="3082"/>
  <c r="L71" i="3082" s="1"/>
  <c r="B12" i="3082"/>
  <c r="H64" i="3082"/>
  <c r="B8" i="3082"/>
  <c r="K8" i="3082" s="1"/>
  <c r="C8" i="3082" s="1"/>
  <c r="A10" i="3082"/>
  <c r="H60" i="3082"/>
  <c r="G67" i="3082"/>
  <c r="L67" i="3082" s="1"/>
  <c r="C23" i="3082"/>
  <c r="C36" i="3082"/>
  <c r="B39" i="3082"/>
  <c r="K39" i="3082" s="1"/>
  <c r="C39" i="3082" s="1"/>
  <c r="B22" i="3082"/>
  <c r="K22" i="3082" s="1"/>
  <c r="C22" i="3082" s="1"/>
  <c r="B27" i="3082"/>
  <c r="K27" i="3082" s="1"/>
  <c r="C27" i="3082" s="1"/>
  <c r="C31" i="3082"/>
  <c r="C17" i="3082"/>
  <c r="C35" i="3082"/>
  <c r="G48" i="3082"/>
  <c r="G63" i="3082"/>
  <c r="L63" i="3082" s="1"/>
  <c r="H68" i="3082"/>
  <c r="G70" i="3082"/>
  <c r="L70" i="3082" s="1"/>
  <c r="H71" i="3082"/>
  <c r="H63" i="3082"/>
  <c r="B16" i="3082"/>
  <c r="B28" i="3082"/>
  <c r="K28" i="3082" s="1"/>
  <c r="C28" i="3082" s="1"/>
  <c r="B24" i="3082"/>
  <c r="K24" i="3082" s="1"/>
  <c r="C24" i="3082" s="1"/>
  <c r="B20" i="3082"/>
  <c r="K20" i="3082" s="1"/>
  <c r="C20" i="3082" s="1"/>
  <c r="I65" i="3082"/>
  <c r="K44" i="3082"/>
  <c r="F69" i="3082"/>
  <c r="K69" i="3082" s="1"/>
  <c r="F61" i="3082"/>
  <c r="K61" i="3082" s="1"/>
  <c r="B34" i="3082"/>
  <c r="K34" i="3082" s="1"/>
  <c r="C34" i="3082" s="1"/>
  <c r="B40" i="3082"/>
  <c r="G47" i="3082"/>
  <c r="F60" i="3082"/>
  <c r="G61" i="3082"/>
  <c r="L61" i="3082" s="1"/>
  <c r="H62" i="3082"/>
  <c r="F64" i="3082"/>
  <c r="K64" i="3082" s="1"/>
  <c r="G65" i="3082"/>
  <c r="L65" i="3082" s="1"/>
  <c r="H66" i="3082"/>
  <c r="I67" i="3082"/>
  <c r="F68" i="3082"/>
  <c r="K68" i="3082" s="1"/>
  <c r="G69" i="3082"/>
  <c r="L69" i="3082" s="1"/>
  <c r="K45" i="3082"/>
  <c r="F65" i="3082"/>
  <c r="K65" i="3082" s="1"/>
  <c r="D44" i="3082"/>
  <c r="D45" i="3082"/>
  <c r="K47" i="3082"/>
  <c r="H70" i="3079"/>
  <c r="G63" i="3079"/>
  <c r="L63" i="3079" s="1"/>
  <c r="F60" i="3079"/>
  <c r="K60" i="3079" s="1"/>
  <c r="H62" i="3079"/>
  <c r="F64" i="3079"/>
  <c r="K64" i="3079" s="1"/>
  <c r="G71" i="3079"/>
  <c r="L71" i="3079" s="1"/>
  <c r="G48" i="3079"/>
  <c r="H60" i="3079"/>
  <c r="F71" i="3080"/>
  <c r="K71" i="3080" s="1"/>
  <c r="C41" i="3080"/>
  <c r="G65" i="3081"/>
  <c r="L65" i="3081" s="1"/>
  <c r="F70" i="3081"/>
  <c r="K70" i="3081" s="1"/>
  <c r="C39" i="3063"/>
  <c r="H72" i="3081"/>
  <c r="A10" i="3081"/>
  <c r="A12" i="3081" s="1"/>
  <c r="G12" i="3081" s="1"/>
  <c r="G62" i="3081"/>
  <c r="L62" i="3081" s="1"/>
  <c r="F64" i="3081"/>
  <c r="K64" i="3081" s="1"/>
  <c r="H70" i="3081"/>
  <c r="A11" i="3081"/>
  <c r="H62" i="3081"/>
  <c r="F66" i="3081"/>
  <c r="K66" i="3081" s="1"/>
  <c r="G69" i="3081"/>
  <c r="L69" i="3081" s="1"/>
  <c r="G73" i="3081"/>
  <c r="L73" i="3081" s="1"/>
  <c r="B12" i="3081"/>
  <c r="K12" i="3081" s="1"/>
  <c r="C12" i="3081" s="1"/>
  <c r="C40" i="3081"/>
  <c r="G50" i="3081"/>
  <c r="B10" i="3081"/>
  <c r="K10" i="3081" s="1"/>
  <c r="C10" i="3081" s="1"/>
  <c r="C18" i="3081"/>
  <c r="C22" i="3081"/>
  <c r="C26" i="3081"/>
  <c r="C29" i="3081"/>
  <c r="C31" i="3081"/>
  <c r="C36" i="3081"/>
  <c r="B8" i="3081"/>
  <c r="K8" i="3081" s="1"/>
  <c r="C8" i="3081" s="1"/>
  <c r="C17" i="3081"/>
  <c r="C21" i="3081"/>
  <c r="C25" i="3081"/>
  <c r="C30" i="3081"/>
  <c r="C35" i="3081"/>
  <c r="C39" i="3081"/>
  <c r="G66" i="3081"/>
  <c r="L66" i="3081" s="1"/>
  <c r="F68" i="3081"/>
  <c r="K68" i="3081" s="1"/>
  <c r="F62" i="3081"/>
  <c r="K62" i="3081" s="1"/>
  <c r="G70" i="3081"/>
  <c r="L70" i="3081" s="1"/>
  <c r="K46" i="3081"/>
  <c r="K47" i="3081"/>
  <c r="F63" i="3081"/>
  <c r="K63" i="3081" s="1"/>
  <c r="G64" i="3081"/>
  <c r="L64" i="3081" s="1"/>
  <c r="H65" i="3081"/>
  <c r="F67" i="3081"/>
  <c r="K67" i="3081" s="1"/>
  <c r="G68" i="3081"/>
  <c r="L68" i="3081" s="1"/>
  <c r="H69" i="3081"/>
  <c r="F71" i="3081"/>
  <c r="K71" i="3081" s="1"/>
  <c r="G72" i="3081"/>
  <c r="L72" i="3081" s="1"/>
  <c r="H73" i="3081"/>
  <c r="B11" i="3081"/>
  <c r="K11" i="3081" s="1"/>
  <c r="C11" i="3081" s="1"/>
  <c r="B20" i="3081"/>
  <c r="K20" i="3081" s="1"/>
  <c r="C20" i="3081" s="1"/>
  <c r="B24" i="3081"/>
  <c r="K24" i="3081" s="1"/>
  <c r="C24" i="3081" s="1"/>
  <c r="B28" i="3081"/>
  <c r="K28" i="3081" s="1"/>
  <c r="C28" i="3081" s="1"/>
  <c r="B34" i="3081"/>
  <c r="K34" i="3081" s="1"/>
  <c r="C34" i="3081" s="1"/>
  <c r="B38" i="3081"/>
  <c r="K38" i="3081" s="1"/>
  <c r="C38" i="3081" s="1"/>
  <c r="B41" i="3081"/>
  <c r="K41" i="3081" s="1"/>
  <c r="C41" i="3081" s="1"/>
  <c r="G49" i="3081"/>
  <c r="G63" i="3081"/>
  <c r="L63" i="3081" s="1"/>
  <c r="G67" i="3081"/>
  <c r="L67" i="3081" s="1"/>
  <c r="G71" i="3081"/>
  <c r="L71" i="3081" s="1"/>
  <c r="B16" i="3081"/>
  <c r="K16" i="3081" s="1"/>
  <c r="C16" i="3081" s="1"/>
  <c r="D46" i="3081"/>
  <c r="D47" i="3081"/>
  <c r="K49" i="3081"/>
  <c r="G63" i="3080"/>
  <c r="L63" i="3080" s="1"/>
  <c r="H65" i="3080"/>
  <c r="B8" i="3080"/>
  <c r="K8" i="3080" s="1"/>
  <c r="C8" i="3080" s="1"/>
  <c r="B11" i="3080"/>
  <c r="K11" i="3080" s="1"/>
  <c r="C11" i="3080" s="1"/>
  <c r="H64" i="3080"/>
  <c r="C20" i="3080"/>
  <c r="C38" i="3080"/>
  <c r="C15" i="3080"/>
  <c r="C33" i="3080"/>
  <c r="A9" i="3080"/>
  <c r="A11" i="3080" s="1"/>
  <c r="G11" i="3080" s="1"/>
  <c r="A10" i="3080"/>
  <c r="B12" i="3080"/>
  <c r="K12" i="3080" s="1"/>
  <c r="C12" i="3080" s="1"/>
  <c r="B17" i="3080"/>
  <c r="K17" i="3080" s="1"/>
  <c r="C17" i="3080" s="1"/>
  <c r="B29" i="3080"/>
  <c r="K29" i="3080" s="1"/>
  <c r="C29" i="3080" s="1"/>
  <c r="B35" i="3080"/>
  <c r="K35" i="3080" s="1"/>
  <c r="C35" i="3080" s="1"/>
  <c r="C23" i="3080"/>
  <c r="C40" i="3080"/>
  <c r="F67" i="3080"/>
  <c r="K67" i="3080" s="1"/>
  <c r="G68" i="3080"/>
  <c r="L68" i="3080" s="1"/>
  <c r="G72" i="3080"/>
  <c r="L72" i="3080" s="1"/>
  <c r="F63" i="3080"/>
  <c r="K63" i="3080" s="1"/>
  <c r="G64" i="3080"/>
  <c r="L64" i="3080" s="1"/>
  <c r="H67" i="3080"/>
  <c r="H69" i="3080"/>
  <c r="K45" i="3080"/>
  <c r="K46" i="3080"/>
  <c r="F62" i="3080"/>
  <c r="K62" i="3080" s="1"/>
  <c r="F66" i="3080"/>
  <c r="K66" i="3080" s="1"/>
  <c r="H68" i="3080"/>
  <c r="F70" i="3080"/>
  <c r="K70" i="3080" s="1"/>
  <c r="G71" i="3080"/>
  <c r="L71" i="3080" s="1"/>
  <c r="H72" i="3080"/>
  <c r="I72" i="3080" s="1"/>
  <c r="B14" i="3080"/>
  <c r="K14" i="3080" s="1"/>
  <c r="C14" i="3080" s="1"/>
  <c r="B22" i="3080"/>
  <c r="K22" i="3080" s="1"/>
  <c r="C22" i="3080" s="1"/>
  <c r="B25" i="3080"/>
  <c r="K25" i="3080" s="1"/>
  <c r="C25" i="3080" s="1"/>
  <c r="B32" i="3080"/>
  <c r="K32" i="3080" s="1"/>
  <c r="C32" i="3080" s="1"/>
  <c r="B36" i="3080"/>
  <c r="K36" i="3080" s="1"/>
  <c r="C36" i="3080" s="1"/>
  <c r="B39" i="3080"/>
  <c r="K39" i="3080" s="1"/>
  <c r="C39" i="3080" s="1"/>
  <c r="G48" i="3080"/>
  <c r="F61" i="3080"/>
  <c r="G62" i="3080"/>
  <c r="L62" i="3080" s="1"/>
  <c r="F65" i="3080"/>
  <c r="K65" i="3080" s="1"/>
  <c r="G66" i="3080"/>
  <c r="L66" i="3080" s="1"/>
  <c r="F69" i="3080"/>
  <c r="K69" i="3080" s="1"/>
  <c r="G70" i="3080"/>
  <c r="L70" i="3080" s="1"/>
  <c r="B10" i="3080"/>
  <c r="K10" i="3080" s="1"/>
  <c r="C10" i="3080" s="1"/>
  <c r="B18" i="3080"/>
  <c r="K18" i="3080" s="1"/>
  <c r="C18" i="3080" s="1"/>
  <c r="D45" i="3080"/>
  <c r="D46" i="3080"/>
  <c r="K48" i="3080"/>
  <c r="G64" i="3079"/>
  <c r="L64" i="3079" s="1"/>
  <c r="F66" i="3079"/>
  <c r="K66" i="3079" s="1"/>
  <c r="H64" i="3079"/>
  <c r="H66" i="3079"/>
  <c r="B11" i="3079"/>
  <c r="K11" i="3079" s="1"/>
  <c r="C11" i="3079" s="1"/>
  <c r="B12" i="3079"/>
  <c r="K12" i="3079" s="1"/>
  <c r="C12" i="3079" s="1"/>
  <c r="G68" i="3079"/>
  <c r="L68" i="3079" s="1"/>
  <c r="C13" i="3079"/>
  <c r="C28" i="3079"/>
  <c r="C36" i="3079"/>
  <c r="C39" i="3079"/>
  <c r="A10" i="3079"/>
  <c r="C19" i="3079"/>
  <c r="B9" i="3079"/>
  <c r="K9" i="3079" s="1"/>
  <c r="C9" i="3079" s="1"/>
  <c r="B16" i="3079"/>
  <c r="K16" i="3079" s="1"/>
  <c r="C16" i="3079" s="1"/>
  <c r="B21" i="3079"/>
  <c r="K21" i="3079" s="1"/>
  <c r="C21" i="3079" s="1"/>
  <c r="B8" i="3079"/>
  <c r="K8" i="3079" s="1"/>
  <c r="C8" i="3079" s="1"/>
  <c r="C32" i="3079"/>
  <c r="C38" i="3079"/>
  <c r="G9" i="3079"/>
  <c r="B10" i="3079"/>
  <c r="K10" i="3079" s="1"/>
  <c r="C10" i="3079" s="1"/>
  <c r="A13" i="3079"/>
  <c r="K44" i="3079"/>
  <c r="K45" i="3079"/>
  <c r="F61" i="3079"/>
  <c r="K61" i="3079" s="1"/>
  <c r="G62" i="3079"/>
  <c r="L62" i="3079" s="1"/>
  <c r="H63" i="3079"/>
  <c r="I63" i="3079" s="1"/>
  <c r="F65" i="3079"/>
  <c r="K65" i="3079" s="1"/>
  <c r="G66" i="3079"/>
  <c r="L66" i="3079" s="1"/>
  <c r="H67" i="3079"/>
  <c r="F69" i="3079"/>
  <c r="K69" i="3079" s="1"/>
  <c r="G70" i="3079"/>
  <c r="L70" i="3079" s="1"/>
  <c r="H71" i="3079"/>
  <c r="B14" i="3079"/>
  <c r="K14" i="3079" s="1"/>
  <c r="C14" i="3079" s="1"/>
  <c r="B26" i="3079"/>
  <c r="K26" i="3079" s="1"/>
  <c r="C26" i="3079" s="1"/>
  <c r="B34" i="3079"/>
  <c r="K34" i="3079" s="1"/>
  <c r="C34" i="3079" s="1"/>
  <c r="G47" i="3079"/>
  <c r="G61" i="3079"/>
  <c r="L61" i="3079" s="1"/>
  <c r="G65" i="3079"/>
  <c r="L65" i="3079" s="1"/>
  <c r="I67" i="3079"/>
  <c r="G69" i="3079"/>
  <c r="L69" i="3079" s="1"/>
  <c r="B18" i="3079"/>
  <c r="K18" i="3079" s="1"/>
  <c r="C18" i="3079" s="1"/>
  <c r="B22" i="3079"/>
  <c r="K22" i="3079" s="1"/>
  <c r="C22" i="3079" s="1"/>
  <c r="B29" i="3079"/>
  <c r="K29" i="3079" s="1"/>
  <c r="C29" i="3079" s="1"/>
  <c r="B37" i="3079"/>
  <c r="K37" i="3079" s="1"/>
  <c r="C37" i="3079" s="1"/>
  <c r="B40" i="3079"/>
  <c r="D44" i="3079"/>
  <c r="D45" i="3079"/>
  <c r="K47" i="3079"/>
  <c r="A10" i="3078"/>
  <c r="A11" i="3078" s="1"/>
  <c r="A9" i="3078"/>
  <c r="A10" i="3077"/>
  <c r="A12" i="3077" s="1"/>
  <c r="A11" i="3077"/>
  <c r="A42" i="3077"/>
  <c r="A43" i="3077"/>
  <c r="A9" i="3077"/>
  <c r="A10" i="3073"/>
  <c r="A12" i="3073" s="1"/>
  <c r="A11" i="3073"/>
  <c r="A9" i="3073"/>
  <c r="A10" i="3076"/>
  <c r="A12" i="3076" s="1"/>
  <c r="A11" i="3076"/>
  <c r="A9" i="3076"/>
  <c r="A10" i="3074"/>
  <c r="A12" i="3074" s="1"/>
  <c r="A11" i="3074"/>
  <c r="A9" i="3074"/>
  <c r="A10" i="3070"/>
  <c r="A11" i="3070" s="1"/>
  <c r="A9" i="3070"/>
  <c r="A8" i="3070"/>
  <c r="A10" i="3068"/>
  <c r="A9" i="3067"/>
  <c r="A10" i="3067" s="1"/>
  <c r="A10" i="3066"/>
  <c r="A11" i="3066" s="1"/>
  <c r="A9" i="3066"/>
  <c r="I65" i="3092" l="1"/>
  <c r="B4" i="3092" s="1"/>
  <c r="I69" i="3092"/>
  <c r="G10" i="3092"/>
  <c r="I72" i="3092"/>
  <c r="I61" i="3092"/>
  <c r="I69" i="3091"/>
  <c r="I70" i="3088"/>
  <c r="G10" i="3088"/>
  <c r="I66" i="3088"/>
  <c r="A14" i="3087"/>
  <c r="I63" i="3086"/>
  <c r="I69" i="3085"/>
  <c r="I65" i="3085"/>
  <c r="I73" i="3085"/>
  <c r="I66" i="3084"/>
  <c r="I63" i="3083"/>
  <c r="I62" i="3082"/>
  <c r="I72" i="3091"/>
  <c r="B4" i="3091"/>
  <c r="A14" i="3090"/>
  <c r="A16" i="3090" s="1"/>
  <c r="A11" i="3090"/>
  <c r="A13" i="3090" s="1"/>
  <c r="I63" i="3089"/>
  <c r="F4" i="3089" s="1"/>
  <c r="I60" i="3089"/>
  <c r="I68" i="3089"/>
  <c r="I71" i="3089"/>
  <c r="I61" i="3089"/>
  <c r="A12" i="3089"/>
  <c r="A14" i="3089" s="1"/>
  <c r="G10" i="3089"/>
  <c r="I73" i="3088"/>
  <c r="A15" i="3088"/>
  <c r="A17" i="3088" s="1"/>
  <c r="I62" i="3088"/>
  <c r="I69" i="3088"/>
  <c r="H4" i="3088"/>
  <c r="I68" i="3088"/>
  <c r="A13" i="3087"/>
  <c r="A15" i="3087" s="1"/>
  <c r="I68" i="3087"/>
  <c r="I72" i="3087"/>
  <c r="F4" i="3087" s="1"/>
  <c r="I64" i="3087"/>
  <c r="B4" i="3087" s="1"/>
  <c r="F79" i="3086"/>
  <c r="I62" i="3086"/>
  <c r="J4" i="3086" s="1"/>
  <c r="G11" i="3085"/>
  <c r="I70" i="3085"/>
  <c r="G13" i="3085"/>
  <c r="A14" i="3085"/>
  <c r="G14" i="3085" s="1"/>
  <c r="I68" i="3084"/>
  <c r="I67" i="3083"/>
  <c r="K12" i="3082"/>
  <c r="C12" i="3082" s="1"/>
  <c r="K16" i="3082"/>
  <c r="C16" i="3082" s="1"/>
  <c r="C13" i="3082"/>
  <c r="A13" i="3082"/>
  <c r="A12" i="3082"/>
  <c r="G12" i="3082" s="1"/>
  <c r="G10" i="3082"/>
  <c r="I71" i="3082"/>
  <c r="A14" i="3081"/>
  <c r="A13" i="3081"/>
  <c r="I69" i="3081"/>
  <c r="G9" i="3080"/>
  <c r="A12" i="3080"/>
  <c r="G12" i="3080" s="1"/>
  <c r="I68" i="3080"/>
  <c r="G10" i="3080"/>
  <c r="I71" i="3079"/>
  <c r="A12" i="3079"/>
  <c r="G12" i="3079" s="1"/>
  <c r="G10" i="3079"/>
  <c r="A13" i="3080"/>
  <c r="A15" i="3080" s="1"/>
  <c r="G12" i="3092"/>
  <c r="A14" i="3092"/>
  <c r="G10" i="3085"/>
  <c r="D4" i="3092"/>
  <c r="L4" i="3091"/>
  <c r="F78" i="3091"/>
  <c r="I71" i="3091"/>
  <c r="D4" i="3091" s="1"/>
  <c r="I64" i="3090"/>
  <c r="I68" i="3090"/>
  <c r="I66" i="3089"/>
  <c r="G79" i="3088"/>
  <c r="I72" i="3088"/>
  <c r="I69" i="3087"/>
  <c r="I65" i="3087"/>
  <c r="I71" i="3087"/>
  <c r="I70" i="3087"/>
  <c r="I68" i="3086"/>
  <c r="I66" i="3086"/>
  <c r="D4" i="3086" s="1"/>
  <c r="I64" i="3086"/>
  <c r="B4" i="3086" s="1"/>
  <c r="C43" i="3090"/>
  <c r="G43" i="3090"/>
  <c r="I70" i="3086"/>
  <c r="I71" i="3092"/>
  <c r="F4" i="3092" s="1"/>
  <c r="C46" i="3092"/>
  <c r="G46" i="3092"/>
  <c r="G78" i="3091"/>
  <c r="A17" i="3092"/>
  <c r="G15" i="3092"/>
  <c r="I63" i="3092"/>
  <c r="L4" i="3092" s="1"/>
  <c r="I70" i="3091"/>
  <c r="H4" i="3091" s="1"/>
  <c r="L63" i="3090"/>
  <c r="I63" i="3090"/>
  <c r="L4" i="3090" s="1"/>
  <c r="C44" i="3090"/>
  <c r="G44" i="3090"/>
  <c r="A13" i="3089"/>
  <c r="G11" i="3089"/>
  <c r="C46" i="3088"/>
  <c r="G46" i="3088"/>
  <c r="F77" i="3089"/>
  <c r="K71" i="3088"/>
  <c r="I71" i="3088"/>
  <c r="A14" i="3088"/>
  <c r="G11" i="3088"/>
  <c r="A16" i="3087"/>
  <c r="G14" i="3087"/>
  <c r="L62" i="3086"/>
  <c r="G79" i="3086"/>
  <c r="K65" i="3086"/>
  <c r="I65" i="3086"/>
  <c r="H4" i="3086" s="1"/>
  <c r="I70" i="3089"/>
  <c r="C45" i="3089"/>
  <c r="G45" i="3089"/>
  <c r="K62" i="3087"/>
  <c r="I62" i="3087"/>
  <c r="G46" i="3091"/>
  <c r="C46" i="3091"/>
  <c r="F78" i="3092"/>
  <c r="K62" i="3092"/>
  <c r="I62" i="3092"/>
  <c r="G78" i="3092"/>
  <c r="L62" i="3092"/>
  <c r="K66" i="3091"/>
  <c r="I66" i="3091"/>
  <c r="J4" i="3091" s="1"/>
  <c r="G76" i="3090"/>
  <c r="K69" i="3090"/>
  <c r="I69" i="3090"/>
  <c r="B4" i="3090" s="1"/>
  <c r="K61" i="3090"/>
  <c r="I61" i="3090"/>
  <c r="D4" i="3090" s="1"/>
  <c r="H4" i="3090"/>
  <c r="A11" i="3091"/>
  <c r="G9" i="3091"/>
  <c r="I62" i="3089"/>
  <c r="C47" i="3088"/>
  <c r="G47" i="3088"/>
  <c r="F76" i="3090"/>
  <c r="G46" i="3086"/>
  <c r="C46" i="3086"/>
  <c r="G14" i="3090"/>
  <c r="I67" i="3087"/>
  <c r="A13" i="3086"/>
  <c r="G11" i="3086"/>
  <c r="I66" i="3087"/>
  <c r="H4" i="3087" s="1"/>
  <c r="C45" i="3092"/>
  <c r="G45" i="3092"/>
  <c r="G45" i="3091"/>
  <c r="C45" i="3091"/>
  <c r="A12" i="3091"/>
  <c r="G10" i="3091"/>
  <c r="I60" i="3090"/>
  <c r="F4" i="3090" s="1"/>
  <c r="G77" i="3089"/>
  <c r="K69" i="3089"/>
  <c r="I69" i="3089"/>
  <c r="K63" i="3088"/>
  <c r="I63" i="3088"/>
  <c r="G78" i="3087"/>
  <c r="C44" i="3089"/>
  <c r="G44" i="3089"/>
  <c r="F78" i="3087"/>
  <c r="C45" i="3087"/>
  <c r="G45" i="3087"/>
  <c r="G47" i="3086"/>
  <c r="C47" i="3086"/>
  <c r="I67" i="3088"/>
  <c r="F79" i="3088"/>
  <c r="G14" i="3086"/>
  <c r="A16" i="3086"/>
  <c r="B4" i="3085"/>
  <c r="I71" i="3085"/>
  <c r="I72" i="3085"/>
  <c r="G79" i="3085"/>
  <c r="A17" i="3085"/>
  <c r="G15" i="3085"/>
  <c r="I64" i="3085"/>
  <c r="C47" i="3085"/>
  <c r="G47" i="3085"/>
  <c r="I63" i="3085"/>
  <c r="F79" i="3085"/>
  <c r="C46" i="3085"/>
  <c r="G46" i="3085"/>
  <c r="A12" i="3084"/>
  <c r="A14" i="3084" s="1"/>
  <c r="A11" i="3084"/>
  <c r="G9" i="3084"/>
  <c r="I65" i="3084"/>
  <c r="J4" i="3084" s="1"/>
  <c r="I71" i="3084"/>
  <c r="D4" i="3084" s="1"/>
  <c r="I67" i="3084"/>
  <c r="L4" i="3084" s="1"/>
  <c r="C44" i="3084"/>
  <c r="G44" i="3084"/>
  <c r="K60" i="3084"/>
  <c r="F77" i="3084"/>
  <c r="I60" i="3084"/>
  <c r="K69" i="3084"/>
  <c r="I69" i="3084"/>
  <c r="G12" i="3084"/>
  <c r="C45" i="3084"/>
  <c r="G45" i="3084"/>
  <c r="G77" i="3084"/>
  <c r="I61" i="3084"/>
  <c r="I65" i="3083"/>
  <c r="I64" i="3083"/>
  <c r="I62" i="3083"/>
  <c r="D4" i="3083" s="1"/>
  <c r="I66" i="3083"/>
  <c r="I60" i="3083"/>
  <c r="I69" i="3083"/>
  <c r="I61" i="3083"/>
  <c r="F4" i="3083" s="1"/>
  <c r="C45" i="3083"/>
  <c r="G45" i="3083"/>
  <c r="G77" i="3083"/>
  <c r="C44" i="3083"/>
  <c r="G44" i="3083"/>
  <c r="F77" i="3083"/>
  <c r="I70" i="3083"/>
  <c r="G14" i="3083"/>
  <c r="A16" i="3083"/>
  <c r="A17" i="3083"/>
  <c r="G15" i="3083"/>
  <c r="I63" i="3082"/>
  <c r="I70" i="3082"/>
  <c r="L4" i="3082" s="1"/>
  <c r="I69" i="3082"/>
  <c r="C45" i="3082"/>
  <c r="G45" i="3082"/>
  <c r="K60" i="3082"/>
  <c r="F77" i="3082"/>
  <c r="I64" i="3082"/>
  <c r="I61" i="3082"/>
  <c r="H4" i="3082" s="1"/>
  <c r="C44" i="3082"/>
  <c r="G44" i="3082"/>
  <c r="I60" i="3082"/>
  <c r="G77" i="3082"/>
  <c r="I68" i="3082"/>
  <c r="J4" i="3082" s="1"/>
  <c r="I67" i="3080"/>
  <c r="D4" i="3080" s="1"/>
  <c r="I66" i="3080"/>
  <c r="G77" i="3079"/>
  <c r="I60" i="3079"/>
  <c r="I64" i="3079"/>
  <c r="I64" i="3080"/>
  <c r="I63" i="3080"/>
  <c r="I70" i="3081"/>
  <c r="I65" i="3081"/>
  <c r="I62" i="3081"/>
  <c r="A15" i="3081"/>
  <c r="A17" i="3081" s="1"/>
  <c r="G10" i="3081"/>
  <c r="I66" i="3081"/>
  <c r="I73" i="3081"/>
  <c r="G11" i="3081"/>
  <c r="I68" i="3081"/>
  <c r="I63" i="3081"/>
  <c r="G79" i="3081"/>
  <c r="I71" i="3081"/>
  <c r="I67" i="3081"/>
  <c r="F4" i="3081" s="1"/>
  <c r="C47" i="3081"/>
  <c r="G47" i="3081"/>
  <c r="F79" i="3081"/>
  <c r="C46" i="3081"/>
  <c r="G46" i="3081"/>
  <c r="I72" i="3081"/>
  <c r="L4" i="3081" s="1"/>
  <c r="I64" i="3081"/>
  <c r="I62" i="3080"/>
  <c r="I69" i="3080"/>
  <c r="I70" i="3080"/>
  <c r="G46" i="3080"/>
  <c r="C46" i="3080"/>
  <c r="G45" i="3080"/>
  <c r="C45" i="3080"/>
  <c r="K61" i="3080"/>
  <c r="F78" i="3080"/>
  <c r="I61" i="3080"/>
  <c r="I71" i="3080"/>
  <c r="G78" i="3080"/>
  <c r="I65" i="3080"/>
  <c r="I68" i="3079"/>
  <c r="I65" i="3079"/>
  <c r="F4" i="3079" s="1"/>
  <c r="I61" i="3079"/>
  <c r="H4" i="3079" s="1"/>
  <c r="G45" i="3079"/>
  <c r="C45" i="3079"/>
  <c r="I70" i="3079"/>
  <c r="G44" i="3079"/>
  <c r="C44" i="3079"/>
  <c r="F77" i="3079"/>
  <c r="I62" i="3079"/>
  <c r="I69" i="3079"/>
  <c r="A15" i="3079"/>
  <c r="G13" i="3079"/>
  <c r="A12" i="3078"/>
  <c r="A15" i="3077"/>
  <c r="A13" i="3077"/>
  <c r="A14" i="3077"/>
  <c r="A16" i="3077"/>
  <c r="A13" i="3073"/>
  <c r="A14" i="3073" s="1"/>
  <c r="A13" i="3076"/>
  <c r="A14" i="3076" s="1"/>
  <c r="A14" i="3074"/>
  <c r="A13" i="3074"/>
  <c r="A12" i="3070"/>
  <c r="A11" i="3067"/>
  <c r="A12" i="3067" s="1"/>
  <c r="A13" i="3066"/>
  <c r="A12" i="3066"/>
  <c r="A14" i="3066" s="1"/>
  <c r="G11" i="3090" l="1"/>
  <c r="D4" i="3089"/>
  <c r="J4" i="3088"/>
  <c r="G15" i="3088"/>
  <c r="J4" i="3087"/>
  <c r="H4" i="3085"/>
  <c r="H4" i="3084"/>
  <c r="J4" i="3090"/>
  <c r="B4" i="3089"/>
  <c r="H4" i="3089"/>
  <c r="G12" i="3089"/>
  <c r="L4" i="3088"/>
  <c r="B4" i="3088"/>
  <c r="G13" i="3087"/>
  <c r="G15" i="3087"/>
  <c r="A17" i="3087"/>
  <c r="L4" i="3086"/>
  <c r="J4" i="3085"/>
  <c r="A16" i="3085"/>
  <c r="G16" i="3085" s="1"/>
  <c r="I78" i="3085"/>
  <c r="H78" i="3085" s="1"/>
  <c r="D4" i="3085"/>
  <c r="G13" i="3082"/>
  <c r="A15" i="3082"/>
  <c r="G15" i="3082" s="1"/>
  <c r="B4" i="3079"/>
  <c r="B4" i="3082"/>
  <c r="A14" i="3082"/>
  <c r="D4" i="3082"/>
  <c r="G14" i="3081"/>
  <c r="A16" i="3081"/>
  <c r="A14" i="3080"/>
  <c r="A16" i="3080" s="1"/>
  <c r="G16" i="3080" s="1"/>
  <c r="G13" i="3080"/>
  <c r="D4" i="3079"/>
  <c r="A14" i="3079"/>
  <c r="L4" i="3079"/>
  <c r="L4" i="3080"/>
  <c r="A16" i="3092"/>
  <c r="G14" i="3092"/>
  <c r="H4" i="3092"/>
  <c r="L4" i="3089"/>
  <c r="J4" i="3089"/>
  <c r="F4" i="3088"/>
  <c r="D4" i="3088"/>
  <c r="D4" i="3087"/>
  <c r="G12" i="3091"/>
  <c r="A14" i="3091"/>
  <c r="G11" i="3091"/>
  <c r="A13" i="3091"/>
  <c r="I77" i="3091"/>
  <c r="G16" i="3086"/>
  <c r="A18" i="3086"/>
  <c r="I78" i="3088"/>
  <c r="I77" i="3087"/>
  <c r="L4" i="3087"/>
  <c r="G17" i="3088"/>
  <c r="A19" i="3088"/>
  <c r="G14" i="3088"/>
  <c r="A16" i="3088"/>
  <c r="G17" i="3092"/>
  <c r="A19" i="3092"/>
  <c r="A18" i="3090"/>
  <c r="G16" i="3090"/>
  <c r="I75" i="3090"/>
  <c r="G13" i="3089"/>
  <c r="A15" i="3089"/>
  <c r="I78" i="3086"/>
  <c r="G13" i="3086"/>
  <c r="A15" i="3086"/>
  <c r="J4" i="3092"/>
  <c r="I77" i="3092"/>
  <c r="G13" i="3090"/>
  <c r="A15" i="3090"/>
  <c r="G16" i="3087"/>
  <c r="A18" i="3087"/>
  <c r="I76" i="3089"/>
  <c r="L4" i="3085"/>
  <c r="F4" i="3085"/>
  <c r="G78" i="3085"/>
  <c r="F78" i="3085"/>
  <c r="G17" i="3085"/>
  <c r="A19" i="3085"/>
  <c r="G11" i="3084"/>
  <c r="A13" i="3084"/>
  <c r="A16" i="3084"/>
  <c r="G14" i="3084"/>
  <c r="I76" i="3084"/>
  <c r="F4" i="3084"/>
  <c r="L4" i="3083"/>
  <c r="B4" i="3083"/>
  <c r="J4" i="3083"/>
  <c r="G17" i="3083"/>
  <c r="A19" i="3083"/>
  <c r="G16" i="3083"/>
  <c r="A18" i="3083"/>
  <c r="H4" i="3083"/>
  <c r="I76" i="3083"/>
  <c r="I76" i="3082"/>
  <c r="F4" i="3082"/>
  <c r="B4" i="3080"/>
  <c r="H4" i="3080"/>
  <c r="G15" i="3081"/>
  <c r="D4" i="3081"/>
  <c r="J4" i="3081"/>
  <c r="I78" i="3081"/>
  <c r="F78" i="3081" s="1"/>
  <c r="H4" i="3081"/>
  <c r="B4" i="3081"/>
  <c r="G17" i="3081"/>
  <c r="A19" i="3081"/>
  <c r="J4" i="3080"/>
  <c r="I77" i="3080"/>
  <c r="F4" i="3080"/>
  <c r="A18" i="3080"/>
  <c r="G15" i="3080"/>
  <c r="A17" i="3080"/>
  <c r="J4" i="3079"/>
  <c r="G15" i="3079"/>
  <c r="A17" i="3079"/>
  <c r="I76" i="3079"/>
  <c r="A14" i="3078"/>
  <c r="A13" i="3078"/>
  <c r="A18" i="3077"/>
  <c r="A17" i="3077"/>
  <c r="A15" i="3073"/>
  <c r="A15" i="3076"/>
  <c r="A15" i="3074"/>
  <c r="A14" i="3070"/>
  <c r="A13" i="3067"/>
  <c r="A15" i="3066"/>
  <c r="A16" i="3066"/>
  <c r="A16" i="3089" l="1"/>
  <c r="G14" i="3089"/>
  <c r="A19" i="3087"/>
  <c r="G17" i="3087"/>
  <c r="A18" i="3085"/>
  <c r="A20" i="3085" s="1"/>
  <c r="G14" i="3082"/>
  <c r="A16" i="3082"/>
  <c r="A18" i="3082" s="1"/>
  <c r="G18" i="3082" s="1"/>
  <c r="A17" i="3082"/>
  <c r="G17" i="3082" s="1"/>
  <c r="G16" i="3081"/>
  <c r="A18" i="3081"/>
  <c r="G14" i="3080"/>
  <c r="A16" i="3079"/>
  <c r="G14" i="3079"/>
  <c r="A18" i="3092"/>
  <c r="G16" i="3092"/>
  <c r="H77" i="3092"/>
  <c r="G77" i="3092"/>
  <c r="F77" i="3092"/>
  <c r="G75" i="3090"/>
  <c r="H75" i="3090"/>
  <c r="F75" i="3090"/>
  <c r="G18" i="3090"/>
  <c r="A20" i="3090"/>
  <c r="A20" i="3086"/>
  <c r="G18" i="3086"/>
  <c r="A21" i="3088"/>
  <c r="G19" i="3088"/>
  <c r="H78" i="3088"/>
  <c r="G78" i="3088"/>
  <c r="F78" i="3088"/>
  <c r="A17" i="3090"/>
  <c r="G15" i="3090"/>
  <c r="F78" i="3086"/>
  <c r="H78" i="3086"/>
  <c r="G78" i="3086"/>
  <c r="A21" i="3092"/>
  <c r="G19" i="3092"/>
  <c r="A16" i="3091"/>
  <c r="G14" i="3091"/>
  <c r="A18" i="3088"/>
  <c r="G16" i="3088"/>
  <c r="A15" i="3091"/>
  <c r="G13" i="3091"/>
  <c r="A20" i="3087"/>
  <c r="G18" i="3087"/>
  <c r="A17" i="3086"/>
  <c r="G15" i="3086"/>
  <c r="H76" i="3089"/>
  <c r="G76" i="3089"/>
  <c r="F76" i="3089"/>
  <c r="A17" i="3089"/>
  <c r="G15" i="3089"/>
  <c r="H77" i="3087"/>
  <c r="G77" i="3087"/>
  <c r="F77" i="3087"/>
  <c r="H77" i="3091"/>
  <c r="G77" i="3091"/>
  <c r="F77" i="3091"/>
  <c r="A21" i="3085"/>
  <c r="G19" i="3085"/>
  <c r="A15" i="3084"/>
  <c r="G13" i="3084"/>
  <c r="H76" i="3084"/>
  <c r="F76" i="3084"/>
  <c r="G76" i="3084"/>
  <c r="G16" i="3084"/>
  <c r="A18" i="3084"/>
  <c r="G18" i="3083"/>
  <c r="A20" i="3083"/>
  <c r="H76" i="3083"/>
  <c r="G76" i="3083"/>
  <c r="F76" i="3083"/>
  <c r="A21" i="3083"/>
  <c r="G19" i="3083"/>
  <c r="H76" i="3082"/>
  <c r="G76" i="3082"/>
  <c r="F76" i="3082"/>
  <c r="G78" i="3081"/>
  <c r="H78" i="3081"/>
  <c r="A21" i="3081"/>
  <c r="G19" i="3081"/>
  <c r="A20" i="3080"/>
  <c r="G18" i="3080"/>
  <c r="A19" i="3080"/>
  <c r="G17" i="3080"/>
  <c r="H77" i="3080"/>
  <c r="G77" i="3080"/>
  <c r="F77" i="3080"/>
  <c r="H76" i="3079"/>
  <c r="G76" i="3079"/>
  <c r="F76" i="3079"/>
  <c r="A19" i="3079"/>
  <c r="G17" i="3079"/>
  <c r="A15" i="3078"/>
  <c r="A19" i="3077"/>
  <c r="A20" i="3077"/>
  <c r="A21" i="3077"/>
  <c r="A22" i="3077" s="1"/>
  <c r="A16" i="3073"/>
  <c r="A17" i="3073"/>
  <c r="A17" i="3076"/>
  <c r="A16" i="3076"/>
  <c r="A16" i="3074"/>
  <c r="A17" i="3074"/>
  <c r="A18" i="3070"/>
  <c r="A15" i="3070"/>
  <c r="A16" i="3070"/>
  <c r="A14" i="3067"/>
  <c r="A17" i="3066"/>
  <c r="G16" i="3089" l="1"/>
  <c r="A18" i="3089"/>
  <c r="A21" i="3087"/>
  <c r="G19" i="3087"/>
  <c r="G18" i="3085"/>
  <c r="G16" i="3082"/>
  <c r="A20" i="3082"/>
  <c r="A22" i="3082" s="1"/>
  <c r="A24" i="3082" s="1"/>
  <c r="A19" i="3082"/>
  <c r="A21" i="3082" s="1"/>
  <c r="G21" i="3082" s="1"/>
  <c r="A20" i="3081"/>
  <c r="G18" i="3081"/>
  <c r="G16" i="3079"/>
  <c r="A18" i="3079"/>
  <c r="G18" i="3092"/>
  <c r="A20" i="3092"/>
  <c r="G17" i="3086"/>
  <c r="A19" i="3086"/>
  <c r="G17" i="3090"/>
  <c r="A19" i="3090"/>
  <c r="G20" i="3087"/>
  <c r="A22" i="3087"/>
  <c r="G16" i="3091"/>
  <c r="A18" i="3091"/>
  <c r="G20" i="3086"/>
  <c r="A22" i="3086"/>
  <c r="A17" i="3091"/>
  <c r="G15" i="3091"/>
  <c r="G21" i="3092"/>
  <c r="A23" i="3092"/>
  <c r="G18" i="3088"/>
  <c r="A20" i="3088"/>
  <c r="G17" i="3089"/>
  <c r="A19" i="3089"/>
  <c r="A21" i="3089" s="1"/>
  <c r="G21" i="3089" s="1"/>
  <c r="A22" i="3090"/>
  <c r="G20" i="3090"/>
  <c r="G21" i="3088"/>
  <c r="A23" i="3088"/>
  <c r="G20" i="3085"/>
  <c r="A22" i="3085"/>
  <c r="G21" i="3085"/>
  <c r="A23" i="3085"/>
  <c r="G15" i="3084"/>
  <c r="A17" i="3084"/>
  <c r="A20" i="3084"/>
  <c r="G18" i="3084"/>
  <c r="G20" i="3083"/>
  <c r="A22" i="3083"/>
  <c r="G21" i="3083"/>
  <c r="A23" i="3083"/>
  <c r="G21" i="3081"/>
  <c r="A23" i="3081"/>
  <c r="G19" i="3080"/>
  <c r="A21" i="3080"/>
  <c r="G20" i="3080"/>
  <c r="A22" i="3080"/>
  <c r="G19" i="3079"/>
  <c r="A21" i="3079"/>
  <c r="A16" i="3078"/>
  <c r="A23" i="3077"/>
  <c r="A24" i="3077" s="1"/>
  <c r="A19" i="3073"/>
  <c r="A18" i="3073"/>
  <c r="A18" i="3076"/>
  <c r="A16" i="3067"/>
  <c r="A15" i="3067"/>
  <c r="A18" i="3066"/>
  <c r="G18" i="3089" l="1"/>
  <c r="A20" i="3089"/>
  <c r="G21" i="3087"/>
  <c r="A23" i="3087"/>
  <c r="A25" i="3087" s="1"/>
  <c r="A27" i="3087" s="1"/>
  <c r="A29" i="3087" s="1"/>
  <c r="A32" i="3087" s="1"/>
  <c r="A34" i="3087" s="1"/>
  <c r="A36" i="3087" s="1"/>
  <c r="A38" i="3087" s="1"/>
  <c r="A40" i="3087" s="1"/>
  <c r="G22" i="3082"/>
  <c r="G20" i="3082"/>
  <c r="A23" i="3082"/>
  <c r="A25" i="3082" s="1"/>
  <c r="G19" i="3082"/>
  <c r="A22" i="3081"/>
  <c r="G20" i="3081"/>
  <c r="G18" i="3079"/>
  <c r="A20" i="3079"/>
  <c r="G20" i="3092"/>
  <c r="A22" i="3092"/>
  <c r="A25" i="3088"/>
  <c r="A27" i="3088" s="1"/>
  <c r="A29" i="3088" s="1"/>
  <c r="A31" i="3088" s="1"/>
  <c r="G23" i="3088"/>
  <c r="A24" i="3086"/>
  <c r="G22" i="3086"/>
  <c r="A21" i="3090"/>
  <c r="G19" i="3090"/>
  <c r="A21" i="3086"/>
  <c r="G19" i="3086"/>
  <c r="A22" i="3088"/>
  <c r="G20" i="3088"/>
  <c r="A25" i="3092"/>
  <c r="G23" i="3092"/>
  <c r="A24" i="3087"/>
  <c r="A26" i="3087" s="1"/>
  <c r="A28" i="3087" s="1"/>
  <c r="A30" i="3087" s="1"/>
  <c r="A33" i="3087" s="1"/>
  <c r="A35" i="3087" s="1"/>
  <c r="A37" i="3087" s="1"/>
  <c r="A39" i="3087" s="1"/>
  <c r="G22" i="3087"/>
  <c r="G22" i="3090"/>
  <c r="A24" i="3090"/>
  <c r="A22" i="3089"/>
  <c r="G19" i="3089"/>
  <c r="A20" i="3091"/>
  <c r="G18" i="3091"/>
  <c r="G17" i="3091"/>
  <c r="A19" i="3091"/>
  <c r="A25" i="3085"/>
  <c r="G23" i="3085"/>
  <c r="A24" i="3085"/>
  <c r="G22" i="3085"/>
  <c r="G17" i="3084"/>
  <c r="A19" i="3084"/>
  <c r="G20" i="3084"/>
  <c r="A22" i="3084"/>
  <c r="A25" i="3083"/>
  <c r="A27" i="3083" s="1"/>
  <c r="A29" i="3083" s="1"/>
  <c r="A32" i="3083" s="1"/>
  <c r="A34" i="3083" s="1"/>
  <c r="A36" i="3083" s="1"/>
  <c r="A38" i="3083" s="1"/>
  <c r="G23" i="3083"/>
  <c r="G22" i="3083"/>
  <c r="A24" i="3083"/>
  <c r="A26" i="3082"/>
  <c r="G24" i="3082"/>
  <c r="A25" i="3081"/>
  <c r="G23" i="3081"/>
  <c r="A24" i="3080"/>
  <c r="A26" i="3080" s="1"/>
  <c r="G22" i="3080"/>
  <c r="A23" i="3080"/>
  <c r="G21" i="3080"/>
  <c r="A23" i="3079"/>
  <c r="G21" i="3079"/>
  <c r="A17" i="3078"/>
  <c r="A25" i="3077"/>
  <c r="A26" i="3077" s="1"/>
  <c r="A21" i="3073"/>
  <c r="A20" i="3073"/>
  <c r="A22" i="3073"/>
  <c r="A19" i="3076"/>
  <c r="A20" i="3076" s="1"/>
  <c r="A21" i="3074"/>
  <c r="A20" i="3070"/>
  <c r="A21" i="3070" s="1"/>
  <c r="A22" i="3070" s="1"/>
  <c r="A23" i="3070" s="1"/>
  <c r="A24" i="3070" s="1"/>
  <c r="A25" i="3070" s="1"/>
  <c r="A17" i="3067"/>
  <c r="A18" i="3067" s="1"/>
  <c r="A19" i="3066"/>
  <c r="A34" i="3088" l="1"/>
  <c r="G31" i="3088"/>
  <c r="G20" i="3089"/>
  <c r="A23" i="3089"/>
  <c r="G23" i="3087"/>
  <c r="G23" i="3082"/>
  <c r="G22" i="3081"/>
  <c r="A24" i="3081"/>
  <c r="A22" i="3079"/>
  <c r="G20" i="3079"/>
  <c r="A24" i="3092"/>
  <c r="G22" i="3092"/>
  <c r="G22" i="3089"/>
  <c r="A24" i="3089"/>
  <c r="G22" i="3088"/>
  <c r="A24" i="3088"/>
  <c r="G25" i="3088"/>
  <c r="A21" i="3091"/>
  <c r="G19" i="3091"/>
  <c r="G24" i="3090"/>
  <c r="G20" i="3091"/>
  <c r="A22" i="3091"/>
  <c r="G24" i="3087"/>
  <c r="A23" i="3090"/>
  <c r="G21" i="3090"/>
  <c r="G25" i="3092"/>
  <c r="A27" i="3092"/>
  <c r="G21" i="3086"/>
  <c r="A23" i="3086"/>
  <c r="A26" i="3086"/>
  <c r="A28" i="3086" s="1"/>
  <c r="A30" i="3086" s="1"/>
  <c r="A33" i="3086" s="1"/>
  <c r="A35" i="3086" s="1"/>
  <c r="A37" i="3086" s="1"/>
  <c r="A39" i="3086" s="1"/>
  <c r="A41" i="3086" s="1"/>
  <c r="G24" i="3086"/>
  <c r="G24" i="3085"/>
  <c r="A26" i="3085"/>
  <c r="G25" i="3085"/>
  <c r="A27" i="3085"/>
  <c r="A29" i="3085" s="1"/>
  <c r="A31" i="3085" s="1"/>
  <c r="A34" i="3085" s="1"/>
  <c r="A36" i="3085" s="1"/>
  <c r="A38" i="3085" s="1"/>
  <c r="A40" i="3085" s="1"/>
  <c r="G19" i="3084"/>
  <c r="A21" i="3084"/>
  <c r="A24" i="3084"/>
  <c r="A26" i="3084" s="1"/>
  <c r="A28" i="3084" s="1"/>
  <c r="A30" i="3084" s="1"/>
  <c r="A33" i="3084" s="1"/>
  <c r="A35" i="3084" s="1"/>
  <c r="A37" i="3084" s="1"/>
  <c r="A39" i="3084" s="1"/>
  <c r="G22" i="3084"/>
  <c r="G25" i="3083"/>
  <c r="A26" i="3083"/>
  <c r="A28" i="3083" s="1"/>
  <c r="A30" i="3083" s="1"/>
  <c r="A33" i="3083" s="1"/>
  <c r="A35" i="3083" s="1"/>
  <c r="A37" i="3083" s="1"/>
  <c r="A39" i="3083" s="1"/>
  <c r="G24" i="3083"/>
  <c r="G26" i="3082"/>
  <c r="A28" i="3082"/>
  <c r="G25" i="3082"/>
  <c r="A27" i="3082"/>
  <c r="A29" i="3082" s="1"/>
  <c r="G29" i="3082" s="1"/>
  <c r="A27" i="3081"/>
  <c r="A29" i="3081" s="1"/>
  <c r="A31" i="3081" s="1"/>
  <c r="A34" i="3081" s="1"/>
  <c r="A36" i="3081" s="1"/>
  <c r="A38" i="3081" s="1"/>
  <c r="A40" i="3081" s="1"/>
  <c r="G25" i="3081"/>
  <c r="G24" i="3080"/>
  <c r="A25" i="3080"/>
  <c r="G23" i="3080"/>
  <c r="G23" i="3079"/>
  <c r="A25" i="3079"/>
  <c r="A18" i="3078"/>
  <c r="A27" i="3077"/>
  <c r="A28" i="3077" s="1"/>
  <c r="A29" i="3077" s="1"/>
  <c r="A30" i="3077" s="1"/>
  <c r="A31" i="3077" s="1"/>
  <c r="A32" i="3077" s="1"/>
  <c r="A33" i="3077" s="1"/>
  <c r="A34" i="3077" s="1"/>
  <c r="A35" i="3077" s="1"/>
  <c r="A36" i="3077" s="1"/>
  <c r="A37" i="3077" s="1"/>
  <c r="A38" i="3077" s="1"/>
  <c r="A39" i="3077" s="1"/>
  <c r="A40" i="3077" s="1"/>
  <c r="A41" i="3077" s="1"/>
  <c r="A23" i="3073"/>
  <c r="A21" i="3076"/>
  <c r="A22" i="3076" s="1"/>
  <c r="A23" i="3076" s="1"/>
  <c r="A24" i="3076" s="1"/>
  <c r="A25" i="3076" s="1"/>
  <c r="A26" i="3076" s="1"/>
  <c r="A27" i="3076" s="1"/>
  <c r="A28" i="3076" s="1"/>
  <c r="A29" i="3076" s="1"/>
  <c r="A30" i="3076" s="1"/>
  <c r="A31" i="3076" s="1"/>
  <c r="A32" i="3076" s="1"/>
  <c r="A33" i="3076" s="1"/>
  <c r="A34" i="3076" s="1"/>
  <c r="A35" i="3076" s="1"/>
  <c r="A36" i="3076" s="1"/>
  <c r="A37" i="3076" s="1"/>
  <c r="A26" i="3070"/>
  <c r="A27" i="3070" s="1"/>
  <c r="A28" i="3070" s="1"/>
  <c r="A29" i="3070" s="1"/>
  <c r="A30" i="3070" s="1"/>
  <c r="A32" i="3070" s="1"/>
  <c r="A33" i="3070" s="1"/>
  <c r="A34" i="3070" s="1"/>
  <c r="A36" i="3070" s="1"/>
  <c r="A37" i="3070" s="1"/>
  <c r="A38" i="3070" s="1"/>
  <c r="A19" i="3067"/>
  <c r="A20" i="3067" s="1"/>
  <c r="A20" i="3066"/>
  <c r="A21" i="3066" s="1"/>
  <c r="A22" i="3066"/>
  <c r="A36" i="3088" l="1"/>
  <c r="G34" i="3088"/>
  <c r="A25" i="3089"/>
  <c r="G23" i="3089"/>
  <c r="G25" i="3087"/>
  <c r="A26" i="3081"/>
  <c r="G24" i="3081"/>
  <c r="A24" i="3079"/>
  <c r="G22" i="3079"/>
  <c r="G24" i="3092"/>
  <c r="A26" i="3092"/>
  <c r="A24" i="3091"/>
  <c r="A26" i="3091" s="1"/>
  <c r="A28" i="3091" s="1"/>
  <c r="A30" i="3091" s="1"/>
  <c r="A33" i="3091" s="1"/>
  <c r="A35" i="3091" s="1"/>
  <c r="A37" i="3091" s="1"/>
  <c r="A39" i="3091" s="1"/>
  <c r="G22" i="3091"/>
  <c r="G23" i="3090"/>
  <c r="A25" i="3090"/>
  <c r="A27" i="3090" s="1"/>
  <c r="A29" i="3090" s="1"/>
  <c r="A32" i="3090" s="1"/>
  <c r="G26" i="3087"/>
  <c r="A26" i="3089"/>
  <c r="G24" i="3089"/>
  <c r="A25" i="3086"/>
  <c r="G23" i="3086"/>
  <c r="A26" i="3088"/>
  <c r="A28" i="3088" s="1"/>
  <c r="A30" i="3088" s="1"/>
  <c r="G24" i="3088"/>
  <c r="G21" i="3091"/>
  <c r="A23" i="3091"/>
  <c r="G27" i="3092"/>
  <c r="G26" i="3086"/>
  <c r="G27" i="3088"/>
  <c r="G27" i="3085"/>
  <c r="A28" i="3085"/>
  <c r="A30" i="3085" s="1"/>
  <c r="A32" i="3085" s="1"/>
  <c r="A35" i="3085" s="1"/>
  <c r="A37" i="3085" s="1"/>
  <c r="A39" i="3085" s="1"/>
  <c r="A41" i="3085" s="1"/>
  <c r="G26" i="3085"/>
  <c r="A23" i="3084"/>
  <c r="G21" i="3084"/>
  <c r="G24" i="3084"/>
  <c r="G26" i="3083"/>
  <c r="A31" i="3082"/>
  <c r="G27" i="3082"/>
  <c r="A32" i="3082"/>
  <c r="G28" i="3082"/>
  <c r="G27" i="3081"/>
  <c r="G25" i="3080"/>
  <c r="G25" i="3079"/>
  <c r="A19" i="3078"/>
  <c r="A24" i="3073"/>
  <c r="A25" i="3073" s="1"/>
  <c r="A26" i="3073" s="1"/>
  <c r="A27" i="3073" s="1"/>
  <c r="A28" i="3073" s="1"/>
  <c r="A29" i="3073" s="1"/>
  <c r="A30" i="3073" s="1"/>
  <c r="A31" i="3073" s="1"/>
  <c r="A32" i="3073" s="1"/>
  <c r="A33" i="3073" s="1"/>
  <c r="A34" i="3073" s="1"/>
  <c r="A35" i="3073" s="1"/>
  <c r="A36" i="3073" s="1"/>
  <c r="A37" i="3073" s="1"/>
  <c r="A38" i="3073" s="1"/>
  <c r="A39" i="3073" s="1"/>
  <c r="A40" i="3073" s="1"/>
  <c r="A23" i="3074"/>
  <c r="A24" i="3074" s="1"/>
  <c r="A21" i="3067"/>
  <c r="A22" i="3067" s="1"/>
  <c r="A23" i="3066"/>
  <c r="A33" i="3088" l="1"/>
  <c r="G30" i="3088"/>
  <c r="A38" i="3088"/>
  <c r="G36" i="3088"/>
  <c r="G25" i="3089"/>
  <c r="A27" i="3089"/>
  <c r="A29" i="3089" s="1"/>
  <c r="G29" i="3089" s="1"/>
  <c r="G26" i="3081"/>
  <c r="A28" i="3081"/>
  <c r="A30" i="3081" s="1"/>
  <c r="A33" i="3081" s="1"/>
  <c r="A35" i="3081" s="1"/>
  <c r="A37" i="3081" s="1"/>
  <c r="A39" i="3081" s="1"/>
  <c r="A41" i="3081" s="1"/>
  <c r="G24" i="3079"/>
  <c r="A26" i="3079"/>
  <c r="A28" i="3092"/>
  <c r="G26" i="3092"/>
  <c r="A25" i="3091"/>
  <c r="A27" i="3091" s="1"/>
  <c r="A29" i="3091" s="1"/>
  <c r="A32" i="3091" s="1"/>
  <c r="A34" i="3091" s="1"/>
  <c r="A36" i="3091" s="1"/>
  <c r="A38" i="3091" s="1"/>
  <c r="A40" i="3091" s="1"/>
  <c r="G23" i="3091"/>
  <c r="G26" i="3089"/>
  <c r="A28" i="3089"/>
  <c r="G24" i="3091"/>
  <c r="G27" i="3090"/>
  <c r="A26" i="3090"/>
  <c r="A28" i="3090" s="1"/>
  <c r="A31" i="3090" s="1"/>
  <c r="A33" i="3090" s="1"/>
  <c r="G25" i="3090"/>
  <c r="G26" i="3088"/>
  <c r="G25" i="3086"/>
  <c r="A27" i="3086"/>
  <c r="A29" i="3086" s="1"/>
  <c r="A31" i="3086" s="1"/>
  <c r="A34" i="3086" s="1"/>
  <c r="A36" i="3086" s="1"/>
  <c r="A38" i="3086" s="1"/>
  <c r="A40" i="3086" s="1"/>
  <c r="G27" i="3087"/>
  <c r="G28" i="3085"/>
  <c r="G23" i="3084"/>
  <c r="A25" i="3084"/>
  <c r="A27" i="3084" s="1"/>
  <c r="A29" i="3084" s="1"/>
  <c r="A32" i="3084" s="1"/>
  <c r="A34" i="3084" s="1"/>
  <c r="A36" i="3084" s="1"/>
  <c r="A38" i="3084" s="1"/>
  <c r="G26" i="3084"/>
  <c r="G27" i="3083"/>
  <c r="G28" i="3083"/>
  <c r="G32" i="3082"/>
  <c r="A34" i="3082"/>
  <c r="G31" i="3082"/>
  <c r="A33" i="3082"/>
  <c r="G29" i="3080"/>
  <c r="G26" i="3080"/>
  <c r="A20" i="3078"/>
  <c r="A21" i="3078" s="1"/>
  <c r="A22" i="3078" s="1"/>
  <c r="A23" i="3078" s="1"/>
  <c r="A24" i="3078" s="1"/>
  <c r="A25" i="3078" s="1"/>
  <c r="A26" i="3078" s="1"/>
  <c r="A27" i="3078" s="1"/>
  <c r="A28" i="3078" s="1"/>
  <c r="A29" i="3078" s="1"/>
  <c r="A30" i="3078" s="1"/>
  <c r="A31" i="3078" s="1"/>
  <c r="A32" i="3078" s="1"/>
  <c r="A33" i="3078" s="1"/>
  <c r="A34" i="3078" s="1"/>
  <c r="A35" i="3078" s="1"/>
  <c r="A36" i="3078" s="1"/>
  <c r="A37" i="3078" s="1"/>
  <c r="A38" i="3078" s="1"/>
  <c r="A39" i="3078" s="1"/>
  <c r="A41" i="3078" s="1"/>
  <c r="A42" i="3078" s="1"/>
  <c r="A23" i="3067"/>
  <c r="A24" i="3067"/>
  <c r="A25" i="3067" s="1"/>
  <c r="A27" i="3067" s="1"/>
  <c r="A30" i="3067" s="1"/>
  <c r="A31" i="3067" s="1"/>
  <c r="A32" i="3067" s="1"/>
  <c r="A33" i="3067" s="1"/>
  <c r="A34" i="3067" s="1"/>
  <c r="A35" i="3067" s="1"/>
  <c r="A37" i="3067" s="1"/>
  <c r="A38" i="3067" s="1"/>
  <c r="A40" i="3067" s="1"/>
  <c r="A41" i="3067" s="1"/>
  <c r="A24" i="3066"/>
  <c r="A25" i="3066" s="1"/>
  <c r="A26" i="3066" s="1"/>
  <c r="A27" i="3066" s="1"/>
  <c r="A28" i="3066" s="1"/>
  <c r="A29" i="3066" s="1"/>
  <c r="A30" i="3066" s="1"/>
  <c r="A31" i="3066" s="1"/>
  <c r="A32" i="3066" s="1"/>
  <c r="A33" i="3066" s="1"/>
  <c r="A34" i="3066" s="1"/>
  <c r="A35" i="3066" s="1"/>
  <c r="A36" i="3066" s="1"/>
  <c r="A38" i="3066" s="1"/>
  <c r="A39" i="3066" s="1"/>
  <c r="A34" i="3090" l="1"/>
  <c r="A36" i="3090" s="1"/>
  <c r="A38" i="3090" s="1"/>
  <c r="A35" i="3090"/>
  <c r="A37" i="3090" s="1"/>
  <c r="A40" i="3088"/>
  <c r="G38" i="3088"/>
  <c r="A35" i="3088"/>
  <c r="G33" i="3088"/>
  <c r="A31" i="3089"/>
  <c r="G27" i="3089"/>
  <c r="G28" i="3087"/>
  <c r="G29" i="3081"/>
  <c r="G28" i="3081"/>
  <c r="A27" i="3079"/>
  <c r="A28" i="3079" s="1"/>
  <c r="A29" i="3079" s="1"/>
  <c r="A30" i="3079" s="1"/>
  <c r="A32" i="3079" s="1"/>
  <c r="A33" i="3079" s="1"/>
  <c r="A34" i="3079" s="1"/>
  <c r="A35" i="3079" s="1"/>
  <c r="A36" i="3079" s="1"/>
  <c r="A37" i="3079" s="1"/>
  <c r="A38" i="3079" s="1"/>
  <c r="A39" i="3079" s="1"/>
  <c r="A40" i="3079" s="1"/>
  <c r="G26" i="3079"/>
  <c r="G28" i="3092"/>
  <c r="G29" i="3086"/>
  <c r="G29" i="3090"/>
  <c r="G29" i="3088"/>
  <c r="G28" i="3088"/>
  <c r="G30" i="3092"/>
  <c r="G26" i="3091"/>
  <c r="A32" i="3089"/>
  <c r="A35" i="3089" s="1"/>
  <c r="A37" i="3089" s="1"/>
  <c r="A40" i="3089" s="1"/>
  <c r="G28" i="3089"/>
  <c r="G29" i="3087"/>
  <c r="G27" i="3086"/>
  <c r="G26" i="3090"/>
  <c r="G25" i="3091"/>
  <c r="G30" i="3085"/>
  <c r="G29" i="3085"/>
  <c r="G25" i="3084"/>
  <c r="G27" i="3084"/>
  <c r="G29" i="3083"/>
  <c r="G30" i="3083"/>
  <c r="A35" i="3082"/>
  <c r="G33" i="3082"/>
  <c r="A36" i="3082"/>
  <c r="G34" i="3082"/>
  <c r="G30" i="3080"/>
  <c r="G32" i="3080"/>
  <c r="A37" i="3088" l="1"/>
  <c r="G35" i="3088"/>
  <c r="A42" i="3088"/>
  <c r="G42" i="3088" s="1"/>
  <c r="G40" i="3088"/>
  <c r="G31" i="3089"/>
  <c r="A33" i="3089"/>
  <c r="A36" i="3089" s="1"/>
  <c r="G30" i="3087"/>
  <c r="G28" i="3079"/>
  <c r="G27" i="3079"/>
  <c r="G33" i="3092"/>
  <c r="G29" i="3092"/>
  <c r="G28" i="3090"/>
  <c r="G32" i="3089"/>
  <c r="A34" i="3089"/>
  <c r="G32" i="3092"/>
  <c r="G31" i="3086"/>
  <c r="G32" i="3090"/>
  <c r="G28" i="3086"/>
  <c r="G32" i="3087"/>
  <c r="G27" i="3091"/>
  <c r="G31" i="3085"/>
  <c r="G32" i="3085"/>
  <c r="G29" i="3084"/>
  <c r="G33" i="3083"/>
  <c r="G32" i="3083"/>
  <c r="G36" i="3082"/>
  <c r="G35" i="3082"/>
  <c r="A37" i="3082"/>
  <c r="G31" i="3081"/>
  <c r="G30" i="3081"/>
  <c r="G33" i="3080"/>
  <c r="G34" i="3080"/>
  <c r="G30" i="3079"/>
  <c r="A10" i="3071"/>
  <c r="A11" i="3071"/>
  <c r="A9" i="3071"/>
  <c r="A39" i="3088" l="1"/>
  <c r="G37" i="3088"/>
  <c r="A39" i="3089"/>
  <c r="A38" i="3089"/>
  <c r="G33" i="3089"/>
  <c r="G33" i="3087"/>
  <c r="G29" i="3079"/>
  <c r="G31" i="3092"/>
  <c r="G30" i="3086"/>
  <c r="G28" i="3091"/>
  <c r="G34" i="3086"/>
  <c r="G29" i="3091"/>
  <c r="G34" i="3087"/>
  <c r="G35" i="3092"/>
  <c r="G34" i="3089"/>
  <c r="G31" i="3090"/>
  <c r="G34" i="3085"/>
  <c r="G35" i="3085"/>
  <c r="G28" i="3084"/>
  <c r="G32" i="3084"/>
  <c r="G34" i="3083"/>
  <c r="G35" i="3083"/>
  <c r="A38" i="3082"/>
  <c r="G37" i="3082"/>
  <c r="G33" i="3081"/>
  <c r="G34" i="3081"/>
  <c r="G36" i="3080"/>
  <c r="G35" i="3080"/>
  <c r="G33" i="3079"/>
  <c r="K19" i="3071"/>
  <c r="A41" i="3088" l="1"/>
  <c r="G41" i="3088" s="1"/>
  <c r="G39" i="3088"/>
  <c r="G35" i="3087"/>
  <c r="G32" i="3079"/>
  <c r="G34" i="3092"/>
  <c r="G35" i="3090"/>
  <c r="G36" i="3087"/>
  <c r="G32" i="3091"/>
  <c r="G30" i="3091"/>
  <c r="G33" i="3090"/>
  <c r="G36" i="3086"/>
  <c r="G35" i="3089"/>
  <c r="G33" i="3086"/>
  <c r="G37" i="3085"/>
  <c r="G36" i="3085"/>
  <c r="G30" i="3084"/>
  <c r="G34" i="3084"/>
  <c r="G36" i="3083"/>
  <c r="G38" i="3082"/>
  <c r="A39" i="3082"/>
  <c r="G36" i="3081"/>
  <c r="G35" i="3081"/>
  <c r="G37" i="3080"/>
  <c r="G38" i="3080"/>
  <c r="G35" i="3079"/>
  <c r="H14" i="3071"/>
  <c r="I14" i="3071"/>
  <c r="G36" i="3089" l="1"/>
  <c r="G37" i="3087"/>
  <c r="G34" i="3079"/>
  <c r="G36" i="3092"/>
  <c r="G38" i="3086"/>
  <c r="G33" i="3091"/>
  <c r="G38" i="3087"/>
  <c r="G35" i="3086"/>
  <c r="G38" i="3092"/>
  <c r="G34" i="3091"/>
  <c r="G37" i="3089"/>
  <c r="G34" i="3090"/>
  <c r="G38" i="3090"/>
  <c r="A42" i="3085"/>
  <c r="G38" i="3085"/>
  <c r="G39" i="3085"/>
  <c r="G33" i="3084"/>
  <c r="G36" i="3084"/>
  <c r="G37" i="3083"/>
  <c r="G39" i="3082"/>
  <c r="G40" i="3082"/>
  <c r="G37" i="3081"/>
  <c r="G38" i="3081"/>
  <c r="A41" i="3080"/>
  <c r="G39" i="3080"/>
  <c r="G36" i="3079"/>
  <c r="C38" i="3070"/>
  <c r="G38" i="3089" l="1"/>
  <c r="G39" i="3089"/>
  <c r="G40" i="3087"/>
  <c r="G37" i="3092"/>
  <c r="G36" i="3090"/>
  <c r="G37" i="3086"/>
  <c r="G35" i="3091"/>
  <c r="G41" i="3086"/>
  <c r="G36" i="3091"/>
  <c r="G40" i="3089"/>
  <c r="G41" i="3092"/>
  <c r="G39" i="3087"/>
  <c r="A41" i="3087"/>
  <c r="G41" i="3087" s="1"/>
  <c r="G42" i="3085"/>
  <c r="G40" i="3085"/>
  <c r="G41" i="3085"/>
  <c r="G35" i="3084"/>
  <c r="G39" i="3083"/>
  <c r="A40" i="3083"/>
  <c r="G40" i="3083" s="1"/>
  <c r="G38" i="3083"/>
  <c r="G41" i="3081"/>
  <c r="A42" i="3081"/>
  <c r="G42" i="3081" s="1"/>
  <c r="G39" i="3081"/>
  <c r="G41" i="3080"/>
  <c r="G39" i="3079"/>
  <c r="J35" i="3070"/>
  <c r="G37" i="3079" l="1"/>
  <c r="G40" i="3092"/>
  <c r="G39" i="3092"/>
  <c r="G39" i="3086"/>
  <c r="G37" i="3091"/>
  <c r="G38" i="3091"/>
  <c r="G37" i="3090"/>
  <c r="A39" i="3090"/>
  <c r="G39" i="3090" s="1"/>
  <c r="G37" i="3084"/>
  <c r="G38" i="3084"/>
  <c r="A40" i="3084"/>
  <c r="G40" i="3084" s="1"/>
  <c r="G40" i="3081"/>
  <c r="G38" i="3079" l="1"/>
  <c r="G40" i="3079"/>
  <c r="G40" i="3091"/>
  <c r="G39" i="3091"/>
  <c r="A41" i="3091"/>
  <c r="G41" i="3091" s="1"/>
  <c r="G40" i="3086"/>
  <c r="A42" i="3086"/>
  <c r="G42" i="3086" s="1"/>
  <c r="G39" i="3084"/>
  <c r="C22" i="3070"/>
  <c r="K22" i="3070"/>
  <c r="K20" i="3070"/>
  <c r="J12" i="3069" l="1"/>
  <c r="I12" i="3069"/>
  <c r="K26" i="3068" l="1"/>
  <c r="K21" i="3068" l="1"/>
  <c r="K40" i="3067" l="1"/>
  <c r="K22" i="3067" l="1"/>
  <c r="I62" i="3066" l="1"/>
  <c r="C45" i="3066" l="1"/>
  <c r="C45" i="3074"/>
  <c r="D48" i="3077"/>
  <c r="C48" i="3077" s="1"/>
  <c r="K20" i="3066" l="1"/>
  <c r="E36" i="3077" l="1"/>
  <c r="B36" i="3077" s="1"/>
  <c r="K36" i="3077" s="1"/>
  <c r="H36" i="3077"/>
  <c r="I36" i="3077"/>
  <c r="J36" i="3077"/>
  <c r="H41" i="3078" l="1"/>
  <c r="E41" i="3078"/>
  <c r="H29" i="3074"/>
  <c r="E29" i="3074"/>
  <c r="H25" i="3074"/>
  <c r="H20" i="3074"/>
  <c r="H9" i="3074"/>
  <c r="J29" i="3067" l="1"/>
  <c r="I29" i="3067"/>
  <c r="B29" i="3067"/>
  <c r="J28" i="3067"/>
  <c r="I28" i="3067"/>
  <c r="H28" i="3067"/>
  <c r="E28" i="3067"/>
  <c r="B28" i="3067" s="1"/>
  <c r="H41" i="3075" l="1"/>
  <c r="H42" i="3075"/>
  <c r="E41" i="3075"/>
  <c r="C41" i="3075" s="1"/>
  <c r="E42" i="3075"/>
  <c r="H9" i="3075"/>
  <c r="H10" i="3075"/>
  <c r="H11" i="3075"/>
  <c r="H12" i="3075"/>
  <c r="H13" i="3075"/>
  <c r="H14" i="3075"/>
  <c r="H15" i="3075"/>
  <c r="H16" i="3075"/>
  <c r="H17" i="3075"/>
  <c r="H18" i="3075"/>
  <c r="H19" i="3075"/>
  <c r="H20" i="3075"/>
  <c r="H21" i="3075"/>
  <c r="H22" i="3075"/>
  <c r="H23" i="3075"/>
  <c r="H24" i="3075"/>
  <c r="H25" i="3075"/>
  <c r="H26" i="3075"/>
  <c r="H27" i="3075"/>
  <c r="H28" i="3075"/>
  <c r="H31" i="3075"/>
  <c r="H32" i="3075"/>
  <c r="H33" i="3075"/>
  <c r="H34" i="3075"/>
  <c r="H35" i="3075"/>
  <c r="H36" i="3075"/>
  <c r="H37" i="3075"/>
  <c r="H38" i="3075"/>
  <c r="H39" i="3075"/>
  <c r="H40" i="3075"/>
  <c r="H43" i="3075"/>
  <c r="E9" i="3075"/>
  <c r="E10" i="3075"/>
  <c r="E11" i="3075"/>
  <c r="E12" i="3075"/>
  <c r="E13" i="3075"/>
  <c r="E14" i="3075"/>
  <c r="E15" i="3075"/>
  <c r="E16" i="3075"/>
  <c r="E17" i="3075"/>
  <c r="E18" i="3075"/>
  <c r="E19" i="3075"/>
  <c r="E20" i="3075"/>
  <c r="E21" i="3075"/>
  <c r="E22" i="3075"/>
  <c r="E23" i="3075"/>
  <c r="E25" i="3075"/>
  <c r="E26" i="3075"/>
  <c r="E27" i="3075"/>
  <c r="E28" i="3075"/>
  <c r="E31" i="3075"/>
  <c r="E32" i="3075"/>
  <c r="E33" i="3075"/>
  <c r="E34" i="3075"/>
  <c r="E35" i="3075"/>
  <c r="E36" i="3075"/>
  <c r="E37" i="3075"/>
  <c r="E38" i="3075"/>
  <c r="E39" i="3075"/>
  <c r="E40" i="3075"/>
  <c r="E43" i="3075"/>
  <c r="H27" i="3071"/>
  <c r="H28" i="3071"/>
  <c r="H29" i="3071"/>
  <c r="H30" i="3071"/>
  <c r="H31" i="3071"/>
  <c r="H32" i="3071"/>
  <c r="H33" i="3071"/>
  <c r="H34" i="3071"/>
  <c r="H35" i="3071"/>
  <c r="H36" i="3071"/>
  <c r="H37" i="3071"/>
  <c r="H38" i="3071"/>
  <c r="H39" i="3071"/>
  <c r="H41" i="3071"/>
  <c r="E28" i="3071"/>
  <c r="E30" i="3071"/>
  <c r="E31" i="3071"/>
  <c r="E32" i="3071"/>
  <c r="K32" i="3071" s="1"/>
  <c r="E33" i="3071"/>
  <c r="E34" i="3071"/>
  <c r="E35" i="3071"/>
  <c r="E36" i="3071"/>
  <c r="K36" i="3071" s="1"/>
  <c r="E37" i="3071"/>
  <c r="E38" i="3071"/>
  <c r="E39" i="3071"/>
  <c r="K39" i="3071" s="1"/>
  <c r="E41" i="3071"/>
  <c r="B41" i="3071" s="1"/>
  <c r="K25" i="3071"/>
  <c r="K33" i="3071"/>
  <c r="K42" i="3071"/>
  <c r="K28" i="3071"/>
  <c r="B29" i="3071"/>
  <c r="K30" i="3071"/>
  <c r="K31" i="3071"/>
  <c r="B34" i="3071"/>
  <c r="K35" i="3071"/>
  <c r="K38" i="3071"/>
  <c r="H23" i="3071"/>
  <c r="E23" i="3071"/>
  <c r="B23" i="3071" s="1"/>
  <c r="H13" i="3071"/>
  <c r="I13" i="3071"/>
  <c r="J13" i="3071"/>
  <c r="J14" i="3071"/>
  <c r="H10" i="3071"/>
  <c r="E10" i="3071"/>
  <c r="H9" i="3071"/>
  <c r="E9" i="3071"/>
  <c r="E28" i="3069" l="1"/>
  <c r="E31" i="3069"/>
  <c r="E30" i="3069"/>
  <c r="E33" i="3069"/>
  <c r="E32" i="3069"/>
  <c r="E34" i="3069"/>
  <c r="C34" i="3069" s="1"/>
  <c r="E27" i="3069"/>
  <c r="C27" i="3069" s="1"/>
  <c r="E25" i="3069"/>
  <c r="E24" i="3069"/>
  <c r="E23" i="3069"/>
  <c r="E22" i="3069"/>
  <c r="E20" i="3069"/>
  <c r="E19" i="3069"/>
  <c r="E18" i="3069"/>
  <c r="E17" i="3069"/>
  <c r="E15" i="3069"/>
  <c r="E14" i="3069"/>
  <c r="H12" i="3069"/>
  <c r="E13" i="3069"/>
  <c r="K13" i="3069" s="1"/>
  <c r="C13" i="3069" s="1"/>
  <c r="H13" i="3069"/>
  <c r="I13" i="3069"/>
  <c r="J13" i="3069"/>
  <c r="H9" i="3069"/>
  <c r="I9" i="3069"/>
  <c r="J9" i="3069"/>
  <c r="H10" i="3069"/>
  <c r="I10" i="3069"/>
  <c r="J10" i="3069"/>
  <c r="B37" i="3066" l="1"/>
  <c r="J27" i="3072" l="1"/>
  <c r="I27" i="3072"/>
  <c r="H27" i="3072"/>
  <c r="E27" i="3072"/>
  <c r="K27" i="3072" s="1"/>
  <c r="J22" i="3072"/>
  <c r="I22" i="3072"/>
  <c r="H22" i="3072"/>
  <c r="E22" i="3072"/>
  <c r="B22" i="3072" s="1"/>
  <c r="K37" i="3067" l="1"/>
  <c r="K16" i="3067"/>
  <c r="C16" i="3067" s="1"/>
  <c r="C37" i="3066" l="1"/>
  <c r="K33" i="3066"/>
  <c r="K29" i="3066"/>
  <c r="H16" i="3066"/>
  <c r="I16" i="3066"/>
  <c r="J16" i="3066"/>
  <c r="G9" i="3066"/>
  <c r="H9" i="3066"/>
  <c r="I9" i="3066"/>
  <c r="J9" i="3066"/>
  <c r="G10" i="3066"/>
  <c r="H10" i="3066"/>
  <c r="I10" i="3066"/>
  <c r="J10" i="3066"/>
  <c r="G11" i="3066"/>
  <c r="E11" i="3066"/>
  <c r="H11" i="3066"/>
  <c r="I11" i="3066"/>
  <c r="J11" i="3066"/>
  <c r="K30" i="3068" l="1"/>
  <c r="D105" i="3078" l="1"/>
  <c r="D103" i="3078"/>
  <c r="F103" i="3078" s="1"/>
  <c r="D102" i="3078"/>
  <c r="F102" i="3078" s="1"/>
  <c r="D101" i="3078"/>
  <c r="F101" i="3078" s="1"/>
  <c r="D100" i="3078"/>
  <c r="F100" i="3078" s="1"/>
  <c r="D99" i="3078"/>
  <c r="F99" i="3078" s="1"/>
  <c r="D98" i="3078"/>
  <c r="F98" i="3078" s="1"/>
  <c r="D97" i="3078"/>
  <c r="F97" i="3078" s="1"/>
  <c r="D96" i="3078"/>
  <c r="F96" i="3078" s="1"/>
  <c r="D95" i="3078"/>
  <c r="F95" i="3078" s="1"/>
  <c r="D94" i="3078"/>
  <c r="F94" i="3078" s="1"/>
  <c r="D93" i="3078"/>
  <c r="F93" i="3078" s="1"/>
  <c r="D92" i="3078"/>
  <c r="F92" i="3078" s="1"/>
  <c r="D91" i="3078"/>
  <c r="F91" i="3078" s="1"/>
  <c r="D90" i="3078"/>
  <c r="F90" i="3078" s="1"/>
  <c r="D89" i="3078"/>
  <c r="F89" i="3078" s="1"/>
  <c r="D88" i="3078"/>
  <c r="F88" i="3078" s="1"/>
  <c r="D87" i="3078"/>
  <c r="F87" i="3078" s="1"/>
  <c r="D86" i="3078"/>
  <c r="F86" i="3078" s="1"/>
  <c r="D85" i="3078"/>
  <c r="F85" i="3078" s="1"/>
  <c r="D84" i="3078"/>
  <c r="F84" i="3078" s="1"/>
  <c r="D83" i="3078"/>
  <c r="F83" i="3078" s="1"/>
  <c r="D82" i="3078"/>
  <c r="F82" i="3078" s="1"/>
  <c r="I77" i="3078"/>
  <c r="I76" i="3078"/>
  <c r="I75" i="3078"/>
  <c r="I74" i="3078"/>
  <c r="E73" i="3078"/>
  <c r="K73" i="3078" s="1"/>
  <c r="K72" i="3078"/>
  <c r="E72" i="3078"/>
  <c r="E71" i="3078"/>
  <c r="E70" i="3078"/>
  <c r="L69" i="3078"/>
  <c r="E69" i="3078"/>
  <c r="K69" i="3078" s="1"/>
  <c r="E68" i="3078"/>
  <c r="K68" i="3078" s="1"/>
  <c r="E67" i="3078"/>
  <c r="L66" i="3078"/>
  <c r="E66" i="3078"/>
  <c r="K66" i="3078" s="1"/>
  <c r="E65" i="3078"/>
  <c r="F65" i="3078" s="1"/>
  <c r="K65" i="3078" s="1"/>
  <c r="E64" i="3078"/>
  <c r="I64" i="3078" s="1"/>
  <c r="E63" i="3078"/>
  <c r="E62" i="3078"/>
  <c r="J42" i="3078"/>
  <c r="I42" i="3078"/>
  <c r="H42" i="3078"/>
  <c r="E42" i="3078"/>
  <c r="J40" i="3078"/>
  <c r="I40" i="3078"/>
  <c r="H40" i="3078"/>
  <c r="J39" i="3078"/>
  <c r="I39" i="3078"/>
  <c r="H39" i="3078"/>
  <c r="E39" i="3078"/>
  <c r="B39" i="3078" s="1"/>
  <c r="K39" i="3078" s="1"/>
  <c r="J38" i="3078"/>
  <c r="I38" i="3078"/>
  <c r="E38" i="3078"/>
  <c r="B38" i="3078" s="1"/>
  <c r="K38" i="3078" s="1"/>
  <c r="J37" i="3078"/>
  <c r="I37" i="3078"/>
  <c r="H37" i="3078"/>
  <c r="E37" i="3078"/>
  <c r="B37" i="3078" s="1"/>
  <c r="K37" i="3078" s="1"/>
  <c r="J36" i="3078"/>
  <c r="I36" i="3078"/>
  <c r="H36" i="3078"/>
  <c r="E36" i="3078"/>
  <c r="J35" i="3078"/>
  <c r="I35" i="3078"/>
  <c r="H35" i="3078"/>
  <c r="E35" i="3078"/>
  <c r="B35" i="3078" s="1"/>
  <c r="K35" i="3078" s="1"/>
  <c r="J34" i="3078"/>
  <c r="I34" i="3078"/>
  <c r="H34" i="3078"/>
  <c r="E34" i="3078"/>
  <c r="B34" i="3078" s="1"/>
  <c r="K34" i="3078" s="1"/>
  <c r="J33" i="3078"/>
  <c r="I33" i="3078"/>
  <c r="H33" i="3078"/>
  <c r="E33" i="3078"/>
  <c r="B33" i="3078" s="1"/>
  <c r="K33" i="3078" s="1"/>
  <c r="J32" i="3078"/>
  <c r="I32" i="3078"/>
  <c r="H32" i="3078"/>
  <c r="E32" i="3078"/>
  <c r="J31" i="3078"/>
  <c r="I31" i="3078"/>
  <c r="H31" i="3078"/>
  <c r="E31" i="3078"/>
  <c r="B31" i="3078" s="1"/>
  <c r="K31" i="3078" s="1"/>
  <c r="J30" i="3078"/>
  <c r="I30" i="3078"/>
  <c r="H30" i="3078"/>
  <c r="E30" i="3078"/>
  <c r="B30" i="3078" s="1"/>
  <c r="K30" i="3078" s="1"/>
  <c r="J29" i="3078"/>
  <c r="I29" i="3078"/>
  <c r="H29" i="3078"/>
  <c r="B29" i="3078"/>
  <c r="K29" i="3078" s="1"/>
  <c r="J28" i="3078"/>
  <c r="I28" i="3078"/>
  <c r="H28" i="3078"/>
  <c r="E28" i="3078"/>
  <c r="J27" i="3078"/>
  <c r="I27" i="3078"/>
  <c r="H27" i="3078"/>
  <c r="E27" i="3078"/>
  <c r="B27" i="3078" s="1"/>
  <c r="K27" i="3078" s="1"/>
  <c r="J26" i="3078"/>
  <c r="I26" i="3078"/>
  <c r="H26" i="3078"/>
  <c r="E26" i="3078"/>
  <c r="B26" i="3078" s="1"/>
  <c r="K26" i="3078" s="1"/>
  <c r="J25" i="3078"/>
  <c r="I25" i="3078"/>
  <c r="H25" i="3078"/>
  <c r="E25" i="3078"/>
  <c r="K25" i="3078" s="1"/>
  <c r="C25" i="3078" s="1"/>
  <c r="J24" i="3078"/>
  <c r="I24" i="3078"/>
  <c r="H24" i="3078"/>
  <c r="E24" i="3078"/>
  <c r="J23" i="3078"/>
  <c r="I23" i="3078"/>
  <c r="H23" i="3078"/>
  <c r="E23" i="3078"/>
  <c r="B23" i="3078" s="1"/>
  <c r="K23" i="3078" s="1"/>
  <c r="J22" i="3078"/>
  <c r="I22" i="3078"/>
  <c r="H22" i="3078"/>
  <c r="E22" i="3078"/>
  <c r="B22" i="3078" s="1"/>
  <c r="K22" i="3078" s="1"/>
  <c r="J21" i="3078"/>
  <c r="I21" i="3078"/>
  <c r="H21" i="3078"/>
  <c r="E21" i="3078"/>
  <c r="B21" i="3078" s="1"/>
  <c r="K21" i="3078" s="1"/>
  <c r="J20" i="3078"/>
  <c r="I20" i="3078"/>
  <c r="H20" i="3078"/>
  <c r="E20" i="3078"/>
  <c r="J19" i="3078"/>
  <c r="I19" i="3078"/>
  <c r="H19" i="3078"/>
  <c r="E19" i="3078"/>
  <c r="K19" i="3078" s="1"/>
  <c r="J18" i="3078"/>
  <c r="I18" i="3078"/>
  <c r="H18" i="3078"/>
  <c r="E18" i="3078"/>
  <c r="K18" i="3078" s="1"/>
  <c r="C18" i="3078" s="1"/>
  <c r="J17" i="3078"/>
  <c r="I17" i="3078"/>
  <c r="H17" i="3078"/>
  <c r="E17" i="3078"/>
  <c r="C17" i="3078" s="1"/>
  <c r="J16" i="3078"/>
  <c r="I16" i="3078"/>
  <c r="H16" i="3078"/>
  <c r="E16" i="3078"/>
  <c r="K16" i="3078" s="1"/>
  <c r="C16" i="3078" s="1"/>
  <c r="J15" i="3078"/>
  <c r="I15" i="3078"/>
  <c r="H15" i="3078"/>
  <c r="E15" i="3078"/>
  <c r="J14" i="3078"/>
  <c r="I14" i="3078"/>
  <c r="H14" i="3078"/>
  <c r="E14" i="3078"/>
  <c r="J13" i="3078"/>
  <c r="I13" i="3078"/>
  <c r="H13" i="3078"/>
  <c r="E13" i="3078"/>
  <c r="J12" i="3078"/>
  <c r="I12" i="3078"/>
  <c r="H12" i="3078"/>
  <c r="E12" i="3078"/>
  <c r="J11" i="3078"/>
  <c r="I11" i="3078"/>
  <c r="H11" i="3078"/>
  <c r="E11" i="3078"/>
  <c r="J10" i="3078"/>
  <c r="I10" i="3078"/>
  <c r="H10" i="3078"/>
  <c r="E10" i="3078"/>
  <c r="J9" i="3078"/>
  <c r="I9" i="3078"/>
  <c r="H9" i="3078"/>
  <c r="E9" i="3078"/>
  <c r="J8" i="3078"/>
  <c r="I8" i="3078"/>
  <c r="H8" i="3078"/>
  <c r="E8" i="3078"/>
  <c r="A8" i="3078"/>
  <c r="G8" i="3078" s="1"/>
  <c r="G1" i="3078"/>
  <c r="D106" i="3077"/>
  <c r="D104" i="3077"/>
  <c r="F104" i="3077" s="1"/>
  <c r="D103" i="3077"/>
  <c r="F103" i="3077" s="1"/>
  <c r="D102" i="3077"/>
  <c r="F102" i="3077" s="1"/>
  <c r="D101" i="3077"/>
  <c r="F101" i="3077" s="1"/>
  <c r="D100" i="3077"/>
  <c r="F100" i="3077" s="1"/>
  <c r="D99" i="3077"/>
  <c r="F99" i="3077" s="1"/>
  <c r="D98" i="3077"/>
  <c r="F98" i="3077" s="1"/>
  <c r="D97" i="3077"/>
  <c r="F97" i="3077" s="1"/>
  <c r="D96" i="3077"/>
  <c r="F96" i="3077" s="1"/>
  <c r="D95" i="3077"/>
  <c r="F95" i="3077" s="1"/>
  <c r="D94" i="3077"/>
  <c r="F94" i="3077" s="1"/>
  <c r="D93" i="3077"/>
  <c r="F93" i="3077" s="1"/>
  <c r="D92" i="3077"/>
  <c r="F92" i="3077" s="1"/>
  <c r="D91" i="3077"/>
  <c r="F91" i="3077" s="1"/>
  <c r="D90" i="3077"/>
  <c r="F90" i="3077" s="1"/>
  <c r="D89" i="3077"/>
  <c r="F89" i="3077" s="1"/>
  <c r="D88" i="3077"/>
  <c r="F88" i="3077" s="1"/>
  <c r="D87" i="3077"/>
  <c r="F87" i="3077" s="1"/>
  <c r="D86" i="3077"/>
  <c r="F86" i="3077" s="1"/>
  <c r="D85" i="3077"/>
  <c r="F85" i="3077" s="1"/>
  <c r="D84" i="3077"/>
  <c r="F84" i="3077" s="1"/>
  <c r="D83" i="3077"/>
  <c r="F83" i="3077" s="1"/>
  <c r="I78" i="3077"/>
  <c r="I77" i="3077"/>
  <c r="I76" i="3077"/>
  <c r="I75" i="3077"/>
  <c r="E74" i="3077"/>
  <c r="G74" i="3077" s="1"/>
  <c r="L74" i="3077" s="1"/>
  <c r="E73" i="3077"/>
  <c r="I73" i="3077" s="1"/>
  <c r="E72" i="3077"/>
  <c r="F72" i="3077" s="1"/>
  <c r="K72" i="3077" s="1"/>
  <c r="E71" i="3077"/>
  <c r="G71" i="3077" s="1"/>
  <c r="L71" i="3077" s="1"/>
  <c r="E70" i="3077"/>
  <c r="K70" i="3077" s="1"/>
  <c r="E69" i="3077"/>
  <c r="E68" i="3077"/>
  <c r="H68" i="3077" s="1"/>
  <c r="E67" i="3077"/>
  <c r="E66" i="3077"/>
  <c r="K66" i="3077" s="1"/>
  <c r="E65" i="3077"/>
  <c r="E64" i="3077"/>
  <c r="K64" i="3077" s="1"/>
  <c r="E63" i="3077"/>
  <c r="K43" i="3077"/>
  <c r="J43" i="3077"/>
  <c r="I43" i="3077"/>
  <c r="H43" i="3077"/>
  <c r="E43" i="3077"/>
  <c r="K42" i="3077"/>
  <c r="J42" i="3077"/>
  <c r="I42" i="3077"/>
  <c r="H42" i="3077"/>
  <c r="E42" i="3077"/>
  <c r="C42" i="3077" s="1"/>
  <c r="J41" i="3077"/>
  <c r="I41" i="3077"/>
  <c r="H41" i="3077"/>
  <c r="E41" i="3077"/>
  <c r="J40" i="3077"/>
  <c r="I40" i="3077"/>
  <c r="H40" i="3077"/>
  <c r="E40" i="3077"/>
  <c r="J39" i="3077"/>
  <c r="I39" i="3077"/>
  <c r="H39" i="3077"/>
  <c r="E39" i="3077"/>
  <c r="J38" i="3077"/>
  <c r="I38" i="3077"/>
  <c r="H38" i="3077"/>
  <c r="B38" i="3077"/>
  <c r="K38" i="3077" s="1"/>
  <c r="J37" i="3077"/>
  <c r="I37" i="3077"/>
  <c r="H37" i="3077"/>
  <c r="E37" i="3077"/>
  <c r="J35" i="3077"/>
  <c r="I35" i="3077"/>
  <c r="H35" i="3077"/>
  <c r="E35" i="3077"/>
  <c r="J33" i="3077"/>
  <c r="I33" i="3077"/>
  <c r="H33" i="3077"/>
  <c r="E33" i="3077"/>
  <c r="B33" i="3077" s="1"/>
  <c r="K33" i="3077" s="1"/>
  <c r="J32" i="3077"/>
  <c r="I32" i="3077"/>
  <c r="H32" i="3077"/>
  <c r="E32" i="3077"/>
  <c r="J31" i="3077"/>
  <c r="I31" i="3077"/>
  <c r="H31" i="3077"/>
  <c r="E31" i="3077"/>
  <c r="B31" i="3077" s="1"/>
  <c r="K31" i="3077" s="1"/>
  <c r="J30" i="3077"/>
  <c r="I30" i="3077"/>
  <c r="H30" i="3077"/>
  <c r="E30" i="3077"/>
  <c r="B30" i="3077" s="1"/>
  <c r="K30" i="3077" s="1"/>
  <c r="J29" i="3077"/>
  <c r="I29" i="3077"/>
  <c r="H29" i="3077"/>
  <c r="E29" i="3077"/>
  <c r="B29" i="3077" s="1"/>
  <c r="K29" i="3077" s="1"/>
  <c r="J28" i="3077"/>
  <c r="I28" i="3077"/>
  <c r="H28" i="3077"/>
  <c r="J26" i="3077"/>
  <c r="I26" i="3077"/>
  <c r="H26" i="3077"/>
  <c r="E26" i="3077"/>
  <c r="B26" i="3077" s="1"/>
  <c r="K26" i="3077" s="1"/>
  <c r="J25" i="3077"/>
  <c r="I25" i="3077"/>
  <c r="H25" i="3077"/>
  <c r="E25" i="3077"/>
  <c r="J24" i="3077"/>
  <c r="I24" i="3077"/>
  <c r="H24" i="3077"/>
  <c r="E24" i="3077"/>
  <c r="K24" i="3077" s="1"/>
  <c r="J23" i="3077"/>
  <c r="I23" i="3077"/>
  <c r="H23" i="3077"/>
  <c r="E23" i="3077"/>
  <c r="J21" i="3077"/>
  <c r="I21" i="3077"/>
  <c r="H21" i="3077"/>
  <c r="E21" i="3077"/>
  <c r="B21" i="3077" s="1"/>
  <c r="K21" i="3077" s="1"/>
  <c r="J20" i="3077"/>
  <c r="I20" i="3077"/>
  <c r="H20" i="3077"/>
  <c r="E20" i="3077"/>
  <c r="B20" i="3077" s="1"/>
  <c r="K20" i="3077" s="1"/>
  <c r="J19" i="3077"/>
  <c r="I19" i="3077"/>
  <c r="H19" i="3077"/>
  <c r="E19" i="3077"/>
  <c r="B19" i="3077" s="1"/>
  <c r="K19" i="3077" s="1"/>
  <c r="J18" i="3077"/>
  <c r="I18" i="3077"/>
  <c r="H18" i="3077"/>
  <c r="E18" i="3077"/>
  <c r="J17" i="3077"/>
  <c r="I17" i="3077"/>
  <c r="H17" i="3077"/>
  <c r="E17" i="3077"/>
  <c r="K17" i="3077" s="1"/>
  <c r="C17" i="3077" s="1"/>
  <c r="J16" i="3077"/>
  <c r="I16" i="3077"/>
  <c r="H16" i="3077"/>
  <c r="E16" i="3077"/>
  <c r="K16" i="3077" s="1"/>
  <c r="C16" i="3077" s="1"/>
  <c r="J15" i="3077"/>
  <c r="I15" i="3077"/>
  <c r="H15" i="3077"/>
  <c r="E15" i="3077"/>
  <c r="K15" i="3077" s="1"/>
  <c r="J14" i="3077"/>
  <c r="I14" i="3077"/>
  <c r="H14" i="3077"/>
  <c r="E14" i="3077"/>
  <c r="K14" i="3077" s="1"/>
  <c r="J10" i="3077"/>
  <c r="I10" i="3077"/>
  <c r="H10" i="3077"/>
  <c r="E10" i="3077"/>
  <c r="J13" i="3077"/>
  <c r="I13" i="3077"/>
  <c r="H13" i="3077"/>
  <c r="E13" i="3077"/>
  <c r="J9" i="3077"/>
  <c r="I9" i="3077"/>
  <c r="H9" i="3077"/>
  <c r="E9" i="3077"/>
  <c r="J11" i="3077"/>
  <c r="I11" i="3077"/>
  <c r="H11" i="3077"/>
  <c r="E11" i="3077"/>
  <c r="J12" i="3077"/>
  <c r="I12" i="3077"/>
  <c r="H12" i="3077"/>
  <c r="E12" i="3077"/>
  <c r="J8" i="3077"/>
  <c r="I8" i="3077"/>
  <c r="H8" i="3077"/>
  <c r="E8" i="3077"/>
  <c r="A8" i="3077"/>
  <c r="G8" i="3077" s="1"/>
  <c r="G1" i="3077"/>
  <c r="D101" i="3076"/>
  <c r="D99" i="3076"/>
  <c r="F99" i="3076" s="1"/>
  <c r="D98" i="3076"/>
  <c r="F98" i="3076" s="1"/>
  <c r="D97" i="3076"/>
  <c r="F97" i="3076" s="1"/>
  <c r="F96" i="3076"/>
  <c r="D96" i="3076"/>
  <c r="D95" i="3076"/>
  <c r="F95" i="3076" s="1"/>
  <c r="D94" i="3076"/>
  <c r="F94" i="3076" s="1"/>
  <c r="D93" i="3076"/>
  <c r="F93" i="3076" s="1"/>
  <c r="D92" i="3076"/>
  <c r="F92" i="3076" s="1"/>
  <c r="D91" i="3076"/>
  <c r="F91" i="3076" s="1"/>
  <c r="D90" i="3076"/>
  <c r="F90" i="3076" s="1"/>
  <c r="D89" i="3076"/>
  <c r="F89" i="3076" s="1"/>
  <c r="D88" i="3076"/>
  <c r="F88" i="3076" s="1"/>
  <c r="D87" i="3076"/>
  <c r="F87" i="3076" s="1"/>
  <c r="D86" i="3076"/>
  <c r="F86" i="3076" s="1"/>
  <c r="D85" i="3076"/>
  <c r="F85" i="3076" s="1"/>
  <c r="D84" i="3076"/>
  <c r="F84" i="3076" s="1"/>
  <c r="D83" i="3076"/>
  <c r="F83" i="3076" s="1"/>
  <c r="D82" i="3076"/>
  <c r="F82" i="3076" s="1"/>
  <c r="D81" i="3076"/>
  <c r="F81" i="3076" s="1"/>
  <c r="D80" i="3076"/>
  <c r="F80" i="3076" s="1"/>
  <c r="D79" i="3076"/>
  <c r="F79" i="3076" s="1"/>
  <c r="D78" i="3076"/>
  <c r="F78" i="3076" s="1"/>
  <c r="I73" i="3076"/>
  <c r="I72" i="3076"/>
  <c r="I71" i="3076"/>
  <c r="I70" i="3076"/>
  <c r="L69" i="3076"/>
  <c r="E69" i="3076"/>
  <c r="K69" i="3076" s="1"/>
  <c r="L68" i="3076"/>
  <c r="K68" i="3076"/>
  <c r="E68" i="3076"/>
  <c r="E67" i="3076"/>
  <c r="E66" i="3076"/>
  <c r="E65" i="3076"/>
  <c r="K65" i="3076" s="1"/>
  <c r="L64" i="3076"/>
  <c r="E64" i="3076"/>
  <c r="E63" i="3076"/>
  <c r="E61" i="3076"/>
  <c r="F61" i="3076" s="1"/>
  <c r="K61" i="3076" s="1"/>
  <c r="L60" i="3076"/>
  <c r="E60" i="3076"/>
  <c r="E59" i="3076"/>
  <c r="E58" i="3076"/>
  <c r="K38" i="3076"/>
  <c r="J38" i="3076"/>
  <c r="I38" i="3076"/>
  <c r="H38" i="3076"/>
  <c r="E38" i="3076"/>
  <c r="J37" i="3076"/>
  <c r="I37" i="3076"/>
  <c r="H37" i="3076"/>
  <c r="E37" i="3076"/>
  <c r="B37" i="3076" s="1"/>
  <c r="K37" i="3076" s="1"/>
  <c r="C37" i="3076" s="1"/>
  <c r="J36" i="3076"/>
  <c r="I36" i="3076"/>
  <c r="H36" i="3076"/>
  <c r="E36" i="3076"/>
  <c r="K36" i="3076" s="1"/>
  <c r="J35" i="3076"/>
  <c r="I35" i="3076"/>
  <c r="H35" i="3076"/>
  <c r="E35" i="3076"/>
  <c r="B35" i="3076" s="1"/>
  <c r="K35" i="3076" s="1"/>
  <c r="J34" i="3076"/>
  <c r="I34" i="3076"/>
  <c r="H34" i="3076"/>
  <c r="E34" i="3076"/>
  <c r="J33" i="3076"/>
  <c r="I33" i="3076"/>
  <c r="H33" i="3076"/>
  <c r="E33" i="3076"/>
  <c r="B33" i="3076" s="1"/>
  <c r="K33" i="3076" s="1"/>
  <c r="J32" i="3076"/>
  <c r="I32" i="3076"/>
  <c r="H32" i="3076"/>
  <c r="E32" i="3076"/>
  <c r="B32" i="3076" s="1"/>
  <c r="K32" i="3076" s="1"/>
  <c r="J31" i="3076"/>
  <c r="I31" i="3076"/>
  <c r="H31" i="3076"/>
  <c r="E31" i="3076"/>
  <c r="B31" i="3076" s="1"/>
  <c r="K31" i="3076" s="1"/>
  <c r="J30" i="3076"/>
  <c r="I30" i="3076"/>
  <c r="H30" i="3076"/>
  <c r="E30" i="3076"/>
  <c r="J29" i="3076"/>
  <c r="I29" i="3076"/>
  <c r="H29" i="3076"/>
  <c r="E29" i="3076"/>
  <c r="B29" i="3076" s="1"/>
  <c r="K29" i="3076" s="1"/>
  <c r="J28" i="3076"/>
  <c r="I28" i="3076"/>
  <c r="H28" i="3076"/>
  <c r="E28" i="3076"/>
  <c r="B28" i="3076" s="1"/>
  <c r="K28" i="3076" s="1"/>
  <c r="J27" i="3076"/>
  <c r="I27" i="3076"/>
  <c r="H27" i="3076"/>
  <c r="E27" i="3076"/>
  <c r="B27" i="3076" s="1"/>
  <c r="K27" i="3076" s="1"/>
  <c r="J26" i="3076"/>
  <c r="I26" i="3076"/>
  <c r="H26" i="3076"/>
  <c r="E26" i="3076"/>
  <c r="J25" i="3076"/>
  <c r="I25" i="3076"/>
  <c r="H25" i="3076"/>
  <c r="E25" i="3076"/>
  <c r="B25" i="3076" s="1"/>
  <c r="K25" i="3076" s="1"/>
  <c r="J24" i="3076"/>
  <c r="I24" i="3076"/>
  <c r="H24" i="3076"/>
  <c r="E24" i="3076"/>
  <c r="K24" i="3076" s="1"/>
  <c r="C24" i="3076" s="1"/>
  <c r="J23" i="3076"/>
  <c r="I23" i="3076"/>
  <c r="H23" i="3076"/>
  <c r="E23" i="3076"/>
  <c r="K23" i="3076" s="1"/>
  <c r="J22" i="3076"/>
  <c r="I22" i="3076"/>
  <c r="H22" i="3076"/>
  <c r="E22" i="3076"/>
  <c r="J21" i="3076"/>
  <c r="I21" i="3076"/>
  <c r="H21" i="3076"/>
  <c r="E21" i="3076"/>
  <c r="K21" i="3076" s="1"/>
  <c r="C21" i="3076" s="1"/>
  <c r="J20" i="3076"/>
  <c r="I20" i="3076"/>
  <c r="H20" i="3076"/>
  <c r="E20" i="3076"/>
  <c r="K20" i="3076" s="1"/>
  <c r="C20" i="3076" s="1"/>
  <c r="J19" i="3076"/>
  <c r="I19" i="3076"/>
  <c r="H19" i="3076"/>
  <c r="E19" i="3076"/>
  <c r="K19" i="3076" s="1"/>
  <c r="J18" i="3076"/>
  <c r="I18" i="3076"/>
  <c r="H18" i="3076"/>
  <c r="E18" i="3076"/>
  <c r="J17" i="3076"/>
  <c r="I17" i="3076"/>
  <c r="H17" i="3076"/>
  <c r="E17" i="3076"/>
  <c r="K17" i="3076" s="1"/>
  <c r="C17" i="3076" s="1"/>
  <c r="J16" i="3076"/>
  <c r="I16" i="3076"/>
  <c r="H16" i="3076"/>
  <c r="E16" i="3076"/>
  <c r="K16" i="3076" s="1"/>
  <c r="C16" i="3076" s="1"/>
  <c r="J15" i="3076"/>
  <c r="I15" i="3076"/>
  <c r="H15" i="3076"/>
  <c r="E15" i="3076"/>
  <c r="K15" i="3076" s="1"/>
  <c r="C15" i="3076" s="1"/>
  <c r="J14" i="3076"/>
  <c r="I14" i="3076"/>
  <c r="H14" i="3076"/>
  <c r="E14" i="3076"/>
  <c r="J13" i="3076"/>
  <c r="I13" i="3076"/>
  <c r="H13" i="3076"/>
  <c r="E13" i="3076"/>
  <c r="K13" i="3076" s="1"/>
  <c r="C13" i="3076" s="1"/>
  <c r="J12" i="3076"/>
  <c r="I12" i="3076"/>
  <c r="H12" i="3076"/>
  <c r="E12" i="3076"/>
  <c r="J11" i="3076"/>
  <c r="I11" i="3076"/>
  <c r="H11" i="3076"/>
  <c r="E11" i="3076"/>
  <c r="J10" i="3076"/>
  <c r="I10" i="3076"/>
  <c r="H10" i="3076"/>
  <c r="G10" i="3076"/>
  <c r="E10" i="3076"/>
  <c r="G12" i="3076"/>
  <c r="J9" i="3076"/>
  <c r="I9" i="3076"/>
  <c r="H9" i="3076"/>
  <c r="E9" i="3076"/>
  <c r="G11" i="3076"/>
  <c r="J8" i="3076"/>
  <c r="I8" i="3076"/>
  <c r="H8" i="3076"/>
  <c r="E8" i="3076"/>
  <c r="A8" i="3076"/>
  <c r="G8" i="3076" s="1"/>
  <c r="G1" i="3076"/>
  <c r="D106" i="3075"/>
  <c r="D104" i="3075"/>
  <c r="F104" i="3075" s="1"/>
  <c r="D103" i="3075"/>
  <c r="F103" i="3075" s="1"/>
  <c r="D102" i="3075"/>
  <c r="F102" i="3075" s="1"/>
  <c r="D101" i="3075"/>
  <c r="F101" i="3075" s="1"/>
  <c r="D100" i="3075"/>
  <c r="F100" i="3075" s="1"/>
  <c r="D99" i="3075"/>
  <c r="F99" i="3075" s="1"/>
  <c r="D98" i="3075"/>
  <c r="F98" i="3075" s="1"/>
  <c r="D97" i="3075"/>
  <c r="F97" i="3075" s="1"/>
  <c r="D96" i="3075"/>
  <c r="F96" i="3075" s="1"/>
  <c r="D95" i="3075"/>
  <c r="F95" i="3075" s="1"/>
  <c r="D94" i="3075"/>
  <c r="F94" i="3075" s="1"/>
  <c r="D93" i="3075"/>
  <c r="F93" i="3075" s="1"/>
  <c r="D92" i="3075"/>
  <c r="F92" i="3075" s="1"/>
  <c r="D91" i="3075"/>
  <c r="F91" i="3075" s="1"/>
  <c r="D90" i="3075"/>
  <c r="F90" i="3075" s="1"/>
  <c r="D89" i="3075"/>
  <c r="F89" i="3075" s="1"/>
  <c r="D88" i="3075"/>
  <c r="F88" i="3075" s="1"/>
  <c r="D87" i="3075"/>
  <c r="F87" i="3075" s="1"/>
  <c r="D86" i="3075"/>
  <c r="F86" i="3075" s="1"/>
  <c r="D85" i="3075"/>
  <c r="F85" i="3075" s="1"/>
  <c r="D84" i="3075"/>
  <c r="F84" i="3075" s="1"/>
  <c r="D83" i="3075"/>
  <c r="F83" i="3075" s="1"/>
  <c r="I78" i="3075"/>
  <c r="I77" i="3075"/>
  <c r="I76" i="3075"/>
  <c r="I75" i="3075"/>
  <c r="E74" i="3075"/>
  <c r="F74" i="3075" s="1"/>
  <c r="K74" i="3075" s="1"/>
  <c r="E73" i="3075"/>
  <c r="L73" i="3075" s="1"/>
  <c r="E72" i="3075"/>
  <c r="E71" i="3075"/>
  <c r="G71" i="3075" s="1"/>
  <c r="L71" i="3075" s="1"/>
  <c r="E70" i="3075"/>
  <c r="E69" i="3075"/>
  <c r="L69" i="3075" s="1"/>
  <c r="E68" i="3075"/>
  <c r="E67" i="3075"/>
  <c r="E66" i="3075"/>
  <c r="K66" i="3075" s="1"/>
  <c r="E65" i="3075"/>
  <c r="E64" i="3075"/>
  <c r="E63" i="3075"/>
  <c r="K43" i="3075"/>
  <c r="J43" i="3075"/>
  <c r="I43" i="3075"/>
  <c r="J42" i="3075"/>
  <c r="I42" i="3075"/>
  <c r="J39" i="3075"/>
  <c r="I39" i="3075"/>
  <c r="J38" i="3075"/>
  <c r="I38" i="3075"/>
  <c r="B38" i="3075"/>
  <c r="K38" i="3075" s="1"/>
  <c r="J37" i="3075"/>
  <c r="I37" i="3075"/>
  <c r="B37" i="3075"/>
  <c r="K37" i="3075" s="1"/>
  <c r="J31" i="3075"/>
  <c r="I31" i="3075"/>
  <c r="J28" i="3075"/>
  <c r="I28" i="3075"/>
  <c r="B28" i="3075"/>
  <c r="K28" i="3075" s="1"/>
  <c r="J27" i="3075"/>
  <c r="I27" i="3075"/>
  <c r="B27" i="3075"/>
  <c r="K27" i="3075" s="1"/>
  <c r="J26" i="3075"/>
  <c r="I26" i="3075"/>
  <c r="B26" i="3075"/>
  <c r="K26" i="3075" s="1"/>
  <c r="J25" i="3075"/>
  <c r="I25" i="3075"/>
  <c r="I24" i="3075"/>
  <c r="J23" i="3075"/>
  <c r="I23" i="3075"/>
  <c r="B23" i="3075"/>
  <c r="K23" i="3075" s="1"/>
  <c r="J21" i="3075"/>
  <c r="I21" i="3075"/>
  <c r="B21" i="3075"/>
  <c r="J20" i="3075"/>
  <c r="I20" i="3075"/>
  <c r="B20" i="3075"/>
  <c r="K20" i="3075" s="1"/>
  <c r="J19" i="3075"/>
  <c r="I19" i="3075"/>
  <c r="B19" i="3075"/>
  <c r="K19" i="3075" s="1"/>
  <c r="J17" i="3075"/>
  <c r="I17" i="3075"/>
  <c r="K17" i="3075"/>
  <c r="C17" i="3075" s="1"/>
  <c r="J16" i="3075"/>
  <c r="I16" i="3075"/>
  <c r="K16" i="3075"/>
  <c r="C16" i="3075" s="1"/>
  <c r="J15" i="3075"/>
  <c r="I15" i="3075"/>
  <c r="K15" i="3075"/>
  <c r="J14" i="3075"/>
  <c r="I14" i="3075"/>
  <c r="C14" i="3075"/>
  <c r="J13" i="3075"/>
  <c r="I13" i="3075"/>
  <c r="J12" i="3075"/>
  <c r="I12" i="3075"/>
  <c r="J11" i="3075"/>
  <c r="I11" i="3075"/>
  <c r="J10" i="3075"/>
  <c r="I10" i="3075"/>
  <c r="J9" i="3075"/>
  <c r="I9" i="3075"/>
  <c r="J8" i="3075"/>
  <c r="I8" i="3075"/>
  <c r="H8" i="3075"/>
  <c r="E8" i="3075"/>
  <c r="A8" i="3075"/>
  <c r="G1" i="3075"/>
  <c r="D103" i="3074"/>
  <c r="D101" i="3074"/>
  <c r="F101" i="3074" s="1"/>
  <c r="D100" i="3074"/>
  <c r="F100" i="3074" s="1"/>
  <c r="D99" i="3074"/>
  <c r="F99" i="3074" s="1"/>
  <c r="D98" i="3074"/>
  <c r="F98" i="3074" s="1"/>
  <c r="D97" i="3074"/>
  <c r="F97" i="3074" s="1"/>
  <c r="D96" i="3074"/>
  <c r="F96" i="3074" s="1"/>
  <c r="D95" i="3074"/>
  <c r="F95" i="3074" s="1"/>
  <c r="D94" i="3074"/>
  <c r="F94" i="3074" s="1"/>
  <c r="D93" i="3074"/>
  <c r="F93" i="3074" s="1"/>
  <c r="D92" i="3074"/>
  <c r="F92" i="3074" s="1"/>
  <c r="D91" i="3074"/>
  <c r="F91" i="3074" s="1"/>
  <c r="D90" i="3074"/>
  <c r="F90" i="3074" s="1"/>
  <c r="D89" i="3074"/>
  <c r="F89" i="3074" s="1"/>
  <c r="D88" i="3074"/>
  <c r="F88" i="3074" s="1"/>
  <c r="D87" i="3074"/>
  <c r="F87" i="3074" s="1"/>
  <c r="D86" i="3074"/>
  <c r="F86" i="3074" s="1"/>
  <c r="D85" i="3074"/>
  <c r="F85" i="3074" s="1"/>
  <c r="D84" i="3074"/>
  <c r="F84" i="3074" s="1"/>
  <c r="D83" i="3074"/>
  <c r="F83" i="3074" s="1"/>
  <c r="D82" i="3074"/>
  <c r="F82" i="3074" s="1"/>
  <c r="D81" i="3074"/>
  <c r="F81" i="3074" s="1"/>
  <c r="D80" i="3074"/>
  <c r="F80" i="3074" s="1"/>
  <c r="I75" i="3074"/>
  <c r="I74" i="3074"/>
  <c r="I73" i="3074"/>
  <c r="I72" i="3074"/>
  <c r="E71" i="3074"/>
  <c r="E70" i="3074"/>
  <c r="G70" i="3074" s="1"/>
  <c r="L70" i="3074" s="1"/>
  <c r="E69" i="3074"/>
  <c r="F69" i="3074" s="1"/>
  <c r="K69" i="3074" s="1"/>
  <c r="E68" i="3074"/>
  <c r="L68" i="3074" s="1"/>
  <c r="E67" i="3074"/>
  <c r="E66" i="3074"/>
  <c r="L66" i="3074" s="1"/>
  <c r="E65" i="3074"/>
  <c r="K65" i="3074" s="1"/>
  <c r="E64" i="3074"/>
  <c r="K64" i="3074" s="1"/>
  <c r="E63" i="3074"/>
  <c r="E62" i="3074"/>
  <c r="L62" i="3074" s="1"/>
  <c r="E61" i="3074"/>
  <c r="K61" i="3074" s="1"/>
  <c r="E60" i="3074"/>
  <c r="G45" i="3074"/>
  <c r="K40" i="3074"/>
  <c r="J40" i="3074"/>
  <c r="I40" i="3074"/>
  <c r="H40" i="3074"/>
  <c r="E40" i="3074"/>
  <c r="B40" i="3074" s="1"/>
  <c r="J39" i="3074"/>
  <c r="I39" i="3074"/>
  <c r="H39" i="3074"/>
  <c r="E39" i="3074"/>
  <c r="J38" i="3074"/>
  <c r="I38" i="3074"/>
  <c r="H38" i="3074"/>
  <c r="E38" i="3074"/>
  <c r="J37" i="3074"/>
  <c r="I37" i="3074"/>
  <c r="H37" i="3074"/>
  <c r="J36" i="3074"/>
  <c r="I36" i="3074"/>
  <c r="H36" i="3074"/>
  <c r="E36" i="3074"/>
  <c r="K36" i="3074" s="1"/>
  <c r="J35" i="3074"/>
  <c r="I35" i="3074"/>
  <c r="H35" i="3074"/>
  <c r="E35" i="3074"/>
  <c r="K35" i="3074" s="1"/>
  <c r="J34" i="3074"/>
  <c r="I34" i="3074"/>
  <c r="H34" i="3074"/>
  <c r="E34" i="3074"/>
  <c r="K34" i="3074" s="1"/>
  <c r="J33" i="3074"/>
  <c r="I33" i="3074"/>
  <c r="H33" i="3074"/>
  <c r="E33" i="3074"/>
  <c r="C33" i="3074" s="1"/>
  <c r="J32" i="3074"/>
  <c r="I32" i="3074"/>
  <c r="H32" i="3074"/>
  <c r="E32" i="3074"/>
  <c r="B32" i="3074" s="1"/>
  <c r="J31" i="3074"/>
  <c r="I31" i="3074"/>
  <c r="H31" i="3074"/>
  <c r="E31" i="3074"/>
  <c r="B31" i="3074" s="1"/>
  <c r="J30" i="3074"/>
  <c r="I30" i="3074"/>
  <c r="H30" i="3074"/>
  <c r="E30" i="3074"/>
  <c r="J28" i="3074"/>
  <c r="I28" i="3074"/>
  <c r="H28" i="3074"/>
  <c r="E28" i="3074"/>
  <c r="J27" i="3074"/>
  <c r="I27" i="3074"/>
  <c r="H27" i="3074"/>
  <c r="E27" i="3074"/>
  <c r="J26" i="3074"/>
  <c r="I26" i="3074"/>
  <c r="H26" i="3074"/>
  <c r="J24" i="3074"/>
  <c r="I24" i="3074"/>
  <c r="H24" i="3074"/>
  <c r="E24" i="3074"/>
  <c r="K24" i="3074" s="1"/>
  <c r="J23" i="3074"/>
  <c r="I23" i="3074"/>
  <c r="H23" i="3074"/>
  <c r="E23" i="3074"/>
  <c r="I22" i="3074"/>
  <c r="H22" i="3074"/>
  <c r="J21" i="3074"/>
  <c r="I21" i="3074"/>
  <c r="H21" i="3074"/>
  <c r="E21" i="3074"/>
  <c r="K21" i="3074" s="1"/>
  <c r="I19" i="3074"/>
  <c r="H19" i="3074"/>
  <c r="I18" i="3074"/>
  <c r="H18" i="3074"/>
  <c r="J17" i="3074"/>
  <c r="I17" i="3074"/>
  <c r="H17" i="3074"/>
  <c r="E17" i="3074"/>
  <c r="J16" i="3074"/>
  <c r="I16" i="3074"/>
  <c r="H16" i="3074"/>
  <c r="E16" i="3074"/>
  <c r="K16" i="3074" s="1"/>
  <c r="J15" i="3074"/>
  <c r="I15" i="3074"/>
  <c r="H15" i="3074"/>
  <c r="E15" i="3074"/>
  <c r="K15" i="3074" s="1"/>
  <c r="C15" i="3074" s="1"/>
  <c r="J14" i="3074"/>
  <c r="I14" i="3074"/>
  <c r="H14" i="3074"/>
  <c r="E14" i="3074"/>
  <c r="J13" i="3074"/>
  <c r="I13" i="3074"/>
  <c r="H13" i="3074"/>
  <c r="E13" i="3074"/>
  <c r="J12" i="3074"/>
  <c r="I12" i="3074"/>
  <c r="H12" i="3074"/>
  <c r="E12" i="3074"/>
  <c r="J11" i="3074"/>
  <c r="I11" i="3074"/>
  <c r="H11" i="3074"/>
  <c r="E11" i="3074"/>
  <c r="J10" i="3074"/>
  <c r="I10" i="3074"/>
  <c r="H10" i="3074"/>
  <c r="E10" i="3074"/>
  <c r="J8" i="3074"/>
  <c r="I8" i="3074"/>
  <c r="H8" i="3074"/>
  <c r="E8" i="3074"/>
  <c r="A8" i="3074"/>
  <c r="G8" i="3074" s="1"/>
  <c r="G1" i="3074"/>
  <c r="K30" i="3074" l="1"/>
  <c r="C30" i="3074"/>
  <c r="A13" i="3075"/>
  <c r="A14" i="3075" s="1"/>
  <c r="G14" i="3075" s="1"/>
  <c r="K69" i="3077"/>
  <c r="L69" i="3077"/>
  <c r="I71" i="3077"/>
  <c r="L65" i="3077"/>
  <c r="B8" i="3077"/>
  <c r="K8" i="3077" s="1"/>
  <c r="C8" i="3077" s="1"/>
  <c r="B9" i="3077"/>
  <c r="K9" i="3077" s="1"/>
  <c r="C9" i="3077" s="1"/>
  <c r="B10" i="3077"/>
  <c r="K10" i="3077" s="1"/>
  <c r="C10" i="3077" s="1"/>
  <c r="B40" i="3077"/>
  <c r="K40" i="3077" s="1"/>
  <c r="C40" i="3077" s="1"/>
  <c r="L66" i="3077"/>
  <c r="F71" i="3077"/>
  <c r="K71" i="3077" s="1"/>
  <c r="G68" i="3077"/>
  <c r="L68" i="3077" s="1"/>
  <c r="B12" i="3077"/>
  <c r="K12" i="3077" s="1"/>
  <c r="C12" i="3077" s="1"/>
  <c r="H71" i="3077"/>
  <c r="G12" i="3077"/>
  <c r="L73" i="3078"/>
  <c r="G65" i="3078"/>
  <c r="L65" i="3078" s="1"/>
  <c r="F64" i="3078"/>
  <c r="K64" i="3078" s="1"/>
  <c r="G12" i="3078"/>
  <c r="L64" i="3074"/>
  <c r="L65" i="3074"/>
  <c r="K39" i="3074"/>
  <c r="K68" i="3074"/>
  <c r="K65" i="3075"/>
  <c r="K63" i="3075"/>
  <c r="K69" i="3075"/>
  <c r="L65" i="3075"/>
  <c r="L64" i="3075"/>
  <c r="K73" i="3075"/>
  <c r="C40" i="3074"/>
  <c r="C23" i="3076"/>
  <c r="B39" i="3077"/>
  <c r="K39" i="3077" s="1"/>
  <c r="C15" i="3077"/>
  <c r="B35" i="3077"/>
  <c r="K35" i="3077" s="1"/>
  <c r="B25" i="3077"/>
  <c r="K25" i="3077" s="1"/>
  <c r="B42" i="3077"/>
  <c r="B9" i="3076"/>
  <c r="K9" i="3076" s="1"/>
  <c r="C9" i="3076" s="1"/>
  <c r="C24" i="3077"/>
  <c r="K62" i="3078"/>
  <c r="I66" i="3078"/>
  <c r="K70" i="3078"/>
  <c r="L62" i="3078"/>
  <c r="L70" i="3078"/>
  <c r="F73" i="3077"/>
  <c r="K73" i="3077" s="1"/>
  <c r="G73" i="3077"/>
  <c r="L73" i="3077" s="1"/>
  <c r="K65" i="3077"/>
  <c r="H73" i="3077"/>
  <c r="H63" i="3078"/>
  <c r="K49" i="3078"/>
  <c r="D46" i="3078"/>
  <c r="C46" i="3078" s="1"/>
  <c r="G63" i="3078"/>
  <c r="L63" i="3078" s="1"/>
  <c r="G49" i="3078"/>
  <c r="F63" i="3078"/>
  <c r="K63" i="3078" s="1"/>
  <c r="K47" i="3078"/>
  <c r="K46" i="3078"/>
  <c r="K14" i="3078"/>
  <c r="C14" i="3078" s="1"/>
  <c r="B13" i="3078"/>
  <c r="K13" i="3078" s="1"/>
  <c r="C13" i="3078" s="1"/>
  <c r="B9" i="3078"/>
  <c r="K9" i="3078" s="1"/>
  <c r="C9" i="3078" s="1"/>
  <c r="I63" i="3078"/>
  <c r="B10" i="3078"/>
  <c r="K10" i="3078" s="1"/>
  <c r="C10" i="3078" s="1"/>
  <c r="B23" i="3077"/>
  <c r="K23" i="3077" s="1"/>
  <c r="B24" i="3078"/>
  <c r="K24" i="3078" s="1"/>
  <c r="B13" i="3077"/>
  <c r="K13" i="3077" s="1"/>
  <c r="C13" i="3077" s="1"/>
  <c r="B18" i="3077"/>
  <c r="K18" i="3077" s="1"/>
  <c r="B28" i="3077"/>
  <c r="K28" i="3077" s="1"/>
  <c r="B37" i="3077"/>
  <c r="K37" i="3077" s="1"/>
  <c r="K47" i="3077"/>
  <c r="K50" i="3077"/>
  <c r="F4" i="3077"/>
  <c r="G50" i="3077"/>
  <c r="H72" i="3077"/>
  <c r="I72" i="3077"/>
  <c r="G72" i="3077"/>
  <c r="L72" i="3077" s="1"/>
  <c r="B42" i="3078"/>
  <c r="K42" i="3078" s="1"/>
  <c r="C42" i="3078" s="1"/>
  <c r="L71" i="3078"/>
  <c r="K71" i="3078"/>
  <c r="B32" i="3077"/>
  <c r="K32" i="3077" s="1"/>
  <c r="B41" i="3077"/>
  <c r="K41" i="3077" s="1"/>
  <c r="C41" i="3077" s="1"/>
  <c r="L64" i="3077"/>
  <c r="B32" i="3078"/>
  <c r="K32" i="3078" s="1"/>
  <c r="B11" i="3077"/>
  <c r="K11" i="3077" s="1"/>
  <c r="C11" i="3077" s="1"/>
  <c r="C14" i="3077"/>
  <c r="C43" i="3077"/>
  <c r="B43" i="3077"/>
  <c r="L67" i="3077"/>
  <c r="F74" i="3077"/>
  <c r="K74" i="3077" s="1"/>
  <c r="I74" i="3077"/>
  <c r="H74" i="3077"/>
  <c r="G50" i="3078"/>
  <c r="H67" i="3078"/>
  <c r="G67" i="3078"/>
  <c r="L67" i="3078" s="1"/>
  <c r="F67" i="3078"/>
  <c r="K67" i="3078" s="1"/>
  <c r="I67" i="3078"/>
  <c r="B8" i="3078"/>
  <c r="K8" i="3078" s="1"/>
  <c r="C8" i="3078" s="1"/>
  <c r="B11" i="3078"/>
  <c r="K11" i="3078" s="1"/>
  <c r="C11" i="3078" s="1"/>
  <c r="F68" i="3077"/>
  <c r="B12" i="3078"/>
  <c r="K12" i="3078" s="1"/>
  <c r="C12" i="3078" s="1"/>
  <c r="K15" i="3078"/>
  <c r="C15" i="3078" s="1"/>
  <c r="B20" i="3078"/>
  <c r="K20" i="3078" s="1"/>
  <c r="B28" i="3078"/>
  <c r="K28" i="3078" s="1"/>
  <c r="B36" i="3078"/>
  <c r="K36" i="3078" s="1"/>
  <c r="G64" i="3078"/>
  <c r="L64" i="3078" s="1"/>
  <c r="H65" i="3078"/>
  <c r="I65" i="3078" s="1"/>
  <c r="L68" i="3078"/>
  <c r="I69" i="3078"/>
  <c r="L72" i="3078"/>
  <c r="I73" i="3078"/>
  <c r="L4" i="3078" s="1"/>
  <c r="H64" i="3078"/>
  <c r="I68" i="3078"/>
  <c r="F4" i="3078" s="1"/>
  <c r="K42" i="3076"/>
  <c r="F59" i="3076"/>
  <c r="K59" i="3076" s="1"/>
  <c r="G61" i="3076"/>
  <c r="L61" i="3076" s="1"/>
  <c r="L65" i="3076"/>
  <c r="I68" i="3076"/>
  <c r="G46" i="3076"/>
  <c r="I60" i="3076"/>
  <c r="H61" i="3076"/>
  <c r="K60" i="3076"/>
  <c r="K64" i="3076"/>
  <c r="F71" i="3075"/>
  <c r="K71" i="3075" s="1"/>
  <c r="K72" i="3075"/>
  <c r="G74" i="3075"/>
  <c r="L74" i="3075" s="1"/>
  <c r="H71" i="3075"/>
  <c r="L72" i="3075"/>
  <c r="H74" i="3075"/>
  <c r="K64" i="3075"/>
  <c r="L66" i="3075"/>
  <c r="I71" i="3075"/>
  <c r="B8" i="3074"/>
  <c r="K8" i="3074" s="1"/>
  <c r="C8" i="3074" s="1"/>
  <c r="B12" i="3074"/>
  <c r="K12" i="3074" s="1"/>
  <c r="C12" i="3074" s="1"/>
  <c r="K13" i="3074"/>
  <c r="C13" i="3074" s="1"/>
  <c r="K60" i="3074"/>
  <c r="G47" i="3074"/>
  <c r="G69" i="3074"/>
  <c r="L69" i="3074" s="1"/>
  <c r="H70" i="3074"/>
  <c r="L60" i="3074"/>
  <c r="I64" i="3074"/>
  <c r="H69" i="3074"/>
  <c r="B11" i="3074"/>
  <c r="K11" i="3074" s="1"/>
  <c r="C11" i="3074" s="1"/>
  <c r="H71" i="3074"/>
  <c r="G71" i="3074"/>
  <c r="L71" i="3074" s="1"/>
  <c r="F71" i="3074"/>
  <c r="K71" i="3074" s="1"/>
  <c r="B9" i="3075"/>
  <c r="I71" i="3074"/>
  <c r="B25" i="3075"/>
  <c r="K25" i="3075" s="1"/>
  <c r="L67" i="3075"/>
  <c r="B11" i="3075"/>
  <c r="B10" i="3075"/>
  <c r="G50" i="3075"/>
  <c r="K67" i="3075"/>
  <c r="B13" i="3075"/>
  <c r="K13" i="3075" s="1"/>
  <c r="C13" i="3075" s="1"/>
  <c r="B28" i="3074"/>
  <c r="G10" i="3074"/>
  <c r="K14" i="3074"/>
  <c r="C14" i="3074" s="1"/>
  <c r="K23" i="3074"/>
  <c r="K33" i="3074"/>
  <c r="L63" i="3074"/>
  <c r="B10" i="3074"/>
  <c r="K10" i="3074" s="1"/>
  <c r="C10" i="3074" s="1"/>
  <c r="B31" i="3075"/>
  <c r="K31" i="3075" s="1"/>
  <c r="B42" i="3075"/>
  <c r="K42" i="3075" s="1"/>
  <c r="C42" i="3075" s="1"/>
  <c r="K47" i="3075"/>
  <c r="K44" i="3074"/>
  <c r="L61" i="3074"/>
  <c r="L67" i="3074"/>
  <c r="B8" i="3075"/>
  <c r="K8" i="3075" s="1"/>
  <c r="C8" i="3075" s="1"/>
  <c r="K18" i="3076"/>
  <c r="C18" i="3076" s="1"/>
  <c r="B34" i="3076"/>
  <c r="K34" i="3076" s="1"/>
  <c r="L63" i="3076"/>
  <c r="K63" i="3076"/>
  <c r="I70" i="3074"/>
  <c r="G14" i="3076"/>
  <c r="C43" i="3075"/>
  <c r="B43" i="3075"/>
  <c r="B8" i="3076"/>
  <c r="K8" i="3076" s="1"/>
  <c r="C8" i="3076" s="1"/>
  <c r="B10" i="3076"/>
  <c r="K10" i="3076" s="1"/>
  <c r="C10" i="3076" s="1"/>
  <c r="G58" i="3076"/>
  <c r="K45" i="3076"/>
  <c r="D42" i="3076"/>
  <c r="C42" i="3076" s="1"/>
  <c r="F58" i="3076"/>
  <c r="G45" i="3076"/>
  <c r="I58" i="3076"/>
  <c r="K43" i="3076"/>
  <c r="B12" i="3076"/>
  <c r="K12" i="3076" s="1"/>
  <c r="C12" i="3076" s="1"/>
  <c r="H58" i="3076"/>
  <c r="K47" i="3074"/>
  <c r="B26" i="3076"/>
  <c r="K26" i="3076" s="1"/>
  <c r="D44" i="3074"/>
  <c r="C44" i="3074" s="1"/>
  <c r="K62" i="3074"/>
  <c r="K66" i="3074"/>
  <c r="I69" i="3074"/>
  <c r="F70" i="3074"/>
  <c r="K70" i="3074" s="1"/>
  <c r="C15" i="3075"/>
  <c r="B39" i="3075"/>
  <c r="K39" i="3075" s="1"/>
  <c r="B12" i="3075"/>
  <c r="L68" i="3075"/>
  <c r="L70" i="3075"/>
  <c r="H59" i="3076"/>
  <c r="G59" i="3076"/>
  <c r="L59" i="3076" s="1"/>
  <c r="I59" i="3076"/>
  <c r="K50" i="3075"/>
  <c r="D48" i="3075"/>
  <c r="C48" i="3075" s="1"/>
  <c r="D47" i="3075"/>
  <c r="C47" i="3075" s="1"/>
  <c r="I74" i="3075"/>
  <c r="G9" i="3076"/>
  <c r="K14" i="3076"/>
  <c r="C14" i="3076" s="1"/>
  <c r="C19" i="3076"/>
  <c r="K22" i="3076"/>
  <c r="C22" i="3076" s="1"/>
  <c r="B30" i="3076"/>
  <c r="K30" i="3076" s="1"/>
  <c r="C38" i="3076"/>
  <c r="B38" i="3076"/>
  <c r="L62" i="3076"/>
  <c r="L67" i="3076"/>
  <c r="B11" i="3076"/>
  <c r="K11" i="3076" s="1"/>
  <c r="C11" i="3076" s="1"/>
  <c r="L66" i="3076"/>
  <c r="K67" i="3076"/>
  <c r="I67" i="3076"/>
  <c r="I61" i="3076"/>
  <c r="I69" i="3076"/>
  <c r="A9" i="3063"/>
  <c r="A11" i="3063" s="1"/>
  <c r="A13" i="3063" s="1"/>
  <c r="A15" i="3063" s="1"/>
  <c r="A17" i="3063" s="1"/>
  <c r="A19" i="3063" s="1"/>
  <c r="A21" i="3063" s="1"/>
  <c r="A23" i="3063" s="1"/>
  <c r="A25" i="3063" s="1"/>
  <c r="A27" i="3063" s="1"/>
  <c r="A29" i="3063" s="1"/>
  <c r="A31" i="3063" s="1"/>
  <c r="A33" i="3063" s="1"/>
  <c r="A35" i="3063" s="1"/>
  <c r="A37" i="3063" s="1"/>
  <c r="A39" i="3063" s="1"/>
  <c r="A8" i="3063"/>
  <c r="A10" i="3063" s="1"/>
  <c r="A12" i="3063" s="1"/>
  <c r="A14" i="3063" s="1"/>
  <c r="A16" i="3063" s="1"/>
  <c r="A18" i="3063" s="1"/>
  <c r="A20" i="3063" s="1"/>
  <c r="A22" i="3063" s="1"/>
  <c r="A24" i="3063" s="1"/>
  <c r="A26" i="3063" s="1"/>
  <c r="A28" i="3063" s="1"/>
  <c r="A30" i="3063" s="1"/>
  <c r="A32" i="3063" s="1"/>
  <c r="A34" i="3063" s="1"/>
  <c r="A36" i="3063" s="1"/>
  <c r="A38" i="3063" s="1"/>
  <c r="A40" i="3063" s="1"/>
  <c r="A15" i="3075" l="1"/>
  <c r="G39" i="3063"/>
  <c r="A41" i="3063"/>
  <c r="G41" i="3063" s="1"/>
  <c r="G40" i="3063"/>
  <c r="A42" i="3063"/>
  <c r="G42" i="3063" s="1"/>
  <c r="G13" i="3076"/>
  <c r="A43" i="3075"/>
  <c r="G9" i="3077"/>
  <c r="I69" i="3077"/>
  <c r="I66" i="3077"/>
  <c r="I64" i="3077"/>
  <c r="G11" i="3077"/>
  <c r="G79" i="3078"/>
  <c r="I71" i="3078"/>
  <c r="I70" i="3078"/>
  <c r="H4" i="3078"/>
  <c r="G10" i="3078"/>
  <c r="G9" i="3078"/>
  <c r="G13" i="3074"/>
  <c r="G11" i="3074"/>
  <c r="G12" i="3074"/>
  <c r="I65" i="3074"/>
  <c r="I61" i="3074"/>
  <c r="L4" i="3074" s="1"/>
  <c r="I60" i="3074"/>
  <c r="I68" i="3074"/>
  <c r="B4" i="3074" s="1"/>
  <c r="I66" i="3074"/>
  <c r="I65" i="3075"/>
  <c r="I69" i="3075"/>
  <c r="I66" i="3075"/>
  <c r="I72" i="3075"/>
  <c r="I64" i="3075"/>
  <c r="B4" i="3075" s="1"/>
  <c r="I73" i="3075"/>
  <c r="D4" i="3078"/>
  <c r="F79" i="3078"/>
  <c r="I62" i="3078"/>
  <c r="B4" i="3078" s="1"/>
  <c r="I65" i="3077"/>
  <c r="L63" i="3077"/>
  <c r="L70" i="3077"/>
  <c r="G80" i="3077" s="1"/>
  <c r="I70" i="3077"/>
  <c r="K63" i="3077"/>
  <c r="F80" i="3077" s="1"/>
  <c r="I63" i="3077"/>
  <c r="L4" i="3077" s="1"/>
  <c r="I72" i="3078"/>
  <c r="K68" i="3077"/>
  <c r="I68" i="3077"/>
  <c r="K67" i="3077"/>
  <c r="I67" i="3077"/>
  <c r="G48" i="3077"/>
  <c r="G46" i="3078"/>
  <c r="I65" i="3076"/>
  <c r="I64" i="3076"/>
  <c r="J4" i="3076" s="1"/>
  <c r="I67" i="3075"/>
  <c r="H4" i="3074"/>
  <c r="K67" i="3074"/>
  <c r="I67" i="3074"/>
  <c r="F4" i="3074" s="1"/>
  <c r="K70" i="3075"/>
  <c r="I70" i="3075"/>
  <c r="F80" i="3075"/>
  <c r="K63" i="3074"/>
  <c r="I63" i="3074"/>
  <c r="L63" i="3075"/>
  <c r="I63" i="3075"/>
  <c r="G80" i="3075"/>
  <c r="K68" i="3075"/>
  <c r="I68" i="3075"/>
  <c r="G16" i="3076"/>
  <c r="I63" i="3076"/>
  <c r="I62" i="3074"/>
  <c r="D4" i="3074" s="1"/>
  <c r="G14" i="3074"/>
  <c r="K66" i="3076"/>
  <c r="I66" i="3076"/>
  <c r="L58" i="3076"/>
  <c r="G75" i="3076"/>
  <c r="F77" i="3074"/>
  <c r="K58" i="3076"/>
  <c r="G47" i="3075"/>
  <c r="K62" i="3076"/>
  <c r="F75" i="3076" s="1"/>
  <c r="I62" i="3076"/>
  <c r="G48" i="3075"/>
  <c r="G44" i="3074"/>
  <c r="G42" i="3076"/>
  <c r="G77" i="3074"/>
  <c r="A8" i="3073"/>
  <c r="A8" i="3072"/>
  <c r="D105" i="3073"/>
  <c r="D103" i="3073"/>
  <c r="F103" i="3073" s="1"/>
  <c r="D102" i="3073"/>
  <c r="F102" i="3073" s="1"/>
  <c r="D101" i="3073"/>
  <c r="F101" i="3073" s="1"/>
  <c r="D100" i="3073"/>
  <c r="F100" i="3073" s="1"/>
  <c r="D99" i="3073"/>
  <c r="F99" i="3073" s="1"/>
  <c r="D98" i="3073"/>
  <c r="F98" i="3073" s="1"/>
  <c r="D97" i="3073"/>
  <c r="F97" i="3073" s="1"/>
  <c r="D96" i="3073"/>
  <c r="F96" i="3073" s="1"/>
  <c r="D95" i="3073"/>
  <c r="F95" i="3073" s="1"/>
  <c r="D94" i="3073"/>
  <c r="F94" i="3073" s="1"/>
  <c r="D93" i="3073"/>
  <c r="F93" i="3073" s="1"/>
  <c r="D92" i="3073"/>
  <c r="F92" i="3073" s="1"/>
  <c r="D91" i="3073"/>
  <c r="F91" i="3073" s="1"/>
  <c r="D90" i="3073"/>
  <c r="F90" i="3073" s="1"/>
  <c r="D89" i="3073"/>
  <c r="F89" i="3073" s="1"/>
  <c r="D88" i="3073"/>
  <c r="F88" i="3073" s="1"/>
  <c r="D87" i="3073"/>
  <c r="F87" i="3073" s="1"/>
  <c r="D86" i="3073"/>
  <c r="F86" i="3073" s="1"/>
  <c r="D85" i="3073"/>
  <c r="F85" i="3073" s="1"/>
  <c r="F84" i="3073"/>
  <c r="D84" i="3073"/>
  <c r="D83" i="3073"/>
  <c r="F83" i="3073" s="1"/>
  <c r="D82" i="3073"/>
  <c r="F82" i="3073" s="1"/>
  <c r="I77" i="3073"/>
  <c r="I76" i="3073"/>
  <c r="I75" i="3073"/>
  <c r="I74" i="3073"/>
  <c r="E73" i="3073"/>
  <c r="K72" i="3073"/>
  <c r="E72" i="3073"/>
  <c r="E71" i="3073"/>
  <c r="E70" i="3073"/>
  <c r="K70" i="3073" s="1"/>
  <c r="E69" i="3073"/>
  <c r="H69" i="3073" s="1"/>
  <c r="E68" i="3073"/>
  <c r="E67" i="3073"/>
  <c r="E66" i="3073"/>
  <c r="F66" i="3073" s="1"/>
  <c r="K66" i="3073" s="1"/>
  <c r="L65" i="3073"/>
  <c r="E65" i="3073"/>
  <c r="F64" i="3073"/>
  <c r="K64" i="3073" s="1"/>
  <c r="E64" i="3073"/>
  <c r="E63" i="3073"/>
  <c r="E62" i="3073"/>
  <c r="K42" i="3073"/>
  <c r="J42" i="3073"/>
  <c r="I42" i="3073"/>
  <c r="H42" i="3073"/>
  <c r="E42" i="3073"/>
  <c r="C42" i="3073" s="1"/>
  <c r="K41" i="3073"/>
  <c r="J41" i="3073"/>
  <c r="I41" i="3073"/>
  <c r="H41" i="3073"/>
  <c r="E41" i="3073"/>
  <c r="B41" i="3073" s="1"/>
  <c r="J40" i="3073"/>
  <c r="I40" i="3073"/>
  <c r="H40" i="3073"/>
  <c r="E40" i="3073"/>
  <c r="B40" i="3073" s="1"/>
  <c r="K40" i="3073" s="1"/>
  <c r="J39" i="3073"/>
  <c r="I39" i="3073"/>
  <c r="H39" i="3073"/>
  <c r="E39" i="3073"/>
  <c r="B39" i="3073" s="1"/>
  <c r="K39" i="3073" s="1"/>
  <c r="C39" i="3073" s="1"/>
  <c r="J38" i="3073"/>
  <c r="I38" i="3073"/>
  <c r="H38" i="3073"/>
  <c r="E38" i="3073"/>
  <c r="J37" i="3073"/>
  <c r="I37" i="3073"/>
  <c r="H37" i="3073"/>
  <c r="E37" i="3073"/>
  <c r="B37" i="3073" s="1"/>
  <c r="K37" i="3073" s="1"/>
  <c r="J36" i="3073"/>
  <c r="I36" i="3073"/>
  <c r="H36" i="3073"/>
  <c r="E36" i="3073"/>
  <c r="B36" i="3073" s="1"/>
  <c r="K36" i="3073" s="1"/>
  <c r="J35" i="3073"/>
  <c r="I35" i="3073"/>
  <c r="H35" i="3073"/>
  <c r="E35" i="3073"/>
  <c r="B35" i="3073" s="1"/>
  <c r="K35" i="3073" s="1"/>
  <c r="J34" i="3073"/>
  <c r="I34" i="3073"/>
  <c r="H34" i="3073"/>
  <c r="E34" i="3073"/>
  <c r="J33" i="3073"/>
  <c r="I33" i="3073"/>
  <c r="H33" i="3073"/>
  <c r="E33" i="3073"/>
  <c r="B33" i="3073" s="1"/>
  <c r="K33" i="3073" s="1"/>
  <c r="J32" i="3073"/>
  <c r="I32" i="3073"/>
  <c r="H32" i="3073"/>
  <c r="E32" i="3073"/>
  <c r="B32" i="3073" s="1"/>
  <c r="K32" i="3073" s="1"/>
  <c r="J31" i="3073"/>
  <c r="I31" i="3073"/>
  <c r="H31" i="3073"/>
  <c r="E31" i="3073"/>
  <c r="B31" i="3073" s="1"/>
  <c r="K31" i="3073" s="1"/>
  <c r="J30" i="3073"/>
  <c r="I30" i="3073"/>
  <c r="H30" i="3073"/>
  <c r="E30" i="3073"/>
  <c r="J29" i="3073"/>
  <c r="I29" i="3073"/>
  <c r="H29" i="3073"/>
  <c r="E29" i="3073"/>
  <c r="J28" i="3073"/>
  <c r="I28" i="3073"/>
  <c r="H28" i="3073"/>
  <c r="E28" i="3073"/>
  <c r="J27" i="3073"/>
  <c r="I27" i="3073"/>
  <c r="H27" i="3073"/>
  <c r="E27" i="3073"/>
  <c r="B27" i="3073" s="1"/>
  <c r="K27" i="3073" s="1"/>
  <c r="J26" i="3073"/>
  <c r="I26" i="3073"/>
  <c r="H26" i="3073"/>
  <c r="E26" i="3073"/>
  <c r="J25" i="3073"/>
  <c r="I25" i="3073"/>
  <c r="H25" i="3073"/>
  <c r="E25" i="3073"/>
  <c r="J24" i="3073"/>
  <c r="I24" i="3073"/>
  <c r="H24" i="3073"/>
  <c r="E24" i="3073"/>
  <c r="B24" i="3073" s="1"/>
  <c r="K24" i="3073" s="1"/>
  <c r="J23" i="3073"/>
  <c r="I23" i="3073"/>
  <c r="H23" i="3073"/>
  <c r="E23" i="3073"/>
  <c r="J22" i="3073"/>
  <c r="I22" i="3073"/>
  <c r="H22" i="3073"/>
  <c r="E22" i="3073"/>
  <c r="J21" i="3073"/>
  <c r="I21" i="3073"/>
  <c r="H21" i="3073"/>
  <c r="E21" i="3073"/>
  <c r="J20" i="3073"/>
  <c r="I20" i="3073"/>
  <c r="H20" i="3073"/>
  <c r="E20" i="3073"/>
  <c r="B20" i="3073" s="1"/>
  <c r="K20" i="3073" s="1"/>
  <c r="J19" i="3073"/>
  <c r="I19" i="3073"/>
  <c r="H19" i="3073"/>
  <c r="E19" i="3073"/>
  <c r="J18" i="3073"/>
  <c r="I18" i="3073"/>
  <c r="H18" i="3073"/>
  <c r="E18" i="3073"/>
  <c r="J17" i="3073"/>
  <c r="I17" i="3073"/>
  <c r="H17" i="3073"/>
  <c r="E17" i="3073"/>
  <c r="J16" i="3073"/>
  <c r="I16" i="3073"/>
  <c r="H16" i="3073"/>
  <c r="E16" i="3073"/>
  <c r="K16" i="3073" s="1"/>
  <c r="J15" i="3073"/>
  <c r="I15" i="3073"/>
  <c r="H15" i="3073"/>
  <c r="E15" i="3073"/>
  <c r="K15" i="3073" s="1"/>
  <c r="C15" i="3073" s="1"/>
  <c r="J14" i="3073"/>
  <c r="I14" i="3073"/>
  <c r="H14" i="3073"/>
  <c r="E14" i="3073"/>
  <c r="J13" i="3073"/>
  <c r="I13" i="3073"/>
  <c r="H13" i="3073"/>
  <c r="E13" i="3073"/>
  <c r="J12" i="3073"/>
  <c r="I12" i="3073"/>
  <c r="H12" i="3073"/>
  <c r="E12" i="3073"/>
  <c r="J11" i="3073"/>
  <c r="I11" i="3073"/>
  <c r="H11" i="3073"/>
  <c r="E11" i="3073"/>
  <c r="B11" i="3073" s="1"/>
  <c r="K11" i="3073" s="1"/>
  <c r="C11" i="3073" s="1"/>
  <c r="J10" i="3073"/>
  <c r="I10" i="3073"/>
  <c r="H10" i="3073"/>
  <c r="E10" i="3073"/>
  <c r="J9" i="3073"/>
  <c r="I9" i="3073"/>
  <c r="H9" i="3073"/>
  <c r="E9" i="3073"/>
  <c r="J8" i="3073"/>
  <c r="I8" i="3073"/>
  <c r="H8" i="3073"/>
  <c r="G8" i="3073"/>
  <c r="E8" i="3073"/>
  <c r="B8" i="3073" s="1"/>
  <c r="K8" i="3073" s="1"/>
  <c r="G1" i="3073"/>
  <c r="D105" i="3072"/>
  <c r="D103" i="3072"/>
  <c r="F103" i="3072" s="1"/>
  <c r="D102" i="3072"/>
  <c r="F102" i="3072" s="1"/>
  <c r="D101" i="3072"/>
  <c r="F101" i="3072" s="1"/>
  <c r="D100" i="3072"/>
  <c r="F100" i="3072" s="1"/>
  <c r="D99" i="3072"/>
  <c r="F99" i="3072" s="1"/>
  <c r="D98" i="3072"/>
  <c r="F98" i="3072" s="1"/>
  <c r="D97" i="3072"/>
  <c r="F97" i="3072" s="1"/>
  <c r="D96" i="3072"/>
  <c r="F96" i="3072" s="1"/>
  <c r="D95" i="3072"/>
  <c r="F95" i="3072" s="1"/>
  <c r="D94" i="3072"/>
  <c r="F94" i="3072" s="1"/>
  <c r="D93" i="3072"/>
  <c r="F93" i="3072" s="1"/>
  <c r="D92" i="3072"/>
  <c r="F92" i="3072" s="1"/>
  <c r="D91" i="3072"/>
  <c r="F91" i="3072" s="1"/>
  <c r="D90" i="3072"/>
  <c r="F90" i="3072" s="1"/>
  <c r="D89" i="3072"/>
  <c r="F89" i="3072" s="1"/>
  <c r="D88" i="3072"/>
  <c r="F88" i="3072" s="1"/>
  <c r="D87" i="3072"/>
  <c r="F87" i="3072" s="1"/>
  <c r="D86" i="3072"/>
  <c r="F86" i="3072" s="1"/>
  <c r="D85" i="3072"/>
  <c r="F85" i="3072" s="1"/>
  <c r="D84" i="3072"/>
  <c r="F84" i="3072" s="1"/>
  <c r="D83" i="3072"/>
  <c r="F83" i="3072" s="1"/>
  <c r="D82" i="3072"/>
  <c r="F82" i="3072" s="1"/>
  <c r="I77" i="3072"/>
  <c r="I76" i="3072"/>
  <c r="I75" i="3072"/>
  <c r="I74" i="3072"/>
  <c r="E73" i="3072"/>
  <c r="K73" i="3072" s="1"/>
  <c r="E72" i="3072"/>
  <c r="L72" i="3072" s="1"/>
  <c r="E71" i="3072"/>
  <c r="E70" i="3072"/>
  <c r="L70" i="3072" s="1"/>
  <c r="E69" i="3072"/>
  <c r="F69" i="3072" s="1"/>
  <c r="K69" i="3072" s="1"/>
  <c r="E68" i="3072"/>
  <c r="I68" i="3072" s="1"/>
  <c r="E67" i="3072"/>
  <c r="H67" i="3072" s="1"/>
  <c r="E66" i="3072"/>
  <c r="G66" i="3072" s="1"/>
  <c r="L66" i="3072" s="1"/>
  <c r="E65" i="3072"/>
  <c r="F65" i="3072" s="1"/>
  <c r="K65" i="3072" s="1"/>
  <c r="E64" i="3072"/>
  <c r="K64" i="3072" s="1"/>
  <c r="E63" i="3072"/>
  <c r="E62" i="3072"/>
  <c r="K42" i="3072"/>
  <c r="J42" i="3072"/>
  <c r="I42" i="3072"/>
  <c r="H42" i="3072"/>
  <c r="E42" i="3072"/>
  <c r="B42" i="3072" s="1"/>
  <c r="J41" i="3072"/>
  <c r="I41" i="3072"/>
  <c r="H41" i="3072"/>
  <c r="E41" i="3072"/>
  <c r="B41" i="3072" s="1"/>
  <c r="J40" i="3072"/>
  <c r="I40" i="3072"/>
  <c r="H40" i="3072"/>
  <c r="E40" i="3072"/>
  <c r="J39" i="3072"/>
  <c r="I39" i="3072"/>
  <c r="H39" i="3072"/>
  <c r="E39" i="3072"/>
  <c r="J38" i="3072"/>
  <c r="I38" i="3072"/>
  <c r="H38" i="3072"/>
  <c r="E38" i="3072"/>
  <c r="J37" i="3072"/>
  <c r="I37" i="3072"/>
  <c r="H37" i="3072"/>
  <c r="E37" i="3072"/>
  <c r="I36" i="3072"/>
  <c r="H36" i="3072"/>
  <c r="J35" i="3072"/>
  <c r="I35" i="3072"/>
  <c r="H35" i="3072"/>
  <c r="E35" i="3072"/>
  <c r="I34" i="3072"/>
  <c r="H34" i="3072"/>
  <c r="E34" i="3072"/>
  <c r="J33" i="3072"/>
  <c r="I33" i="3072"/>
  <c r="H33" i="3072"/>
  <c r="E33" i="3072"/>
  <c r="J32" i="3072"/>
  <c r="I32" i="3072"/>
  <c r="H32" i="3072"/>
  <c r="E32" i="3072"/>
  <c r="J31" i="3072"/>
  <c r="I31" i="3072"/>
  <c r="H31" i="3072"/>
  <c r="E31" i="3072"/>
  <c r="J30" i="3072"/>
  <c r="I30" i="3072"/>
  <c r="H30" i="3072"/>
  <c r="E30" i="3072"/>
  <c r="I29" i="3072"/>
  <c r="H29" i="3072"/>
  <c r="J28" i="3072"/>
  <c r="I28" i="3072"/>
  <c r="H28" i="3072"/>
  <c r="E28" i="3072"/>
  <c r="J26" i="3072"/>
  <c r="I26" i="3072"/>
  <c r="H26" i="3072"/>
  <c r="E26" i="3072"/>
  <c r="J25" i="3072"/>
  <c r="I25" i="3072"/>
  <c r="H25" i="3072"/>
  <c r="E25" i="3072"/>
  <c r="J24" i="3072"/>
  <c r="I24" i="3072"/>
  <c r="H24" i="3072"/>
  <c r="E24" i="3072"/>
  <c r="J23" i="3072"/>
  <c r="I23" i="3072"/>
  <c r="H23" i="3072"/>
  <c r="E23" i="3072"/>
  <c r="B23" i="3072" s="1"/>
  <c r="J21" i="3072"/>
  <c r="I21" i="3072"/>
  <c r="H21" i="3072"/>
  <c r="E21" i="3072"/>
  <c r="B21" i="3072" s="1"/>
  <c r="J20" i="3072"/>
  <c r="I20" i="3072"/>
  <c r="H20" i="3072"/>
  <c r="E20" i="3072"/>
  <c r="J19" i="3072"/>
  <c r="I19" i="3072"/>
  <c r="H19" i="3072"/>
  <c r="E19" i="3072"/>
  <c r="J18" i="3072"/>
  <c r="I18" i="3072"/>
  <c r="H18" i="3072"/>
  <c r="E18" i="3072"/>
  <c r="B18" i="3072" s="1"/>
  <c r="J17" i="3072"/>
  <c r="I17" i="3072"/>
  <c r="H17" i="3072"/>
  <c r="E17" i="3072"/>
  <c r="K17" i="3072" s="1"/>
  <c r="C17" i="3072" s="1"/>
  <c r="J16" i="3072"/>
  <c r="I16" i="3072"/>
  <c r="H16" i="3072"/>
  <c r="E16" i="3072"/>
  <c r="J15" i="3072"/>
  <c r="I15" i="3072"/>
  <c r="H15" i="3072"/>
  <c r="E15" i="3072"/>
  <c r="K15" i="3072" s="1"/>
  <c r="C15" i="3072" s="1"/>
  <c r="J14" i="3072"/>
  <c r="I14" i="3072"/>
  <c r="H14" i="3072"/>
  <c r="E14" i="3072"/>
  <c r="J13" i="3072"/>
  <c r="I13" i="3072"/>
  <c r="H13" i="3072"/>
  <c r="E13" i="3072"/>
  <c r="K13" i="3072" s="1"/>
  <c r="C13" i="3072" s="1"/>
  <c r="J12" i="3072"/>
  <c r="I12" i="3072"/>
  <c r="H12" i="3072"/>
  <c r="E12" i="3072"/>
  <c r="J11" i="3072"/>
  <c r="I11" i="3072"/>
  <c r="H11" i="3072"/>
  <c r="E11" i="3072"/>
  <c r="J10" i="3072"/>
  <c r="I10" i="3072"/>
  <c r="H10" i="3072"/>
  <c r="E10" i="3072"/>
  <c r="J9" i="3072"/>
  <c r="I9" i="3072"/>
  <c r="H9" i="3072"/>
  <c r="E9" i="3072"/>
  <c r="J8" i="3072"/>
  <c r="I8" i="3072"/>
  <c r="H8" i="3072"/>
  <c r="E8" i="3072"/>
  <c r="G1" i="3072"/>
  <c r="A8" i="3067"/>
  <c r="G8" i="3067" s="1"/>
  <c r="H8" i="3067"/>
  <c r="I8" i="3067"/>
  <c r="J8" i="3067"/>
  <c r="B20" i="3072" l="1"/>
  <c r="A20" i="3072"/>
  <c r="H4" i="3076"/>
  <c r="A16" i="3075"/>
  <c r="A17" i="3075" s="1"/>
  <c r="G8" i="3072"/>
  <c r="A9" i="3072"/>
  <c r="G15" i="3076"/>
  <c r="G10" i="3077"/>
  <c r="J4" i="3077"/>
  <c r="G13" i="3077"/>
  <c r="I78" i="3078"/>
  <c r="G78" i="3078" s="1"/>
  <c r="G14" i="3078"/>
  <c r="G11" i="3078"/>
  <c r="J4" i="3074"/>
  <c r="J4" i="3075"/>
  <c r="L4" i="3075"/>
  <c r="D4" i="3075"/>
  <c r="F4" i="3075"/>
  <c r="G13" i="3075"/>
  <c r="G9" i="3069"/>
  <c r="G9" i="3073"/>
  <c r="L64" i="3072"/>
  <c r="K19" i="3072"/>
  <c r="C19" i="3072" s="1"/>
  <c r="C24" i="3072"/>
  <c r="K25" i="3072"/>
  <c r="K26" i="3072"/>
  <c r="K30" i="3072"/>
  <c r="B31" i="3072"/>
  <c r="B33" i="3072"/>
  <c r="K35" i="3072"/>
  <c r="B37" i="3072"/>
  <c r="B38" i="3072"/>
  <c r="I62" i="3072"/>
  <c r="H69" i="3072"/>
  <c r="G65" i="3072"/>
  <c r="L65" i="3072" s="1"/>
  <c r="B8" i="3072"/>
  <c r="K8" i="3072" s="1"/>
  <c r="C8" i="3072" s="1"/>
  <c r="B11" i="3072"/>
  <c r="K11" i="3072" s="1"/>
  <c r="C11" i="3072" s="1"/>
  <c r="B12" i="3072"/>
  <c r="K12" i="3072" s="1"/>
  <c r="C12" i="3072" s="1"/>
  <c r="G50" i="3072"/>
  <c r="H65" i="3072"/>
  <c r="F68" i="3072"/>
  <c r="K68" i="3072" s="1"/>
  <c r="L73" i="3072"/>
  <c r="C41" i="3073"/>
  <c r="C42" i="3072"/>
  <c r="H4" i="3077"/>
  <c r="H78" i="3078"/>
  <c r="I79" i="3077"/>
  <c r="B4" i="3077"/>
  <c r="G16" i="3078"/>
  <c r="D4" i="3077"/>
  <c r="J4" i="3078"/>
  <c r="B4" i="3076"/>
  <c r="L4" i="3076"/>
  <c r="D4" i="3076"/>
  <c r="F4" i="3076"/>
  <c r="G15" i="3074"/>
  <c r="I74" i="3076"/>
  <c r="G18" i="3076"/>
  <c r="I76" i="3074"/>
  <c r="G16" i="3074"/>
  <c r="I79" i="3075"/>
  <c r="H4" i="3075"/>
  <c r="B9" i="3072"/>
  <c r="K9" i="3072" s="1"/>
  <c r="C9" i="3072" s="1"/>
  <c r="K16" i="3072"/>
  <c r="C16" i="3072" s="1"/>
  <c r="K34" i="3072"/>
  <c r="B39" i="3072"/>
  <c r="C41" i="3072"/>
  <c r="G10" i="3073"/>
  <c r="K23" i="3073"/>
  <c r="C23" i="3073" s="1"/>
  <c r="C8" i="3073"/>
  <c r="K19" i="3073"/>
  <c r="B12" i="3073"/>
  <c r="K12" i="3073" s="1"/>
  <c r="C12" i="3073" s="1"/>
  <c r="C16" i="3073"/>
  <c r="B28" i="3073"/>
  <c r="K28" i="3073" s="1"/>
  <c r="C40" i="3073"/>
  <c r="L70" i="3073"/>
  <c r="I73" i="3073"/>
  <c r="L62" i="3073"/>
  <c r="H66" i="3073"/>
  <c r="F69" i="3073"/>
  <c r="K69" i="3073" s="1"/>
  <c r="G11" i="3073"/>
  <c r="G69" i="3073"/>
  <c r="L69" i="3073" s="1"/>
  <c r="K65" i="3073"/>
  <c r="G66" i="3073"/>
  <c r="L66" i="3073" s="1"/>
  <c r="F68" i="3073"/>
  <c r="K68" i="3073" s="1"/>
  <c r="K73" i="3073"/>
  <c r="L73" i="3073"/>
  <c r="H66" i="3072"/>
  <c r="G68" i="3072"/>
  <c r="L68" i="3072" s="1"/>
  <c r="K72" i="3072"/>
  <c r="I73" i="3072"/>
  <c r="G69" i="3072"/>
  <c r="L69" i="3072" s="1"/>
  <c r="K62" i="3073"/>
  <c r="B9" i="3073"/>
  <c r="K9" i="3073" s="1"/>
  <c r="C9" i="3073" s="1"/>
  <c r="K13" i="3073"/>
  <c r="C13" i="3073" s="1"/>
  <c r="K17" i="3073"/>
  <c r="K21" i="3073"/>
  <c r="B25" i="3073"/>
  <c r="K25" i="3073" s="1"/>
  <c r="B29" i="3073"/>
  <c r="K29" i="3073" s="1"/>
  <c r="K46" i="3073"/>
  <c r="K63" i="3073"/>
  <c r="G64" i="3073"/>
  <c r="L64" i="3073" s="1"/>
  <c r="I66" i="3073"/>
  <c r="K67" i="3073"/>
  <c r="G68" i="3073"/>
  <c r="L68" i="3073" s="1"/>
  <c r="I70" i="3073"/>
  <c r="K71" i="3073"/>
  <c r="L72" i="3073"/>
  <c r="B10" i="3073"/>
  <c r="K10" i="3073" s="1"/>
  <c r="C10" i="3073" s="1"/>
  <c r="K14" i="3073"/>
  <c r="C14" i="3073" s="1"/>
  <c r="K18" i="3073"/>
  <c r="B22" i="3073"/>
  <c r="K22" i="3073" s="1"/>
  <c r="B26" i="3073"/>
  <c r="K26" i="3073" s="1"/>
  <c r="B30" i="3073"/>
  <c r="K30" i="3073" s="1"/>
  <c r="B34" i="3073"/>
  <c r="K34" i="3073" s="1"/>
  <c r="B38" i="3073"/>
  <c r="K38" i="3073" s="1"/>
  <c r="B42" i="3073"/>
  <c r="L63" i="3073"/>
  <c r="H64" i="3073"/>
  <c r="L67" i="3073"/>
  <c r="H68" i="3073"/>
  <c r="L71" i="3073"/>
  <c r="L62" i="3072"/>
  <c r="I67" i="3072"/>
  <c r="K63" i="3072"/>
  <c r="K71" i="3072"/>
  <c r="K28" i="3072"/>
  <c r="K32" i="3072"/>
  <c r="K40" i="3072"/>
  <c r="C40" i="3072" s="1"/>
  <c r="L63" i="3072"/>
  <c r="I64" i="3072"/>
  <c r="I65" i="3072"/>
  <c r="F66" i="3072"/>
  <c r="K66" i="3072" s="1"/>
  <c r="G67" i="3072"/>
  <c r="L67" i="3072" s="1"/>
  <c r="H68" i="3072"/>
  <c r="I69" i="3072"/>
  <c r="K70" i="3072"/>
  <c r="L71" i="3072"/>
  <c r="K47" i="3072"/>
  <c r="F67" i="3072"/>
  <c r="K67" i="3072" s="1"/>
  <c r="B10" i="3072"/>
  <c r="K10" i="3072" s="1"/>
  <c r="C10" i="3072" s="1"/>
  <c r="K14" i="3072"/>
  <c r="C14" i="3072" s="1"/>
  <c r="D46" i="3072"/>
  <c r="C46" i="3072" s="1"/>
  <c r="D47" i="3072"/>
  <c r="C47" i="3072" s="1"/>
  <c r="D105" i="3071"/>
  <c r="D103" i="3071"/>
  <c r="F103" i="3071" s="1"/>
  <c r="D102" i="3071"/>
  <c r="F102" i="3071" s="1"/>
  <c r="D101" i="3071"/>
  <c r="F101" i="3071" s="1"/>
  <c r="D100" i="3071"/>
  <c r="F100" i="3071" s="1"/>
  <c r="D99" i="3071"/>
  <c r="F99" i="3071" s="1"/>
  <c r="D98" i="3071"/>
  <c r="F98" i="3071" s="1"/>
  <c r="D97" i="3071"/>
  <c r="F97" i="3071" s="1"/>
  <c r="D96" i="3071"/>
  <c r="F96" i="3071" s="1"/>
  <c r="D95" i="3071"/>
  <c r="F95" i="3071" s="1"/>
  <c r="D94" i="3071"/>
  <c r="F94" i="3071" s="1"/>
  <c r="D93" i="3071"/>
  <c r="F93" i="3071" s="1"/>
  <c r="D92" i="3071"/>
  <c r="F92" i="3071" s="1"/>
  <c r="D91" i="3071"/>
  <c r="F91" i="3071" s="1"/>
  <c r="D90" i="3071"/>
  <c r="F90" i="3071" s="1"/>
  <c r="D89" i="3071"/>
  <c r="F89" i="3071" s="1"/>
  <c r="D88" i="3071"/>
  <c r="F88" i="3071" s="1"/>
  <c r="D87" i="3071"/>
  <c r="F87" i="3071" s="1"/>
  <c r="D86" i="3071"/>
  <c r="F86" i="3071" s="1"/>
  <c r="D85" i="3071"/>
  <c r="F85" i="3071" s="1"/>
  <c r="D84" i="3071"/>
  <c r="F84" i="3071" s="1"/>
  <c r="D83" i="3071"/>
  <c r="F83" i="3071" s="1"/>
  <c r="D82" i="3071"/>
  <c r="F82" i="3071" s="1"/>
  <c r="I77" i="3071"/>
  <c r="I76" i="3071"/>
  <c r="I75" i="3071"/>
  <c r="I74" i="3071"/>
  <c r="E73" i="3071"/>
  <c r="E72" i="3071"/>
  <c r="L72" i="3071" s="1"/>
  <c r="E71" i="3071"/>
  <c r="E70" i="3071"/>
  <c r="L70" i="3071" s="1"/>
  <c r="E69" i="3071"/>
  <c r="L68" i="3071"/>
  <c r="E68" i="3071"/>
  <c r="K68" i="3071" s="1"/>
  <c r="E67" i="3071"/>
  <c r="E66" i="3071"/>
  <c r="L66" i="3071" s="1"/>
  <c r="E65" i="3071"/>
  <c r="E64" i="3071"/>
  <c r="G64" i="3071" s="1"/>
  <c r="L64" i="3071" s="1"/>
  <c r="E63" i="3071"/>
  <c r="H63" i="3071" s="1"/>
  <c r="E62" i="3071"/>
  <c r="J41" i="3071"/>
  <c r="I41" i="3071"/>
  <c r="C41" i="3071"/>
  <c r="J39" i="3071"/>
  <c r="I39" i="3071"/>
  <c r="J38" i="3071"/>
  <c r="I38" i="3071"/>
  <c r="J35" i="3071"/>
  <c r="I35" i="3071"/>
  <c r="J34" i="3071"/>
  <c r="I34" i="3071"/>
  <c r="J33" i="3071"/>
  <c r="I33" i="3071"/>
  <c r="J32" i="3071"/>
  <c r="I32" i="3071"/>
  <c r="J31" i="3071"/>
  <c r="I31" i="3071"/>
  <c r="J30" i="3071"/>
  <c r="I30" i="3071"/>
  <c r="J27" i="3071"/>
  <c r="I27" i="3071"/>
  <c r="E27" i="3071"/>
  <c r="K27" i="3071" s="1"/>
  <c r="J26" i="3071"/>
  <c r="I26" i="3071"/>
  <c r="H26" i="3071"/>
  <c r="E26" i="3071"/>
  <c r="K26" i="3071" s="1"/>
  <c r="J25" i="3071"/>
  <c r="I25" i="3071"/>
  <c r="H25" i="3071"/>
  <c r="E25" i="3071"/>
  <c r="C25" i="3071" s="1"/>
  <c r="J24" i="3071"/>
  <c r="I24" i="3071"/>
  <c r="H24" i="3071"/>
  <c r="E24" i="3071"/>
  <c r="B24" i="3071" s="1"/>
  <c r="J22" i="3071"/>
  <c r="I22" i="3071"/>
  <c r="H22" i="3071"/>
  <c r="E22" i="3071"/>
  <c r="B22" i="3071" s="1"/>
  <c r="J21" i="3071"/>
  <c r="I21" i="3071"/>
  <c r="H21" i="3071"/>
  <c r="E21" i="3071"/>
  <c r="K21" i="3071" s="1"/>
  <c r="J20" i="3071"/>
  <c r="I20" i="3071"/>
  <c r="H20" i="3071"/>
  <c r="E20" i="3071"/>
  <c r="B20" i="3071" s="1"/>
  <c r="J19" i="3071"/>
  <c r="I19" i="3071"/>
  <c r="H19" i="3071"/>
  <c r="E19" i="3071"/>
  <c r="J18" i="3071"/>
  <c r="I18" i="3071"/>
  <c r="H18" i="3071"/>
  <c r="E18" i="3071"/>
  <c r="C18" i="3071" s="1"/>
  <c r="J17" i="3071"/>
  <c r="I17" i="3071"/>
  <c r="H17" i="3071"/>
  <c r="E17" i="3071"/>
  <c r="I16" i="3071"/>
  <c r="H16" i="3071"/>
  <c r="I15" i="3071"/>
  <c r="H15" i="3071"/>
  <c r="J12" i="3071"/>
  <c r="I12" i="3071"/>
  <c r="H12" i="3071"/>
  <c r="J11" i="3071"/>
  <c r="I11" i="3071"/>
  <c r="H11" i="3071"/>
  <c r="E11" i="3071"/>
  <c r="B11" i="3071" s="1"/>
  <c r="K11" i="3071" s="1"/>
  <c r="J8" i="3071"/>
  <c r="I8" i="3071"/>
  <c r="H8" i="3071"/>
  <c r="G8" i="3071"/>
  <c r="G1" i="3071"/>
  <c r="D106" i="3070"/>
  <c r="D104" i="3070"/>
  <c r="F104" i="3070" s="1"/>
  <c r="D103" i="3070"/>
  <c r="F103" i="3070" s="1"/>
  <c r="D102" i="3070"/>
  <c r="F102" i="3070" s="1"/>
  <c r="D101" i="3070"/>
  <c r="F101" i="3070" s="1"/>
  <c r="D100" i="3070"/>
  <c r="F100" i="3070" s="1"/>
  <c r="D99" i="3070"/>
  <c r="F99" i="3070" s="1"/>
  <c r="D98" i="3070"/>
  <c r="F98" i="3070" s="1"/>
  <c r="D97" i="3070"/>
  <c r="F97" i="3070" s="1"/>
  <c r="D96" i="3070"/>
  <c r="F96" i="3070" s="1"/>
  <c r="D95" i="3070"/>
  <c r="F95" i="3070" s="1"/>
  <c r="D94" i="3070"/>
  <c r="F94" i="3070" s="1"/>
  <c r="D93" i="3070"/>
  <c r="F93" i="3070" s="1"/>
  <c r="D92" i="3070"/>
  <c r="F92" i="3070" s="1"/>
  <c r="D91" i="3070"/>
  <c r="F91" i="3070" s="1"/>
  <c r="D90" i="3070"/>
  <c r="F90" i="3070" s="1"/>
  <c r="D89" i="3070"/>
  <c r="F89" i="3070" s="1"/>
  <c r="D88" i="3070"/>
  <c r="F88" i="3070" s="1"/>
  <c r="D87" i="3070"/>
  <c r="F87" i="3070" s="1"/>
  <c r="D86" i="3070"/>
  <c r="F86" i="3070" s="1"/>
  <c r="D85" i="3070"/>
  <c r="F85" i="3070" s="1"/>
  <c r="D84" i="3070"/>
  <c r="F84" i="3070" s="1"/>
  <c r="D83" i="3070"/>
  <c r="F83" i="3070" s="1"/>
  <c r="I78" i="3070"/>
  <c r="I77" i="3070"/>
  <c r="I76" i="3070"/>
  <c r="I75" i="3070"/>
  <c r="E74" i="3070"/>
  <c r="F74" i="3070" s="1"/>
  <c r="K74" i="3070" s="1"/>
  <c r="E73" i="3070"/>
  <c r="F73" i="3070" s="1"/>
  <c r="K73" i="3070" s="1"/>
  <c r="E72" i="3070"/>
  <c r="H72" i="3070" s="1"/>
  <c r="E71" i="3070"/>
  <c r="I71" i="3070" s="1"/>
  <c r="E70" i="3070"/>
  <c r="K70" i="3070" s="1"/>
  <c r="E69" i="3070"/>
  <c r="I69" i="3070" s="1"/>
  <c r="E68" i="3070"/>
  <c r="E67" i="3070"/>
  <c r="E66" i="3070"/>
  <c r="K66" i="3070" s="1"/>
  <c r="E65" i="3070"/>
  <c r="K65" i="3070" s="1"/>
  <c r="E64" i="3070"/>
  <c r="E63" i="3070"/>
  <c r="L63" i="3070" s="1"/>
  <c r="K43" i="3070"/>
  <c r="J43" i="3070"/>
  <c r="I43" i="3070"/>
  <c r="H43" i="3070"/>
  <c r="E43" i="3070"/>
  <c r="C43" i="3070" s="1"/>
  <c r="K42" i="3070"/>
  <c r="J42" i="3070"/>
  <c r="I42" i="3070"/>
  <c r="H42" i="3070"/>
  <c r="E42" i="3070"/>
  <c r="C42" i="3070" s="1"/>
  <c r="I41" i="3070"/>
  <c r="H41" i="3070"/>
  <c r="I40" i="3070"/>
  <c r="H40" i="3070"/>
  <c r="J36" i="3070"/>
  <c r="I36" i="3070"/>
  <c r="H36" i="3070"/>
  <c r="E36" i="3070"/>
  <c r="I35" i="3070"/>
  <c r="H35" i="3070"/>
  <c r="I34" i="3070"/>
  <c r="H34" i="3070"/>
  <c r="E34" i="3070"/>
  <c r="B34" i="3070" s="1"/>
  <c r="J31" i="3070"/>
  <c r="I31" i="3070"/>
  <c r="H31" i="3070"/>
  <c r="J33" i="3070"/>
  <c r="I33" i="3070"/>
  <c r="H33" i="3070"/>
  <c r="E33" i="3070"/>
  <c r="J32" i="3070"/>
  <c r="I32" i="3070"/>
  <c r="H32" i="3070"/>
  <c r="E32" i="3070"/>
  <c r="K32" i="3070" s="1"/>
  <c r="J30" i="3070"/>
  <c r="I30" i="3070"/>
  <c r="H30" i="3070"/>
  <c r="E30" i="3070"/>
  <c r="K30" i="3070" s="1"/>
  <c r="J29" i="3070"/>
  <c r="I29" i="3070"/>
  <c r="H29" i="3070"/>
  <c r="E29" i="3070"/>
  <c r="K29" i="3070" s="1"/>
  <c r="J28" i="3070"/>
  <c r="I28" i="3070"/>
  <c r="H28" i="3070"/>
  <c r="J26" i="3070"/>
  <c r="I26" i="3070"/>
  <c r="H26" i="3070"/>
  <c r="E26" i="3070"/>
  <c r="J25" i="3070"/>
  <c r="I25" i="3070"/>
  <c r="H25" i="3070"/>
  <c r="E25" i="3070"/>
  <c r="B25" i="3070" s="1"/>
  <c r="J24" i="3070"/>
  <c r="I24" i="3070"/>
  <c r="H24" i="3070"/>
  <c r="E24" i="3070"/>
  <c r="B24" i="3070" s="1"/>
  <c r="J23" i="3070"/>
  <c r="I23" i="3070"/>
  <c r="H23" i="3070"/>
  <c r="E23" i="3070"/>
  <c r="J21" i="3070"/>
  <c r="I21" i="3070"/>
  <c r="H21" i="3070"/>
  <c r="E21" i="3070"/>
  <c r="B21" i="3070" s="1"/>
  <c r="J20" i="3070"/>
  <c r="I20" i="3070"/>
  <c r="H20" i="3070"/>
  <c r="E20" i="3070"/>
  <c r="C20" i="3070" s="1"/>
  <c r="I19" i="3070"/>
  <c r="H19" i="3070"/>
  <c r="J18" i="3070"/>
  <c r="I18" i="3070"/>
  <c r="H18" i="3070"/>
  <c r="E18" i="3070"/>
  <c r="J16" i="3070"/>
  <c r="I16" i="3070"/>
  <c r="H16" i="3070"/>
  <c r="E16" i="3070"/>
  <c r="K16" i="3070" s="1"/>
  <c r="C16" i="3070" s="1"/>
  <c r="I17" i="3070"/>
  <c r="H17" i="3070"/>
  <c r="J15" i="3070"/>
  <c r="I15" i="3070"/>
  <c r="H15" i="3070"/>
  <c r="E15" i="3070"/>
  <c r="J14" i="3070"/>
  <c r="I14" i="3070"/>
  <c r="H14" i="3070"/>
  <c r="E14" i="3070"/>
  <c r="J10" i="3070"/>
  <c r="I10" i="3070"/>
  <c r="H10" i="3070"/>
  <c r="E10" i="3070"/>
  <c r="B10" i="3070" s="1"/>
  <c r="K10" i="3070" s="1"/>
  <c r="C10" i="3070" s="1"/>
  <c r="J13" i="3070"/>
  <c r="I13" i="3070"/>
  <c r="H13" i="3070"/>
  <c r="E13" i="3070"/>
  <c r="B13" i="3070" s="1"/>
  <c r="J9" i="3070"/>
  <c r="I9" i="3070"/>
  <c r="H9" i="3070"/>
  <c r="E9" i="3070"/>
  <c r="B9" i="3070" s="1"/>
  <c r="K9" i="3070" s="1"/>
  <c r="J11" i="3070"/>
  <c r="I11" i="3070"/>
  <c r="H11" i="3070"/>
  <c r="E11" i="3070"/>
  <c r="J12" i="3070"/>
  <c r="I12" i="3070"/>
  <c r="H12" i="3070"/>
  <c r="E12" i="3070"/>
  <c r="B12" i="3070" s="1"/>
  <c r="K12" i="3070" s="1"/>
  <c r="C12" i="3070" s="1"/>
  <c r="J8" i="3070"/>
  <c r="I8" i="3070"/>
  <c r="H8" i="3070"/>
  <c r="E8" i="3070"/>
  <c r="G1" i="3070"/>
  <c r="D104" i="3069"/>
  <c r="D102" i="3069"/>
  <c r="F102" i="3069" s="1"/>
  <c r="D101" i="3069"/>
  <c r="F101" i="3069" s="1"/>
  <c r="D100" i="3069"/>
  <c r="F100" i="3069" s="1"/>
  <c r="D99" i="3069"/>
  <c r="F99" i="3069" s="1"/>
  <c r="D98" i="3069"/>
  <c r="F98" i="3069" s="1"/>
  <c r="D97" i="3069"/>
  <c r="F97" i="3069" s="1"/>
  <c r="D96" i="3069"/>
  <c r="F96" i="3069" s="1"/>
  <c r="D95" i="3069"/>
  <c r="F95" i="3069" s="1"/>
  <c r="D94" i="3069"/>
  <c r="F94" i="3069" s="1"/>
  <c r="D93" i="3069"/>
  <c r="F93" i="3069" s="1"/>
  <c r="D92" i="3069"/>
  <c r="F92" i="3069" s="1"/>
  <c r="D91" i="3069"/>
  <c r="F91" i="3069" s="1"/>
  <c r="D90" i="3069"/>
  <c r="F90" i="3069" s="1"/>
  <c r="D89" i="3069"/>
  <c r="F89" i="3069" s="1"/>
  <c r="D88" i="3069"/>
  <c r="F88" i="3069" s="1"/>
  <c r="D87" i="3069"/>
  <c r="F87" i="3069" s="1"/>
  <c r="D86" i="3069"/>
  <c r="F86" i="3069" s="1"/>
  <c r="D85" i="3069"/>
  <c r="F85" i="3069" s="1"/>
  <c r="D84" i="3069"/>
  <c r="F84" i="3069" s="1"/>
  <c r="D83" i="3069"/>
  <c r="F83" i="3069" s="1"/>
  <c r="D82" i="3069"/>
  <c r="F82" i="3069" s="1"/>
  <c r="D81" i="3069"/>
  <c r="F81" i="3069" s="1"/>
  <c r="I76" i="3069"/>
  <c r="I75" i="3069"/>
  <c r="I74" i="3069"/>
  <c r="I73" i="3069"/>
  <c r="E72" i="3069"/>
  <c r="K72" i="3069" s="1"/>
  <c r="E71" i="3069"/>
  <c r="K71" i="3069" s="1"/>
  <c r="E70" i="3069"/>
  <c r="K69" i="3069"/>
  <c r="E69" i="3069"/>
  <c r="E68" i="3069"/>
  <c r="F68" i="3069" s="1"/>
  <c r="K68" i="3069" s="1"/>
  <c r="E67" i="3069"/>
  <c r="E66" i="3069"/>
  <c r="H66" i="3069" s="1"/>
  <c r="E65" i="3069"/>
  <c r="I65" i="3069" s="1"/>
  <c r="L64" i="3069"/>
  <c r="E64" i="3069"/>
  <c r="K64" i="3069" s="1"/>
  <c r="E63" i="3069"/>
  <c r="K63" i="3069" s="1"/>
  <c r="E62" i="3069"/>
  <c r="E61" i="3069"/>
  <c r="K41" i="3069"/>
  <c r="J41" i="3069"/>
  <c r="I41" i="3069"/>
  <c r="H41" i="3069"/>
  <c r="E41" i="3069"/>
  <c r="B41" i="3069" s="1"/>
  <c r="J40" i="3069"/>
  <c r="I40" i="3069"/>
  <c r="H40" i="3069"/>
  <c r="E40" i="3069"/>
  <c r="J39" i="3069"/>
  <c r="I39" i="3069"/>
  <c r="H39" i="3069"/>
  <c r="I38" i="3069"/>
  <c r="H38" i="3069"/>
  <c r="J37" i="3069"/>
  <c r="I37" i="3069"/>
  <c r="H37" i="3069"/>
  <c r="E37" i="3069"/>
  <c r="J36" i="3069"/>
  <c r="I36" i="3069"/>
  <c r="H36" i="3069"/>
  <c r="E36" i="3069"/>
  <c r="I35" i="3069"/>
  <c r="H35" i="3069"/>
  <c r="J34" i="3069"/>
  <c r="I34" i="3069"/>
  <c r="H34" i="3069"/>
  <c r="J33" i="3069"/>
  <c r="I33" i="3069"/>
  <c r="H33" i="3069"/>
  <c r="J32" i="3069"/>
  <c r="I32" i="3069"/>
  <c r="H32" i="3069"/>
  <c r="J31" i="3069"/>
  <c r="I31" i="3069"/>
  <c r="H31" i="3069"/>
  <c r="B31" i="3069"/>
  <c r="J30" i="3069"/>
  <c r="I30" i="3069"/>
  <c r="H30" i="3069"/>
  <c r="J29" i="3069"/>
  <c r="I29" i="3069"/>
  <c r="H29" i="3069"/>
  <c r="J28" i="3069"/>
  <c r="I28" i="3069"/>
  <c r="H28" i="3069"/>
  <c r="J27" i="3069"/>
  <c r="I27" i="3069"/>
  <c r="H27" i="3069"/>
  <c r="K27" i="3069"/>
  <c r="I26" i="3069"/>
  <c r="H26" i="3069"/>
  <c r="J25" i="3069"/>
  <c r="I25" i="3069"/>
  <c r="H25" i="3069"/>
  <c r="J24" i="3069"/>
  <c r="I24" i="3069"/>
  <c r="H24" i="3069"/>
  <c r="J23" i="3069"/>
  <c r="I23" i="3069"/>
  <c r="H23" i="3069"/>
  <c r="J22" i="3069"/>
  <c r="I22" i="3069"/>
  <c r="H22" i="3069"/>
  <c r="J21" i="3069"/>
  <c r="I21" i="3069"/>
  <c r="H21" i="3069"/>
  <c r="J20" i="3069"/>
  <c r="I20" i="3069"/>
  <c r="H20" i="3069"/>
  <c r="J19" i="3069"/>
  <c r="I19" i="3069"/>
  <c r="H19" i="3069"/>
  <c r="B19" i="3069"/>
  <c r="K19" i="3069" s="1"/>
  <c r="J18" i="3069"/>
  <c r="I18" i="3069"/>
  <c r="H18" i="3069"/>
  <c r="J17" i="3069"/>
  <c r="I17" i="3069"/>
  <c r="H17" i="3069"/>
  <c r="J16" i="3069"/>
  <c r="I16" i="3069"/>
  <c r="H16" i="3069"/>
  <c r="J15" i="3069"/>
  <c r="I15" i="3069"/>
  <c r="H15" i="3069"/>
  <c r="K15" i="3069"/>
  <c r="J14" i="3069"/>
  <c r="I14" i="3069"/>
  <c r="H14" i="3069"/>
  <c r="J11" i="3069"/>
  <c r="I11" i="3069"/>
  <c r="H11" i="3069"/>
  <c r="E11" i="3069"/>
  <c r="J8" i="3069"/>
  <c r="I8" i="3069"/>
  <c r="H8" i="3069"/>
  <c r="E8" i="3069"/>
  <c r="G1" i="3069"/>
  <c r="D104" i="3068"/>
  <c r="D102" i="3068"/>
  <c r="F102" i="3068" s="1"/>
  <c r="D101" i="3068"/>
  <c r="F101" i="3068" s="1"/>
  <c r="D100" i="3068"/>
  <c r="F100" i="3068" s="1"/>
  <c r="D99" i="3068"/>
  <c r="F99" i="3068" s="1"/>
  <c r="D98" i="3068"/>
  <c r="F98" i="3068" s="1"/>
  <c r="D97" i="3068"/>
  <c r="F97" i="3068" s="1"/>
  <c r="D96" i="3068"/>
  <c r="F96" i="3068" s="1"/>
  <c r="D95" i="3068"/>
  <c r="F95" i="3068" s="1"/>
  <c r="D94" i="3068"/>
  <c r="F94" i="3068" s="1"/>
  <c r="D93" i="3068"/>
  <c r="F93" i="3068" s="1"/>
  <c r="D92" i="3068"/>
  <c r="F92" i="3068" s="1"/>
  <c r="D91" i="3068"/>
  <c r="F91" i="3068" s="1"/>
  <c r="D90" i="3068"/>
  <c r="F90" i="3068" s="1"/>
  <c r="D89" i="3068"/>
  <c r="F89" i="3068" s="1"/>
  <c r="D88" i="3068"/>
  <c r="F88" i="3068" s="1"/>
  <c r="D87" i="3068"/>
  <c r="F87" i="3068" s="1"/>
  <c r="D86" i="3068"/>
  <c r="F86" i="3068" s="1"/>
  <c r="D85" i="3068"/>
  <c r="F85" i="3068" s="1"/>
  <c r="D84" i="3068"/>
  <c r="F84" i="3068" s="1"/>
  <c r="D83" i="3068"/>
  <c r="F83" i="3068" s="1"/>
  <c r="D82" i="3068"/>
  <c r="F82" i="3068" s="1"/>
  <c r="D81" i="3068"/>
  <c r="F81" i="3068" s="1"/>
  <c r="I76" i="3068"/>
  <c r="I75" i="3068"/>
  <c r="I74" i="3068"/>
  <c r="I73" i="3068"/>
  <c r="E72" i="3068"/>
  <c r="L72" i="3068" s="1"/>
  <c r="E71" i="3068"/>
  <c r="F71" i="3068" s="1"/>
  <c r="K71" i="3068" s="1"/>
  <c r="E70" i="3068"/>
  <c r="L69" i="3068"/>
  <c r="E69" i="3068"/>
  <c r="K69" i="3068" s="1"/>
  <c r="E68" i="3068"/>
  <c r="E67" i="3068"/>
  <c r="K67" i="3068" s="1"/>
  <c r="E66" i="3068"/>
  <c r="E65" i="3068"/>
  <c r="K65" i="3068" s="1"/>
  <c r="H64" i="3068"/>
  <c r="E64" i="3068"/>
  <c r="I64" i="3068" s="1"/>
  <c r="E63" i="3068"/>
  <c r="F63" i="3068" s="1"/>
  <c r="K63" i="3068" s="1"/>
  <c r="E62" i="3068"/>
  <c r="H62" i="3068" s="1"/>
  <c r="E61" i="3068"/>
  <c r="K41" i="3068"/>
  <c r="J41" i="3068"/>
  <c r="I41" i="3068"/>
  <c r="H41" i="3068"/>
  <c r="J40" i="3068"/>
  <c r="I40" i="3068"/>
  <c r="H40" i="3068"/>
  <c r="E40" i="3068"/>
  <c r="J39" i="3068"/>
  <c r="I39" i="3068"/>
  <c r="H39" i="3068"/>
  <c r="J37" i="3068"/>
  <c r="I37" i="3068"/>
  <c r="H37" i="3068"/>
  <c r="J36" i="3068"/>
  <c r="I36" i="3068"/>
  <c r="H36" i="3068"/>
  <c r="J35" i="3068"/>
  <c r="I35" i="3068"/>
  <c r="H35" i="3068"/>
  <c r="J34" i="3068"/>
  <c r="I34" i="3068"/>
  <c r="H34" i="3068"/>
  <c r="J33" i="3068"/>
  <c r="I33" i="3068"/>
  <c r="H33" i="3068"/>
  <c r="E33" i="3068"/>
  <c r="J32" i="3068"/>
  <c r="I32" i="3068"/>
  <c r="H32" i="3068"/>
  <c r="J31" i="3068"/>
  <c r="I31" i="3068"/>
  <c r="H31" i="3068"/>
  <c r="J29" i="3068"/>
  <c r="I29" i="3068"/>
  <c r="H29" i="3068"/>
  <c r="J28" i="3068"/>
  <c r="I28" i="3068"/>
  <c r="H28" i="3068"/>
  <c r="J27" i="3068"/>
  <c r="I27" i="3068"/>
  <c r="H27" i="3068"/>
  <c r="J25" i="3068"/>
  <c r="I25" i="3068"/>
  <c r="H25" i="3068"/>
  <c r="E25" i="3068"/>
  <c r="J24" i="3068"/>
  <c r="I24" i="3068"/>
  <c r="H24" i="3068"/>
  <c r="J23" i="3068"/>
  <c r="I23" i="3068"/>
  <c r="H23" i="3068"/>
  <c r="E23" i="3068"/>
  <c r="J22" i="3068"/>
  <c r="I22" i="3068"/>
  <c r="H22" i="3068"/>
  <c r="E22" i="3068"/>
  <c r="J20" i="3068"/>
  <c r="I20" i="3068"/>
  <c r="H20" i="3068"/>
  <c r="E20" i="3068"/>
  <c r="J19" i="3068"/>
  <c r="I19" i="3068"/>
  <c r="H19" i="3068"/>
  <c r="E19" i="3068"/>
  <c r="J18" i="3068"/>
  <c r="I18" i="3068"/>
  <c r="H18" i="3068"/>
  <c r="J17" i="3068"/>
  <c r="I17" i="3068"/>
  <c r="H17" i="3068"/>
  <c r="J16" i="3068"/>
  <c r="I16" i="3068"/>
  <c r="H16" i="3068"/>
  <c r="J15" i="3068"/>
  <c r="I15" i="3068"/>
  <c r="H15" i="3068"/>
  <c r="J13" i="3068"/>
  <c r="I13" i="3068"/>
  <c r="H13" i="3068"/>
  <c r="J12" i="3068"/>
  <c r="I12" i="3068"/>
  <c r="H12" i="3068"/>
  <c r="J11" i="3068"/>
  <c r="I11" i="3068"/>
  <c r="H11" i="3068"/>
  <c r="E11" i="3068"/>
  <c r="G11" i="3068"/>
  <c r="I8" i="3068"/>
  <c r="H8" i="3068"/>
  <c r="G1" i="3068"/>
  <c r="D104" i="3067"/>
  <c r="D102" i="3067"/>
  <c r="F102" i="3067" s="1"/>
  <c r="D101" i="3067"/>
  <c r="F101" i="3067" s="1"/>
  <c r="D100" i="3067"/>
  <c r="F100" i="3067" s="1"/>
  <c r="D99" i="3067"/>
  <c r="F99" i="3067" s="1"/>
  <c r="D98" i="3067"/>
  <c r="F98" i="3067" s="1"/>
  <c r="D97" i="3067"/>
  <c r="F97" i="3067" s="1"/>
  <c r="D96" i="3067"/>
  <c r="F96" i="3067" s="1"/>
  <c r="D95" i="3067"/>
  <c r="F95" i="3067" s="1"/>
  <c r="D94" i="3067"/>
  <c r="F94" i="3067" s="1"/>
  <c r="D93" i="3067"/>
  <c r="F93" i="3067" s="1"/>
  <c r="D92" i="3067"/>
  <c r="F92" i="3067" s="1"/>
  <c r="D91" i="3067"/>
  <c r="F91" i="3067" s="1"/>
  <c r="D90" i="3067"/>
  <c r="F90" i="3067" s="1"/>
  <c r="D89" i="3067"/>
  <c r="F89" i="3067" s="1"/>
  <c r="D88" i="3067"/>
  <c r="F88" i="3067" s="1"/>
  <c r="D87" i="3067"/>
  <c r="F87" i="3067" s="1"/>
  <c r="D86" i="3067"/>
  <c r="F86" i="3067" s="1"/>
  <c r="D85" i="3067"/>
  <c r="F85" i="3067" s="1"/>
  <c r="D84" i="3067"/>
  <c r="F84" i="3067" s="1"/>
  <c r="D83" i="3067"/>
  <c r="F83" i="3067" s="1"/>
  <c r="D82" i="3067"/>
  <c r="F82" i="3067" s="1"/>
  <c r="D81" i="3067"/>
  <c r="F81" i="3067" s="1"/>
  <c r="I76" i="3067"/>
  <c r="I75" i="3067"/>
  <c r="I74" i="3067"/>
  <c r="I73" i="3067"/>
  <c r="E72" i="3067"/>
  <c r="F72" i="3067" s="1"/>
  <c r="K72" i="3067" s="1"/>
  <c r="E71" i="3067"/>
  <c r="K71" i="3067" s="1"/>
  <c r="E70" i="3067"/>
  <c r="H70" i="3067" s="1"/>
  <c r="E69" i="3067"/>
  <c r="I69" i="3067" s="1"/>
  <c r="E68" i="3067"/>
  <c r="K68" i="3067" s="1"/>
  <c r="E67" i="3067"/>
  <c r="E66" i="3067"/>
  <c r="E65" i="3067"/>
  <c r="I65" i="3067" s="1"/>
  <c r="E64" i="3067"/>
  <c r="K64" i="3067" s="1"/>
  <c r="E63" i="3067"/>
  <c r="K63" i="3067" s="1"/>
  <c r="E62" i="3067"/>
  <c r="E61" i="3067"/>
  <c r="K45" i="3067" s="1"/>
  <c r="J41" i="3067"/>
  <c r="I41" i="3067"/>
  <c r="H41" i="3067"/>
  <c r="E41" i="3067"/>
  <c r="C41" i="3067" s="1"/>
  <c r="J40" i="3067"/>
  <c r="I40" i="3067"/>
  <c r="H40" i="3067"/>
  <c r="J39" i="3067"/>
  <c r="I39" i="3067"/>
  <c r="H39" i="3067"/>
  <c r="J38" i="3067"/>
  <c r="I38" i="3067"/>
  <c r="H38" i="3067"/>
  <c r="J36" i="3067"/>
  <c r="I36" i="3067"/>
  <c r="H36" i="3067"/>
  <c r="B36" i="3067"/>
  <c r="J35" i="3067"/>
  <c r="I35" i="3067"/>
  <c r="H35" i="3067"/>
  <c r="J34" i="3067"/>
  <c r="I34" i="3067"/>
  <c r="H34" i="3067"/>
  <c r="J33" i="3067"/>
  <c r="I33" i="3067"/>
  <c r="H33" i="3067"/>
  <c r="J32" i="3067"/>
  <c r="I32" i="3067"/>
  <c r="H32" i="3067"/>
  <c r="K32" i="3067"/>
  <c r="J31" i="3067"/>
  <c r="I31" i="3067"/>
  <c r="H31" i="3067"/>
  <c r="J30" i="3067"/>
  <c r="I30" i="3067"/>
  <c r="H30" i="3067"/>
  <c r="B30" i="3067"/>
  <c r="J27" i="3067"/>
  <c r="I27" i="3067"/>
  <c r="H27" i="3067"/>
  <c r="J25" i="3067"/>
  <c r="I25" i="3067"/>
  <c r="H25" i="3067"/>
  <c r="E25" i="3067"/>
  <c r="J24" i="3067"/>
  <c r="I24" i="3067"/>
  <c r="H24" i="3067"/>
  <c r="J23" i="3067"/>
  <c r="I23" i="3067"/>
  <c r="H23" i="3067"/>
  <c r="E23" i="3067"/>
  <c r="K23" i="3067" s="1"/>
  <c r="C23" i="3067" s="1"/>
  <c r="J22" i="3067"/>
  <c r="I22" i="3067"/>
  <c r="H22" i="3067"/>
  <c r="J20" i="3067"/>
  <c r="I20" i="3067"/>
  <c r="H20" i="3067"/>
  <c r="E20" i="3067"/>
  <c r="J19" i="3067"/>
  <c r="I19" i="3067"/>
  <c r="H19" i="3067"/>
  <c r="E19" i="3067"/>
  <c r="J18" i="3067"/>
  <c r="I18" i="3067"/>
  <c r="H18" i="3067"/>
  <c r="B18" i="3067"/>
  <c r="J17" i="3067"/>
  <c r="I17" i="3067"/>
  <c r="H17" i="3067"/>
  <c r="J15" i="3067"/>
  <c r="I15" i="3067"/>
  <c r="H15" i="3067"/>
  <c r="J14" i="3067"/>
  <c r="I14" i="3067"/>
  <c r="H14" i="3067"/>
  <c r="K14" i="3067"/>
  <c r="C14" i="3067" s="1"/>
  <c r="J13" i="3067"/>
  <c r="I13" i="3067"/>
  <c r="H13" i="3067"/>
  <c r="J12" i="3067"/>
  <c r="I12" i="3067"/>
  <c r="H12" i="3067"/>
  <c r="J11" i="3067"/>
  <c r="I11" i="3067"/>
  <c r="H11" i="3067"/>
  <c r="J10" i="3067"/>
  <c r="I10" i="3067"/>
  <c r="H10" i="3067"/>
  <c r="J9" i="3067"/>
  <c r="I9" i="3067"/>
  <c r="H9" i="3067"/>
  <c r="G9" i="3067"/>
  <c r="G1" i="3067"/>
  <c r="K36" i="3070" l="1"/>
  <c r="C36" i="3070"/>
  <c r="A18" i="3075"/>
  <c r="A19" i="3075" s="1"/>
  <c r="G17" i="3075"/>
  <c r="A10" i="3072"/>
  <c r="G15" i="3077"/>
  <c r="G17" i="3076"/>
  <c r="G19" i="3071"/>
  <c r="G11" i="3071"/>
  <c r="G13" i="3071"/>
  <c r="B10" i="3071"/>
  <c r="K10" i="3071" s="1"/>
  <c r="B9" i="3071"/>
  <c r="K9" i="3071" s="1"/>
  <c r="G14" i="3077"/>
  <c r="B37" i="3070"/>
  <c r="A43" i="3070"/>
  <c r="F78" i="3078"/>
  <c r="G13" i="3078"/>
  <c r="G15" i="3075"/>
  <c r="G62" i="3071"/>
  <c r="L62" i="3071" s="1"/>
  <c r="B12" i="3069"/>
  <c r="C12" i="3069" s="1"/>
  <c r="G13" i="3069"/>
  <c r="G10" i="3069"/>
  <c r="B10" i="3069"/>
  <c r="K10" i="3069" s="1"/>
  <c r="C10" i="3069" s="1"/>
  <c r="B9" i="3069"/>
  <c r="K9" i="3069" s="1"/>
  <c r="C9" i="3069" s="1"/>
  <c r="B39" i="3069"/>
  <c r="B8" i="3069"/>
  <c r="G12" i="3073"/>
  <c r="I72" i="3072"/>
  <c r="G9" i="3072"/>
  <c r="B8" i="3067"/>
  <c r="K8" i="3067" s="1"/>
  <c r="C8" i="3067" s="1"/>
  <c r="A40" i="3066"/>
  <c r="F61" i="3068"/>
  <c r="F64" i="3068"/>
  <c r="K64" i="3068" s="1"/>
  <c r="H73" i="3070"/>
  <c r="H71" i="3070"/>
  <c r="K67" i="3070"/>
  <c r="L70" i="3070"/>
  <c r="G18" i="3078"/>
  <c r="H79" i="3077"/>
  <c r="G79" i="3077"/>
  <c r="F79" i="3077"/>
  <c r="G20" i="3076"/>
  <c r="H74" i="3076"/>
  <c r="G74" i="3076"/>
  <c r="F74" i="3076"/>
  <c r="G18" i="3074"/>
  <c r="G17" i="3074"/>
  <c r="F76" i="3074"/>
  <c r="H76" i="3074"/>
  <c r="G76" i="3074"/>
  <c r="H79" i="3075"/>
  <c r="G79" i="3075"/>
  <c r="F79" i="3075"/>
  <c r="I62" i="3073"/>
  <c r="B4" i="3073"/>
  <c r="G13" i="3073"/>
  <c r="G14" i="3073"/>
  <c r="I69" i="3073"/>
  <c r="F4" i="3073" s="1"/>
  <c r="I65" i="3073"/>
  <c r="I67" i="3073"/>
  <c r="I68" i="3073"/>
  <c r="D4" i="3072"/>
  <c r="I63" i="3072"/>
  <c r="H4" i="3072" s="1"/>
  <c r="G79" i="3072"/>
  <c r="G47" i="3073"/>
  <c r="G79" i="3073"/>
  <c r="I72" i="3073"/>
  <c r="I64" i="3073"/>
  <c r="D4" i="3073" s="1"/>
  <c r="F79" i="3073"/>
  <c r="I71" i="3073"/>
  <c r="I63" i="3073"/>
  <c r="G47" i="3072"/>
  <c r="F4" i="3072"/>
  <c r="K62" i="3072"/>
  <c r="F79" i="3072"/>
  <c r="I66" i="3072"/>
  <c r="B4" i="3072" s="1"/>
  <c r="G46" i="3072"/>
  <c r="I71" i="3072"/>
  <c r="I70" i="3072"/>
  <c r="G49" i="3067"/>
  <c r="L64" i="3067"/>
  <c r="F69" i="3067"/>
  <c r="K69" i="3067" s="1"/>
  <c r="K61" i="3067"/>
  <c r="F65" i="3067"/>
  <c r="K65" i="3067" s="1"/>
  <c r="H69" i="3067"/>
  <c r="K41" i="3067"/>
  <c r="H65" i="3067"/>
  <c r="L68" i="3067"/>
  <c r="G72" i="3067"/>
  <c r="L72" i="3067" s="1"/>
  <c r="B11" i="3067"/>
  <c r="K11" i="3067" s="1"/>
  <c r="C11" i="3067" s="1"/>
  <c r="C11" i="3071"/>
  <c r="K72" i="3071"/>
  <c r="F64" i="3071"/>
  <c r="K64" i="3071" s="1"/>
  <c r="L65" i="3071"/>
  <c r="L73" i="3071"/>
  <c r="C41" i="3069"/>
  <c r="B42" i="3070"/>
  <c r="G12" i="3071"/>
  <c r="H62" i="3071"/>
  <c r="K69" i="3071"/>
  <c r="L69" i="3071"/>
  <c r="G50" i="3071"/>
  <c r="K65" i="3071"/>
  <c r="K73" i="3071"/>
  <c r="I64" i="3071"/>
  <c r="K67" i="3071"/>
  <c r="C17" i="3071"/>
  <c r="G49" i="3071"/>
  <c r="F62" i="3071"/>
  <c r="G63" i="3071"/>
  <c r="L63" i="3071" s="1"/>
  <c r="H64" i="3071"/>
  <c r="K66" i="3071"/>
  <c r="L67" i="3071"/>
  <c r="I68" i="3071"/>
  <c r="K70" i="3071"/>
  <c r="L71" i="3071"/>
  <c r="I72" i="3071"/>
  <c r="I63" i="3071"/>
  <c r="K46" i="3071"/>
  <c r="F63" i="3071"/>
  <c r="K63" i="3071" s="1"/>
  <c r="K71" i="3071"/>
  <c r="D46" i="3071"/>
  <c r="C46" i="3071" s="1"/>
  <c r="K49" i="3071"/>
  <c r="C9" i="3070"/>
  <c r="B8" i="3070"/>
  <c r="K8" i="3070" s="1"/>
  <c r="C8" i="3070" s="1"/>
  <c r="L67" i="3070"/>
  <c r="F69" i="3070"/>
  <c r="K69" i="3070" s="1"/>
  <c r="K63" i="3070"/>
  <c r="L66" i="3070"/>
  <c r="H69" i="3070"/>
  <c r="F71" i="3070"/>
  <c r="K71" i="3070" s="1"/>
  <c r="G74" i="3070"/>
  <c r="L74" i="3070" s="1"/>
  <c r="G71" i="3070"/>
  <c r="L71" i="3070" s="1"/>
  <c r="F4" i="3070"/>
  <c r="I73" i="3070"/>
  <c r="K47" i="3070"/>
  <c r="K64" i="3070"/>
  <c r="L65" i="3070"/>
  <c r="K68" i="3070"/>
  <c r="G69" i="3070"/>
  <c r="L69" i="3070" s="1"/>
  <c r="F72" i="3070"/>
  <c r="K72" i="3070" s="1"/>
  <c r="G73" i="3070"/>
  <c r="L73" i="3070" s="1"/>
  <c r="H74" i="3070"/>
  <c r="B11" i="3070"/>
  <c r="K11" i="3070" s="1"/>
  <c r="C11" i="3070" s="1"/>
  <c r="K14" i="3070"/>
  <c r="C14" i="3070" s="1"/>
  <c r="B18" i="3070"/>
  <c r="B23" i="3070"/>
  <c r="B28" i="3070"/>
  <c r="B33" i="3070"/>
  <c r="B43" i="3070"/>
  <c r="G50" i="3070"/>
  <c r="L64" i="3070"/>
  <c r="L68" i="3070"/>
  <c r="G72" i="3070"/>
  <c r="L72" i="3070" s="1"/>
  <c r="I74" i="3070"/>
  <c r="D47" i="3070"/>
  <c r="C47" i="3070" s="1"/>
  <c r="D48" i="3070"/>
  <c r="C48" i="3070" s="1"/>
  <c r="K50" i="3070"/>
  <c r="F65" i="3069"/>
  <c r="K65" i="3069" s="1"/>
  <c r="H65" i="3069"/>
  <c r="G68" i="3069"/>
  <c r="L68" i="3069" s="1"/>
  <c r="L72" i="3069"/>
  <c r="B11" i="3069"/>
  <c r="K11" i="3069" s="1"/>
  <c r="C11" i="3069" s="1"/>
  <c r="K61" i="3069"/>
  <c r="K17" i="3069"/>
  <c r="K21" i="3069"/>
  <c r="K25" i="3069"/>
  <c r="B29" i="3069"/>
  <c r="B33" i="3069"/>
  <c r="B37" i="3069"/>
  <c r="C15" i="3069"/>
  <c r="K16" i="3069"/>
  <c r="C16" i="3069" s="1"/>
  <c r="K20" i="3069"/>
  <c r="B24" i="3069"/>
  <c r="B28" i="3069"/>
  <c r="B32" i="3069"/>
  <c r="B36" i="3069"/>
  <c r="K40" i="3069"/>
  <c r="G65" i="3069"/>
  <c r="L65" i="3069" s="1"/>
  <c r="K67" i="3069"/>
  <c r="L61" i="3069"/>
  <c r="L69" i="3069"/>
  <c r="I66" i="3069"/>
  <c r="K62" i="3069"/>
  <c r="L63" i="3069"/>
  <c r="I64" i="3069"/>
  <c r="F66" i="3069"/>
  <c r="K66" i="3069" s="1"/>
  <c r="L67" i="3069"/>
  <c r="H68" i="3069"/>
  <c r="K70" i="3069"/>
  <c r="L71" i="3069"/>
  <c r="I72" i="3069"/>
  <c r="K14" i="3069"/>
  <c r="C14" i="3069" s="1"/>
  <c r="K18" i="3069"/>
  <c r="B22" i="3069"/>
  <c r="B30" i="3069"/>
  <c r="K34" i="3069"/>
  <c r="G48" i="3069"/>
  <c r="L62" i="3069"/>
  <c r="G66" i="3069"/>
  <c r="L66" i="3069" s="1"/>
  <c r="I68" i="3069"/>
  <c r="L70" i="3069"/>
  <c r="D46" i="3069"/>
  <c r="C46" i="3069" s="1"/>
  <c r="K48" i="3069"/>
  <c r="G49" i="3068"/>
  <c r="K68" i="3068"/>
  <c r="K72" i="3068"/>
  <c r="G61" i="3068"/>
  <c r="L61" i="3068" s="1"/>
  <c r="L65" i="3068"/>
  <c r="K16" i="3068"/>
  <c r="C16" i="3068" s="1"/>
  <c r="K17" i="3068"/>
  <c r="B20" i="3068"/>
  <c r="K22" i="3068"/>
  <c r="B25" i="3068"/>
  <c r="K27" i="3068"/>
  <c r="B32" i="3068"/>
  <c r="K34" i="3068"/>
  <c r="G12" i="3068"/>
  <c r="G64" i="3068"/>
  <c r="L64" i="3068" s="1"/>
  <c r="I68" i="3068"/>
  <c r="H61" i="3068"/>
  <c r="L68" i="3068"/>
  <c r="K61" i="3068"/>
  <c r="I71" i="3068"/>
  <c r="B11" i="3068"/>
  <c r="K11" i="3068" s="1"/>
  <c r="C11" i="3068" s="1"/>
  <c r="K13" i="3068"/>
  <c r="C13" i="3068" s="1"/>
  <c r="K18" i="3068"/>
  <c r="K23" i="3068"/>
  <c r="C23" i="3068" s="1"/>
  <c r="K28" i="3068"/>
  <c r="K36" i="3068"/>
  <c r="K46" i="3068"/>
  <c r="I61" i="3068"/>
  <c r="F62" i="3068"/>
  <c r="K62" i="3068" s="1"/>
  <c r="G63" i="3068"/>
  <c r="L63" i="3068" s="1"/>
  <c r="I65" i="3068"/>
  <c r="K66" i="3068"/>
  <c r="L67" i="3068"/>
  <c r="I69" i="3068"/>
  <c r="K70" i="3068"/>
  <c r="G71" i="3068"/>
  <c r="L71" i="3068" s="1"/>
  <c r="I72" i="3068"/>
  <c r="B12" i="3068"/>
  <c r="K12" i="3068" s="1"/>
  <c r="C12" i="3068" s="1"/>
  <c r="K15" i="3068"/>
  <c r="C15" i="3068" s="1"/>
  <c r="K19" i="3068"/>
  <c r="B24" i="3068"/>
  <c r="K29" i="3068"/>
  <c r="G62" i="3068"/>
  <c r="L62" i="3068" s="1"/>
  <c r="H63" i="3068"/>
  <c r="L66" i="3068"/>
  <c r="I67" i="3068"/>
  <c r="L70" i="3068"/>
  <c r="H71" i="3068"/>
  <c r="I62" i="3068"/>
  <c r="D45" i="3068"/>
  <c r="C45" i="3068" s="1"/>
  <c r="D46" i="3068"/>
  <c r="C46" i="3068" s="1"/>
  <c r="B9" i="3067"/>
  <c r="K9" i="3067" s="1"/>
  <c r="C9" i="3067" s="1"/>
  <c r="B12" i="3067"/>
  <c r="K12" i="3067" s="1"/>
  <c r="C12" i="3067" s="1"/>
  <c r="K15" i="3067"/>
  <c r="C15" i="3067" s="1"/>
  <c r="K25" i="3067"/>
  <c r="K34" i="3067"/>
  <c r="B39" i="3067"/>
  <c r="G10" i="3067"/>
  <c r="B19" i="3067"/>
  <c r="K24" i="3067"/>
  <c r="B33" i="3067"/>
  <c r="B38" i="3067"/>
  <c r="G65" i="3067"/>
  <c r="L65" i="3067" s="1"/>
  <c r="K67" i="3067"/>
  <c r="L61" i="3067"/>
  <c r="G69" i="3067"/>
  <c r="L69" i="3067" s="1"/>
  <c r="K46" i="3067"/>
  <c r="K62" i="3067"/>
  <c r="L63" i="3067"/>
  <c r="K66" i="3067"/>
  <c r="L67" i="3067"/>
  <c r="F70" i="3067"/>
  <c r="K70" i="3067" s="1"/>
  <c r="L71" i="3067"/>
  <c r="H72" i="3067"/>
  <c r="K13" i="3067"/>
  <c r="C13" i="3067" s="1"/>
  <c r="B27" i="3067"/>
  <c r="B31" i="3067"/>
  <c r="K35" i="3067"/>
  <c r="L62" i="3067"/>
  <c r="L66" i="3067"/>
  <c r="G70" i="3067"/>
  <c r="L70" i="3067" s="1"/>
  <c r="I72" i="3067"/>
  <c r="I70" i="3067"/>
  <c r="B10" i="3067"/>
  <c r="K10" i="3067" s="1"/>
  <c r="C10" i="3067" s="1"/>
  <c r="B17" i="3067"/>
  <c r="D46" i="3067"/>
  <c r="C46" i="3067" s="1"/>
  <c r="K48" i="3067"/>
  <c r="A20" i="3075" l="1"/>
  <c r="A11" i="3072"/>
  <c r="A12" i="3072"/>
  <c r="G10" i="3072"/>
  <c r="G19" i="3076"/>
  <c r="G16" i="3077"/>
  <c r="G15" i="3078"/>
  <c r="G16" i="3075"/>
  <c r="A41" i="3069"/>
  <c r="H4" i="3068"/>
  <c r="I66" i="3070"/>
  <c r="L4" i="3070" s="1"/>
  <c r="I70" i="3070"/>
  <c r="G20" i="3078"/>
  <c r="G19" i="3074"/>
  <c r="G21" i="3074"/>
  <c r="G22" i="3076"/>
  <c r="J4" i="3073"/>
  <c r="L4" i="3073"/>
  <c r="G15" i="3073"/>
  <c r="G16" i="3073"/>
  <c r="H4" i="3073"/>
  <c r="J4" i="3072"/>
  <c r="L4" i="3072"/>
  <c r="I78" i="3073"/>
  <c r="I78" i="3072"/>
  <c r="I68" i="3067"/>
  <c r="I64" i="3067"/>
  <c r="G11" i="3069"/>
  <c r="G11" i="3067"/>
  <c r="I66" i="3071"/>
  <c r="I70" i="3071"/>
  <c r="I73" i="3071"/>
  <c r="L4" i="3071" s="1"/>
  <c r="I67" i="3071"/>
  <c r="I65" i="3071"/>
  <c r="B4" i="3071" s="1"/>
  <c r="I69" i="3071"/>
  <c r="H4" i="3071" s="1"/>
  <c r="G46" i="3071"/>
  <c r="K62" i="3071"/>
  <c r="F79" i="3071"/>
  <c r="I71" i="3071"/>
  <c r="G79" i="3071"/>
  <c r="I62" i="3071"/>
  <c r="I68" i="3070"/>
  <c r="I67" i="3070"/>
  <c r="I63" i="3070"/>
  <c r="B4" i="3070" s="1"/>
  <c r="I72" i="3070"/>
  <c r="G48" i="3070"/>
  <c r="F80" i="3070"/>
  <c r="I65" i="3070"/>
  <c r="G47" i="3070"/>
  <c r="G80" i="3070"/>
  <c r="I64" i="3070"/>
  <c r="I69" i="3069"/>
  <c r="I67" i="3069"/>
  <c r="B4" i="3069" s="1"/>
  <c r="I61" i="3069"/>
  <c r="I70" i="3069"/>
  <c r="I62" i="3069"/>
  <c r="I63" i="3069"/>
  <c r="D4" i="3069" s="1"/>
  <c r="I71" i="3069"/>
  <c r="G78" i="3069"/>
  <c r="G46" i="3069"/>
  <c r="F78" i="3069"/>
  <c r="I66" i="3068"/>
  <c r="B4" i="3068" s="1"/>
  <c r="L4" i="3068"/>
  <c r="G45" i="3068"/>
  <c r="G78" i="3068"/>
  <c r="F4" i="3068"/>
  <c r="I63" i="3068"/>
  <c r="I70" i="3068"/>
  <c r="J4" i="3068" s="1"/>
  <c r="F78" i="3068"/>
  <c r="G46" i="3068"/>
  <c r="I61" i="3067"/>
  <c r="H4" i="3067" s="1"/>
  <c r="I62" i="3067"/>
  <c r="F4" i="3067" s="1"/>
  <c r="I66" i="3067"/>
  <c r="I67" i="3067"/>
  <c r="I63" i="3067"/>
  <c r="G46" i="3067"/>
  <c r="G78" i="3067"/>
  <c r="I71" i="3067"/>
  <c r="F78" i="3067"/>
  <c r="G20" i="3075" l="1"/>
  <c r="A22" i="3075"/>
  <c r="A23" i="3075" s="1"/>
  <c r="G12" i="3072"/>
  <c r="A13" i="3072"/>
  <c r="G11" i="3072"/>
  <c r="G17" i="3077"/>
  <c r="G21" i="3076"/>
  <c r="G18" i="3077"/>
  <c r="D4" i="3070"/>
  <c r="G17" i="3078"/>
  <c r="J4" i="3067"/>
  <c r="G19" i="3075"/>
  <c r="J4" i="3071"/>
  <c r="D4" i="3071"/>
  <c r="D4" i="3067"/>
  <c r="G22" i="3078"/>
  <c r="G19" i="3077"/>
  <c r="G23" i="3074"/>
  <c r="G22" i="3074"/>
  <c r="G24" i="3076"/>
  <c r="G17" i="3073"/>
  <c r="G18" i="3073"/>
  <c r="H78" i="3073"/>
  <c r="G78" i="3073"/>
  <c r="F78" i="3073"/>
  <c r="H78" i="3072"/>
  <c r="F78" i="3072"/>
  <c r="G78" i="3072"/>
  <c r="G12" i="3067"/>
  <c r="G16" i="3071"/>
  <c r="I78" i="3071"/>
  <c r="F4" i="3071"/>
  <c r="G13" i="3070"/>
  <c r="J4" i="3070"/>
  <c r="I79" i="3070"/>
  <c r="H4" i="3070"/>
  <c r="J4" i="3069"/>
  <c r="L4" i="3069"/>
  <c r="F4" i="3069"/>
  <c r="I77" i="3069"/>
  <c r="H4" i="3069"/>
  <c r="D4" i="3068"/>
  <c r="I77" i="3068"/>
  <c r="L4" i="3067"/>
  <c r="B4" i="3067"/>
  <c r="I77" i="3067"/>
  <c r="A25" i="3075" l="1"/>
  <c r="G23" i="3075"/>
  <c r="G13" i="3072"/>
  <c r="A14" i="3072"/>
  <c r="A15" i="3072" s="1"/>
  <c r="G23" i="3076"/>
  <c r="G20" i="3077"/>
  <c r="G19" i="3078"/>
  <c r="G21" i="3077"/>
  <c r="G24" i="3078"/>
  <c r="G26" i="3076"/>
  <c r="G24" i="3074"/>
  <c r="G26" i="3074"/>
  <c r="G19" i="3073"/>
  <c r="G20" i="3073"/>
  <c r="G14" i="3067"/>
  <c r="G15" i="3071"/>
  <c r="H78" i="3071"/>
  <c r="F78" i="3071"/>
  <c r="G78" i="3071"/>
  <c r="H79" i="3070"/>
  <c r="G79" i="3070"/>
  <c r="F79" i="3070"/>
  <c r="H77" i="3069"/>
  <c r="G77" i="3069"/>
  <c r="F77" i="3069"/>
  <c r="G13" i="3068"/>
  <c r="H77" i="3068"/>
  <c r="G77" i="3068"/>
  <c r="F77" i="3068"/>
  <c r="G13" i="3067"/>
  <c r="H77" i="3067"/>
  <c r="G77" i="3067"/>
  <c r="F77" i="3067"/>
  <c r="A26" i="3075" l="1"/>
  <c r="A27" i="3075" s="1"/>
  <c r="G25" i="3075"/>
  <c r="A16" i="3072"/>
  <c r="G15" i="3072"/>
  <c r="G14" i="3072"/>
  <c r="G25" i="3076"/>
  <c r="G23" i="3077"/>
  <c r="G21" i="3078"/>
  <c r="G24" i="3075"/>
  <c r="G22" i="3072"/>
  <c r="G24" i="3077"/>
  <c r="G26" i="3078"/>
  <c r="G28" i="3076"/>
  <c r="G27" i="3074"/>
  <c r="G21" i="3073"/>
  <c r="G22" i="3073"/>
  <c r="G14" i="3070"/>
  <c r="G17" i="3070"/>
  <c r="G14" i="3069"/>
  <c r="A28" i="3075" l="1"/>
  <c r="A31" i="3075" s="1"/>
  <c r="A32" i="3075" s="1"/>
  <c r="A33" i="3075" s="1"/>
  <c r="A34" i="3075" s="1"/>
  <c r="A35" i="3075" s="1"/>
  <c r="A36" i="3075" s="1"/>
  <c r="A37" i="3075" s="1"/>
  <c r="A38" i="3075" s="1"/>
  <c r="A39" i="3075" s="1"/>
  <c r="A41" i="3075" s="1"/>
  <c r="A42" i="3075" s="1"/>
  <c r="G27" i="3075"/>
  <c r="G16" i="3072"/>
  <c r="A17" i="3072"/>
  <c r="G27" i="3076"/>
  <c r="G25" i="3077"/>
  <c r="G23" i="3078"/>
  <c r="G26" i="3075"/>
  <c r="G26" i="3077"/>
  <c r="G28" i="3078"/>
  <c r="G30" i="3074"/>
  <c r="G30" i="3076"/>
  <c r="G23" i="3073"/>
  <c r="G24" i="3073"/>
  <c r="G15" i="3069"/>
  <c r="G15" i="3068"/>
  <c r="G16" i="3068"/>
  <c r="A18" i="3072" l="1"/>
  <c r="A19" i="3072" s="1"/>
  <c r="G17" i="3072"/>
  <c r="G29" i="3076"/>
  <c r="G28" i="3077"/>
  <c r="G25" i="3078"/>
  <c r="G28" i="3075"/>
  <c r="G29" i="3077"/>
  <c r="G30" i="3078"/>
  <c r="G33" i="3074"/>
  <c r="G31" i="3075"/>
  <c r="G32" i="3076"/>
  <c r="G25" i="3073"/>
  <c r="G26" i="3073"/>
  <c r="G15" i="3067"/>
  <c r="G17" i="3069"/>
  <c r="G16" i="3070"/>
  <c r="G16" i="3069"/>
  <c r="G17" i="3068"/>
  <c r="G19" i="3072" l="1"/>
  <c r="G31" i="3076"/>
  <c r="G30" i="3077"/>
  <c r="G27" i="3078"/>
  <c r="G36" i="3077"/>
  <c r="G31" i="3077"/>
  <c r="G32" i="3078"/>
  <c r="G34" i="3076"/>
  <c r="G34" i="3074"/>
  <c r="G35" i="3074"/>
  <c r="G27" i="3073"/>
  <c r="G28" i="3073"/>
  <c r="G19" i="3069"/>
  <c r="G18" i="3069"/>
  <c r="G18" i="3068"/>
  <c r="G20" i="3072" l="1"/>
  <c r="A21" i="3072"/>
  <c r="G33" i="3076"/>
  <c r="G32" i="3077"/>
  <c r="G29" i="3078"/>
  <c r="G33" i="3077"/>
  <c r="G34" i="3078"/>
  <c r="G36" i="3076"/>
  <c r="A38" i="3076"/>
  <c r="G38" i="3076" s="1"/>
  <c r="G39" i="3074"/>
  <c r="G37" i="3074"/>
  <c r="G39" i="3075"/>
  <c r="G36" i="3074"/>
  <c r="G29" i="3073"/>
  <c r="G30" i="3073"/>
  <c r="G19" i="3068"/>
  <c r="G19" i="3070"/>
  <c r="G20" i="3069"/>
  <c r="G37" i="3076" l="1"/>
  <c r="G35" i="3076"/>
  <c r="G35" i="3077"/>
  <c r="G31" i="3078"/>
  <c r="G37" i="3075"/>
  <c r="G36" i="3078"/>
  <c r="A40" i="3074"/>
  <c r="G40" i="3074" s="1"/>
  <c r="G31" i="3073"/>
  <c r="G32" i="3073"/>
  <c r="G20" i="3067"/>
  <c r="G21" i="3071"/>
  <c r="G20" i="3070"/>
  <c r="G21" i="3069"/>
  <c r="G23" i="3072" l="1"/>
  <c r="G37" i="3077"/>
  <c r="G33" i="3078"/>
  <c r="G38" i="3075"/>
  <c r="G38" i="3077"/>
  <c r="G38" i="3078"/>
  <c r="G43" i="3075"/>
  <c r="G42" i="3075"/>
  <c r="G33" i="3073"/>
  <c r="G34" i="3073"/>
  <c r="G22" i="3067"/>
  <c r="A25" i="3072" l="1"/>
  <c r="G24" i="3072"/>
  <c r="G39" i="3077"/>
  <c r="G35" i="3078"/>
  <c r="G40" i="3077"/>
  <c r="G35" i="3073"/>
  <c r="G36" i="3073"/>
  <c r="G23" i="3067"/>
  <c r="G22" i="3068"/>
  <c r="A26" i="3072" l="1"/>
  <c r="G25" i="3072"/>
  <c r="G41" i="3077"/>
  <c r="G37" i="3078"/>
  <c r="G42" i="3077"/>
  <c r="G38" i="3073"/>
  <c r="G37" i="3073"/>
  <c r="G24" i="3067"/>
  <c r="G23" i="3068"/>
  <c r="G25" i="3071"/>
  <c r="A27" i="3072" l="1"/>
  <c r="G26" i="3072"/>
  <c r="G43" i="3077"/>
  <c r="G39" i="3078"/>
  <c r="G42" i="3078"/>
  <c r="A41" i="3073"/>
  <c r="G41" i="3073" s="1"/>
  <c r="G39" i="3073"/>
  <c r="A42" i="3073"/>
  <c r="G42" i="3073" s="1"/>
  <c r="G40" i="3073"/>
  <c r="G25" i="3067"/>
  <c r="G27" i="3068"/>
  <c r="G26" i="3071"/>
  <c r="G25" i="3069"/>
  <c r="A28" i="3072" l="1"/>
  <c r="G27" i="3072"/>
  <c r="G28" i="3068"/>
  <c r="G27" i="3071"/>
  <c r="G26" i="3070"/>
  <c r="G26" i="3069"/>
  <c r="G28" i="3072" l="1"/>
  <c r="G30" i="3071"/>
  <c r="G27" i="3069"/>
  <c r="G29" i="3068"/>
  <c r="A30" i="3072" l="1"/>
  <c r="G29" i="3072"/>
  <c r="G31" i="3071"/>
  <c r="G29" i="3070"/>
  <c r="G31" i="3068"/>
  <c r="A31" i="3072" l="1"/>
  <c r="G30" i="3072"/>
  <c r="G32" i="3071"/>
  <c r="G30" i="3070"/>
  <c r="A32" i="3072" l="1"/>
  <c r="G32" i="3070"/>
  <c r="G32" i="3067"/>
  <c r="A33" i="3072" l="1"/>
  <c r="G32" i="3072"/>
  <c r="G33" i="3071"/>
  <c r="G33" i="3068"/>
  <c r="A34" i="3072" l="1"/>
  <c r="G41" i="3069"/>
  <c r="G31" i="3070"/>
  <c r="G34" i="3068"/>
  <c r="G34" i="3067"/>
  <c r="A35" i="3072" l="1"/>
  <c r="G34" i="3072"/>
  <c r="G35" i="3071"/>
  <c r="G35" i="3068"/>
  <c r="G35" i="3067"/>
  <c r="G35" i="3072" l="1"/>
  <c r="G42" i="3070"/>
  <c r="G34" i="3069"/>
  <c r="G36" i="3068"/>
  <c r="A37" i="3072" l="1"/>
  <c r="G36" i="3072"/>
  <c r="G43" i="3070"/>
  <c r="G38" i="3071"/>
  <c r="G35" i="3070"/>
  <c r="G35" i="3069"/>
  <c r="G37" i="3068"/>
  <c r="A38" i="3072" l="1"/>
  <c r="G39" i="3071"/>
  <c r="G36" i="3070"/>
  <c r="G39" i="3068"/>
  <c r="A40" i="3072" l="1"/>
  <c r="G40" i="3068"/>
  <c r="A41" i="3072" l="1"/>
  <c r="A42" i="3072"/>
  <c r="G42" i="3072" s="1"/>
  <c r="G40" i="3072"/>
  <c r="G42" i="3071"/>
  <c r="G38" i="3069"/>
  <c r="G41" i="3067"/>
  <c r="G40" i="3070" l="1"/>
  <c r="G40" i="3069"/>
  <c r="G41" i="3070" l="1"/>
  <c r="D103" i="3066" l="1"/>
  <c r="D101" i="3066"/>
  <c r="F101" i="3066" s="1"/>
  <c r="D100" i="3066"/>
  <c r="F100" i="3066" s="1"/>
  <c r="D99" i="3066"/>
  <c r="F99" i="3066" s="1"/>
  <c r="D98" i="3066"/>
  <c r="F98" i="3066" s="1"/>
  <c r="D97" i="3066"/>
  <c r="F97" i="3066" s="1"/>
  <c r="D96" i="3066"/>
  <c r="F96" i="3066" s="1"/>
  <c r="D95" i="3066"/>
  <c r="F95" i="3066" s="1"/>
  <c r="D94" i="3066"/>
  <c r="F94" i="3066" s="1"/>
  <c r="D93" i="3066"/>
  <c r="F93" i="3066" s="1"/>
  <c r="D92" i="3066"/>
  <c r="F92" i="3066" s="1"/>
  <c r="D91" i="3066"/>
  <c r="F91" i="3066" s="1"/>
  <c r="D90" i="3066"/>
  <c r="F90" i="3066" s="1"/>
  <c r="D89" i="3066"/>
  <c r="F89" i="3066" s="1"/>
  <c r="D88" i="3066"/>
  <c r="F88" i="3066" s="1"/>
  <c r="D87" i="3066"/>
  <c r="F87" i="3066" s="1"/>
  <c r="D86" i="3066"/>
  <c r="F86" i="3066" s="1"/>
  <c r="D85" i="3066"/>
  <c r="F85" i="3066" s="1"/>
  <c r="D84" i="3066"/>
  <c r="F84" i="3066" s="1"/>
  <c r="D83" i="3066"/>
  <c r="F83" i="3066" s="1"/>
  <c r="D82" i="3066"/>
  <c r="F82" i="3066" s="1"/>
  <c r="D81" i="3066"/>
  <c r="F81" i="3066" s="1"/>
  <c r="D80" i="3066"/>
  <c r="F80" i="3066" s="1"/>
  <c r="I75" i="3066"/>
  <c r="I74" i="3066"/>
  <c r="I73" i="3066"/>
  <c r="I72" i="3066"/>
  <c r="E71" i="3066"/>
  <c r="K71" i="3066" s="1"/>
  <c r="E70" i="3066"/>
  <c r="K70" i="3066" s="1"/>
  <c r="E69" i="3066"/>
  <c r="E68" i="3066"/>
  <c r="E67" i="3066"/>
  <c r="F67" i="3066" s="1"/>
  <c r="K67" i="3066" s="1"/>
  <c r="E66" i="3066"/>
  <c r="I66" i="3066" s="1"/>
  <c r="E65" i="3066"/>
  <c r="H65" i="3066" s="1"/>
  <c r="E64" i="3066"/>
  <c r="E63" i="3066"/>
  <c r="K63" i="3066" s="1"/>
  <c r="E62" i="3066"/>
  <c r="E61" i="3066"/>
  <c r="E60" i="3066"/>
  <c r="K40" i="3066"/>
  <c r="J40" i="3066"/>
  <c r="I40" i="3066"/>
  <c r="H40" i="3066"/>
  <c r="E40" i="3066"/>
  <c r="C40" i="3066" s="1"/>
  <c r="G40" i="3066"/>
  <c r="J39" i="3066"/>
  <c r="I39" i="3066"/>
  <c r="H39" i="3066"/>
  <c r="J38" i="3066"/>
  <c r="I38" i="3066"/>
  <c r="H38" i="3066"/>
  <c r="J36" i="3066"/>
  <c r="I36" i="3066"/>
  <c r="H36" i="3066"/>
  <c r="K36" i="3066"/>
  <c r="J35" i="3066"/>
  <c r="I35" i="3066"/>
  <c r="H35" i="3066"/>
  <c r="K35" i="3066"/>
  <c r="J34" i="3066"/>
  <c r="I34" i="3066"/>
  <c r="H34" i="3066"/>
  <c r="K34" i="3066"/>
  <c r="J32" i="3066"/>
  <c r="I32" i="3066"/>
  <c r="H32" i="3066"/>
  <c r="K32" i="3066"/>
  <c r="J31" i="3066"/>
  <c r="I31" i="3066"/>
  <c r="H31" i="3066"/>
  <c r="J30" i="3066"/>
  <c r="I30" i="3066"/>
  <c r="H30" i="3066"/>
  <c r="K30" i="3066"/>
  <c r="J28" i="3066"/>
  <c r="I28" i="3066"/>
  <c r="H28" i="3066"/>
  <c r="J27" i="3066"/>
  <c r="I27" i="3066"/>
  <c r="H27" i="3066"/>
  <c r="K27" i="3066"/>
  <c r="J26" i="3066"/>
  <c r="I26" i="3066"/>
  <c r="H26" i="3066"/>
  <c r="K26" i="3066"/>
  <c r="J24" i="3066"/>
  <c r="I24" i="3066"/>
  <c r="H24" i="3066"/>
  <c r="E24" i="3066"/>
  <c r="J23" i="3066"/>
  <c r="I23" i="3066"/>
  <c r="H23" i="3066"/>
  <c r="J22" i="3066"/>
  <c r="I22" i="3066"/>
  <c r="H22" i="3066"/>
  <c r="E22" i="3066"/>
  <c r="J21" i="3066"/>
  <c r="I21" i="3066"/>
  <c r="H21" i="3066"/>
  <c r="E21" i="3066"/>
  <c r="J19" i="3066"/>
  <c r="I19" i="3066"/>
  <c r="H19" i="3066"/>
  <c r="E19" i="3066"/>
  <c r="J18" i="3066"/>
  <c r="I18" i="3066"/>
  <c r="H18" i="3066"/>
  <c r="E18" i="3066"/>
  <c r="J17" i="3066"/>
  <c r="I17" i="3066"/>
  <c r="H17" i="3066"/>
  <c r="J15" i="3066"/>
  <c r="I15" i="3066"/>
  <c r="H15" i="3066"/>
  <c r="J14" i="3066"/>
  <c r="I14" i="3066"/>
  <c r="H14" i="3066"/>
  <c r="K14" i="3066"/>
  <c r="J13" i="3066"/>
  <c r="I13" i="3066"/>
  <c r="H13" i="3066"/>
  <c r="J12" i="3066"/>
  <c r="I12" i="3066"/>
  <c r="H12" i="3066"/>
  <c r="G1" i="3066"/>
  <c r="G48" i="3066" l="1"/>
  <c r="B10" i="3066"/>
  <c r="K10" i="3066" s="1"/>
  <c r="B9" i="3066"/>
  <c r="K9" i="3066" s="1"/>
  <c r="B11" i="3066"/>
  <c r="K11" i="3066" s="1"/>
  <c r="B12" i="3066"/>
  <c r="K12" i="3066" s="1"/>
  <c r="K13" i="3066"/>
  <c r="B40" i="3066"/>
  <c r="K62" i="3066"/>
  <c r="F66" i="3066"/>
  <c r="K66" i="3066" s="1"/>
  <c r="L64" i="3066"/>
  <c r="H66" i="3066"/>
  <c r="K64" i="3066"/>
  <c r="G67" i="3066"/>
  <c r="L67" i="3066" s="1"/>
  <c r="K60" i="3066"/>
  <c r="L63" i="3066"/>
  <c r="K68" i="3066"/>
  <c r="L71" i="3066"/>
  <c r="L60" i="3066"/>
  <c r="L68" i="3066"/>
  <c r="K22" i="3066"/>
  <c r="K39" i="3066"/>
  <c r="C39" i="3066" s="1"/>
  <c r="C38" i="3066"/>
  <c r="I65" i="3066"/>
  <c r="K61" i="3066"/>
  <c r="L62" i="3066"/>
  <c r="F65" i="3066"/>
  <c r="K65" i="3066" s="1"/>
  <c r="G66" i="3066"/>
  <c r="L66" i="3066" s="1"/>
  <c r="H67" i="3066"/>
  <c r="K69" i="3066"/>
  <c r="L70" i="3066"/>
  <c r="K15" i="3066"/>
  <c r="L61" i="3066"/>
  <c r="G65" i="3066"/>
  <c r="L65" i="3066" s="1"/>
  <c r="I67" i="3066"/>
  <c r="L69" i="3066"/>
  <c r="I71" i="3066"/>
  <c r="K18" i="3066"/>
  <c r="K23" i="3066"/>
  <c r="K28" i="3066"/>
  <c r="D44" i="3066"/>
  <c r="C44" i="3066" s="1"/>
  <c r="K47" i="3066"/>
  <c r="I63" i="3066" l="1"/>
  <c r="I64" i="3066"/>
  <c r="B4" i="3066" s="1"/>
  <c r="I60" i="3066"/>
  <c r="F4" i="3066" s="1"/>
  <c r="I68" i="3066"/>
  <c r="G12" i="3066"/>
  <c r="G45" i="3066"/>
  <c r="I61" i="3066"/>
  <c r="I69" i="3066"/>
  <c r="G44" i="3066"/>
  <c r="G77" i="3066"/>
  <c r="F77" i="3066"/>
  <c r="I70" i="3066"/>
  <c r="L4" i="3066" s="1"/>
  <c r="D4" i="3066"/>
  <c r="E9" i="3063"/>
  <c r="E10" i="3063"/>
  <c r="E11" i="3063"/>
  <c r="E12" i="3063"/>
  <c r="E13" i="3063"/>
  <c r="E14" i="3063"/>
  <c r="E15" i="3063"/>
  <c r="E16" i="3063"/>
  <c r="E17" i="3063"/>
  <c r="E18" i="3063"/>
  <c r="E19" i="3063"/>
  <c r="E20" i="3063"/>
  <c r="E21" i="3063"/>
  <c r="E22" i="3063"/>
  <c r="E23" i="3063"/>
  <c r="E24" i="3063"/>
  <c r="E25" i="3063"/>
  <c r="E26" i="3063"/>
  <c r="E27" i="3063"/>
  <c r="E28" i="3063"/>
  <c r="E29" i="3063"/>
  <c r="E30" i="3063"/>
  <c r="E31" i="3063"/>
  <c r="E32" i="3063"/>
  <c r="E33" i="3063"/>
  <c r="E34" i="3063"/>
  <c r="E35" i="3063"/>
  <c r="E36" i="3063"/>
  <c r="E37" i="3063"/>
  <c r="E38" i="3063"/>
  <c r="E8" i="3063"/>
  <c r="J9" i="3063"/>
  <c r="J10" i="3063"/>
  <c r="J11" i="3063"/>
  <c r="J12" i="3063"/>
  <c r="J13" i="3063"/>
  <c r="J14" i="3063"/>
  <c r="J15" i="3063"/>
  <c r="J16" i="3063"/>
  <c r="J17" i="3063"/>
  <c r="J18" i="3063"/>
  <c r="J19" i="3063"/>
  <c r="J20" i="3063"/>
  <c r="J21" i="3063"/>
  <c r="J22" i="3063"/>
  <c r="J23" i="3063"/>
  <c r="J24" i="3063"/>
  <c r="J25" i="3063"/>
  <c r="J26" i="3063"/>
  <c r="J27" i="3063"/>
  <c r="J28" i="3063"/>
  <c r="J29" i="3063"/>
  <c r="J30" i="3063"/>
  <c r="J31" i="3063"/>
  <c r="J32" i="3063"/>
  <c r="J33" i="3063"/>
  <c r="J34" i="3063"/>
  <c r="J35" i="3063"/>
  <c r="J36" i="3063"/>
  <c r="J37" i="3063"/>
  <c r="J38" i="3063"/>
  <c r="I9" i="3063"/>
  <c r="I10" i="3063"/>
  <c r="I11" i="3063"/>
  <c r="I12" i="3063"/>
  <c r="I13" i="3063"/>
  <c r="I14" i="3063"/>
  <c r="I15" i="3063"/>
  <c r="I16" i="3063"/>
  <c r="I17" i="3063"/>
  <c r="I18" i="3063"/>
  <c r="I19" i="3063"/>
  <c r="I20" i="3063"/>
  <c r="I21" i="3063"/>
  <c r="I22" i="3063"/>
  <c r="I23" i="3063"/>
  <c r="I24" i="3063"/>
  <c r="I25" i="3063"/>
  <c r="I26" i="3063"/>
  <c r="I27" i="3063"/>
  <c r="I28" i="3063"/>
  <c r="I29" i="3063"/>
  <c r="I30" i="3063"/>
  <c r="I31" i="3063"/>
  <c r="I32" i="3063"/>
  <c r="I33" i="3063"/>
  <c r="I34" i="3063"/>
  <c r="I35" i="3063"/>
  <c r="I36" i="3063"/>
  <c r="I37" i="3063"/>
  <c r="I38" i="3063"/>
  <c r="H9" i="3063"/>
  <c r="H10" i="3063"/>
  <c r="H11" i="3063"/>
  <c r="H12" i="3063"/>
  <c r="H13" i="3063"/>
  <c r="H14" i="3063"/>
  <c r="H15" i="3063"/>
  <c r="H16" i="3063"/>
  <c r="H17" i="3063"/>
  <c r="H18" i="3063"/>
  <c r="H19" i="3063"/>
  <c r="H20" i="3063"/>
  <c r="H21" i="3063"/>
  <c r="H22" i="3063"/>
  <c r="H23" i="3063"/>
  <c r="H24" i="3063"/>
  <c r="H25" i="3063"/>
  <c r="H26" i="3063"/>
  <c r="H27" i="3063"/>
  <c r="H28" i="3063"/>
  <c r="H29" i="3063"/>
  <c r="H30" i="3063"/>
  <c r="H31" i="3063"/>
  <c r="H32" i="3063"/>
  <c r="H33" i="3063"/>
  <c r="H34" i="3063"/>
  <c r="H35" i="3063"/>
  <c r="H36" i="3063"/>
  <c r="H37" i="3063"/>
  <c r="H38" i="3063"/>
  <c r="I8" i="3063"/>
  <c r="J8" i="3063"/>
  <c r="H8" i="3063"/>
  <c r="J4" i="3066" l="1"/>
  <c r="H4" i="3066"/>
  <c r="I76" i="3066"/>
  <c r="G13" i="3066" l="1"/>
  <c r="H76" i="3066"/>
  <c r="G76" i="3066"/>
  <c r="F76" i="3066"/>
  <c r="G14" i="3066" l="1"/>
  <c r="G15" i="3066" l="1"/>
  <c r="B38" i="3063"/>
  <c r="K38" i="3063" s="1"/>
  <c r="C38" i="3063" s="1"/>
  <c r="B37" i="3063"/>
  <c r="K37" i="3063" s="1"/>
  <c r="B35" i="3063"/>
  <c r="K35" i="3063" s="1"/>
  <c r="D105" i="3063" l="1"/>
  <c r="D103" i="3063"/>
  <c r="F103" i="3063" s="1"/>
  <c r="D102" i="3063"/>
  <c r="F102" i="3063" s="1"/>
  <c r="D101" i="3063"/>
  <c r="F101" i="3063" s="1"/>
  <c r="D100" i="3063"/>
  <c r="F100" i="3063" s="1"/>
  <c r="D99" i="3063"/>
  <c r="F99" i="3063" s="1"/>
  <c r="D98" i="3063"/>
  <c r="F98" i="3063" s="1"/>
  <c r="D97" i="3063"/>
  <c r="F97" i="3063" s="1"/>
  <c r="D96" i="3063"/>
  <c r="F96" i="3063" s="1"/>
  <c r="D95" i="3063"/>
  <c r="F95" i="3063" s="1"/>
  <c r="D94" i="3063"/>
  <c r="F94" i="3063" s="1"/>
  <c r="D93" i="3063"/>
  <c r="F93" i="3063" s="1"/>
  <c r="D92" i="3063"/>
  <c r="F92" i="3063" s="1"/>
  <c r="D91" i="3063"/>
  <c r="F91" i="3063" s="1"/>
  <c r="D90" i="3063"/>
  <c r="F90" i="3063" s="1"/>
  <c r="D89" i="3063"/>
  <c r="F89" i="3063" s="1"/>
  <c r="D88" i="3063"/>
  <c r="F88" i="3063" s="1"/>
  <c r="D87" i="3063"/>
  <c r="F87" i="3063" s="1"/>
  <c r="D86" i="3063"/>
  <c r="F86" i="3063" s="1"/>
  <c r="D85" i="3063"/>
  <c r="F85" i="3063" s="1"/>
  <c r="D84" i="3063"/>
  <c r="F84" i="3063" s="1"/>
  <c r="D83" i="3063"/>
  <c r="F83" i="3063" s="1"/>
  <c r="D82" i="3063"/>
  <c r="F82" i="3063" s="1"/>
  <c r="G18" i="3066" l="1"/>
  <c r="G35" i="3063"/>
  <c r="G36" i="3063" l="1"/>
  <c r="G8" i="3063"/>
  <c r="G37" i="3063" l="1"/>
  <c r="G38" i="3063" l="1"/>
  <c r="G9" i="3063"/>
  <c r="G10" i="3063"/>
  <c r="G23" i="3066" l="1"/>
  <c r="I77" i="3063"/>
  <c r="I76" i="3063"/>
  <c r="I75" i="3063"/>
  <c r="I74" i="3063"/>
  <c r="E73" i="3063"/>
  <c r="E72" i="3063"/>
  <c r="H72" i="3063" s="1"/>
  <c r="E71" i="3063"/>
  <c r="E70" i="3063"/>
  <c r="H70" i="3063" s="1"/>
  <c r="E69" i="3063"/>
  <c r="H69" i="3063" s="1"/>
  <c r="E68" i="3063"/>
  <c r="H68" i="3063" s="1"/>
  <c r="E67" i="3063"/>
  <c r="H67" i="3063" s="1"/>
  <c r="E66" i="3063"/>
  <c r="H66" i="3063" s="1"/>
  <c r="E65" i="3063"/>
  <c r="E64" i="3063"/>
  <c r="H64" i="3063" s="1"/>
  <c r="E63" i="3063"/>
  <c r="G63" i="3063" s="1"/>
  <c r="L63" i="3063" s="1"/>
  <c r="E62" i="3063"/>
  <c r="B36" i="3063" l="1"/>
  <c r="K36" i="3063" s="1"/>
  <c r="C36" i="3063" s="1"/>
  <c r="C37" i="3063"/>
  <c r="C35" i="3063"/>
  <c r="B8" i="3063"/>
  <c r="K8" i="3063" s="1"/>
  <c r="C8" i="3063" s="1"/>
  <c r="K46" i="3063"/>
  <c r="K47" i="3063"/>
  <c r="G49" i="3063"/>
  <c r="G50" i="3063"/>
  <c r="G11" i="3063"/>
  <c r="K49" i="3063"/>
  <c r="D46" i="3063"/>
  <c r="C46" i="3063" s="1"/>
  <c r="G12" i="3063"/>
  <c r="F71" i="3063"/>
  <c r="K71" i="3063" s="1"/>
  <c r="H63" i="3063"/>
  <c r="F67" i="3063"/>
  <c r="K67" i="3063" s="1"/>
  <c r="G67" i="3063"/>
  <c r="L67" i="3063" s="1"/>
  <c r="F63" i="3063"/>
  <c r="K63" i="3063" s="1"/>
  <c r="G69" i="3063"/>
  <c r="L69" i="3063" s="1"/>
  <c r="F65" i="3063"/>
  <c r="K65" i="3063" s="1"/>
  <c r="G71" i="3063"/>
  <c r="L71" i="3063" s="1"/>
  <c r="F73" i="3063"/>
  <c r="K73" i="3063" s="1"/>
  <c r="G65" i="3063"/>
  <c r="L65" i="3063" s="1"/>
  <c r="H71" i="3063"/>
  <c r="G73" i="3063"/>
  <c r="L73" i="3063" s="1"/>
  <c r="H62" i="3063"/>
  <c r="H65" i="3063"/>
  <c r="F69" i="3063"/>
  <c r="K69" i="3063" s="1"/>
  <c r="H73" i="3063"/>
  <c r="F62" i="3063"/>
  <c r="F64" i="3063"/>
  <c r="K64" i="3063" s="1"/>
  <c r="F66" i="3063"/>
  <c r="K66" i="3063" s="1"/>
  <c r="F68" i="3063"/>
  <c r="K68" i="3063" s="1"/>
  <c r="F70" i="3063"/>
  <c r="K70" i="3063" s="1"/>
  <c r="F72" i="3063"/>
  <c r="K72" i="3063" s="1"/>
  <c r="G62" i="3063"/>
  <c r="G64" i="3063"/>
  <c r="L64" i="3063" s="1"/>
  <c r="G66" i="3063"/>
  <c r="L66" i="3063" s="1"/>
  <c r="G68" i="3063"/>
  <c r="L68" i="3063" s="1"/>
  <c r="G70" i="3063"/>
  <c r="L70" i="3063" s="1"/>
  <c r="G72" i="3063"/>
  <c r="L72" i="3063" s="1"/>
  <c r="G26" i="3066" l="1"/>
  <c r="F79" i="3063"/>
  <c r="K62" i="3063"/>
  <c r="G79" i="3063"/>
  <c r="L62" i="3063"/>
  <c r="I66" i="3063"/>
  <c r="I70" i="3063"/>
  <c r="I71" i="3063"/>
  <c r="I73" i="3063"/>
  <c r="I65" i="3063"/>
  <c r="I63" i="3063"/>
  <c r="I68" i="3063"/>
  <c r="I69" i="3063"/>
  <c r="I67" i="3063"/>
  <c r="I72" i="3063"/>
  <c r="I64" i="3063"/>
  <c r="I62" i="3063"/>
  <c r="G27" i="3066" l="1"/>
  <c r="G13" i="3063"/>
  <c r="J4" i="3063"/>
  <c r="D4" i="3063"/>
  <c r="I78" i="3063"/>
  <c r="G28" i="3066" l="1"/>
  <c r="H78" i="3063"/>
  <c r="G78" i="3063"/>
  <c r="F78" i="3063"/>
  <c r="G14" i="3063"/>
  <c r="D47" i="3063"/>
  <c r="G47" i="3063" l="1"/>
  <c r="C47" i="3063"/>
  <c r="G30" i="3066"/>
  <c r="G15" i="3063"/>
  <c r="G46" i="3063"/>
  <c r="G31" i="3066" l="1"/>
  <c r="B28" i="3063"/>
  <c r="K28" i="3063" s="1"/>
  <c r="C28" i="3063" s="1"/>
  <c r="B16" i="3063"/>
  <c r="K16" i="3063" s="1"/>
  <c r="C16" i="3063" s="1"/>
  <c r="B31" i="3063"/>
  <c r="K31" i="3063" s="1"/>
  <c r="C31" i="3063" s="1"/>
  <c r="B27" i="3063"/>
  <c r="K27" i="3063" s="1"/>
  <c r="C27" i="3063" s="1"/>
  <c r="B23" i="3063"/>
  <c r="K23" i="3063" s="1"/>
  <c r="C23" i="3063" s="1"/>
  <c r="B19" i="3063"/>
  <c r="K19" i="3063" s="1"/>
  <c r="C19" i="3063" s="1"/>
  <c r="B15" i="3063"/>
  <c r="K15" i="3063" s="1"/>
  <c r="C15" i="3063" s="1"/>
  <c r="B11" i="3063"/>
  <c r="K11" i="3063" s="1"/>
  <c r="C11" i="3063" s="1"/>
  <c r="B20" i="3063"/>
  <c r="K20" i="3063" s="1"/>
  <c r="C20" i="3063" s="1"/>
  <c r="B30" i="3063"/>
  <c r="K30" i="3063" s="1"/>
  <c r="C30" i="3063" s="1"/>
  <c r="B22" i="3063"/>
  <c r="K22" i="3063" s="1"/>
  <c r="C22" i="3063" s="1"/>
  <c r="B18" i="3063"/>
  <c r="K18" i="3063" s="1"/>
  <c r="C18" i="3063" s="1"/>
  <c r="B10" i="3063"/>
  <c r="K10" i="3063" s="1"/>
  <c r="C10" i="3063" s="1"/>
  <c r="B32" i="3063"/>
  <c r="K32" i="3063" s="1"/>
  <c r="C32" i="3063" s="1"/>
  <c r="B24" i="3063"/>
  <c r="K24" i="3063" s="1"/>
  <c r="C24" i="3063" s="1"/>
  <c r="B12" i="3063"/>
  <c r="K12" i="3063" s="1"/>
  <c r="C12" i="3063" s="1"/>
  <c r="B34" i="3063"/>
  <c r="K34" i="3063" s="1"/>
  <c r="C34" i="3063" s="1"/>
  <c r="B26" i="3063"/>
  <c r="K26" i="3063" s="1"/>
  <c r="C26" i="3063" s="1"/>
  <c r="B14" i="3063"/>
  <c r="K14" i="3063" s="1"/>
  <c r="C14" i="3063" s="1"/>
  <c r="B33" i="3063"/>
  <c r="K33" i="3063" s="1"/>
  <c r="C33" i="3063" s="1"/>
  <c r="B29" i="3063"/>
  <c r="K29" i="3063" s="1"/>
  <c r="C29" i="3063" s="1"/>
  <c r="B25" i="3063"/>
  <c r="K25" i="3063" s="1"/>
  <c r="C25" i="3063" s="1"/>
  <c r="B21" i="3063"/>
  <c r="K21" i="3063" s="1"/>
  <c r="C21" i="3063" s="1"/>
  <c r="B17" i="3063"/>
  <c r="K17" i="3063" s="1"/>
  <c r="C17" i="3063" s="1"/>
  <c r="B13" i="3063"/>
  <c r="K13" i="3063" s="1"/>
  <c r="C13" i="3063" s="1"/>
  <c r="B9" i="3063"/>
  <c r="K9" i="3063" s="1"/>
  <c r="C9" i="3063" s="1"/>
  <c r="G16" i="3063"/>
  <c r="F4" i="3063"/>
  <c r="L4" i="3063"/>
  <c r="G1" i="3063"/>
  <c r="G32" i="3066" l="1"/>
  <c r="G17" i="3063"/>
  <c r="H4" i="3063"/>
  <c r="B4" i="3063"/>
  <c r="G19" i="3063" l="1"/>
  <c r="G18" i="3063"/>
  <c r="G34" i="3066" l="1"/>
  <c r="G20" i="3063"/>
  <c r="G35" i="3066" l="1"/>
  <c r="G22" i="3063"/>
  <c r="G21" i="3063"/>
  <c r="G36" i="3066" l="1"/>
  <c r="G23" i="3063"/>
  <c r="G24" i="3063" l="1"/>
  <c r="G39" i="3066" l="1"/>
  <c r="G25" i="3063"/>
  <c r="G26" i="3063" l="1"/>
  <c r="G27" i="3063" l="1"/>
  <c r="G28" i="3063" l="1"/>
  <c r="G29" i="3063" l="1"/>
  <c r="G30" i="3063" l="1"/>
  <c r="G31" i="3063" l="1"/>
  <c r="G32" i="3063" l="1"/>
  <c r="G33" i="3063" l="1"/>
  <c r="G34" i="3063" l="1"/>
  <c r="K39" i="3068"/>
  <c r="K40" i="3068"/>
  <c r="G8" i="3070"/>
  <c r="G12" i="3070"/>
  <c r="G9" i="3070"/>
  <c r="G11" i="3070" l="1"/>
  <c r="G10" i="3070"/>
</calcChain>
</file>

<file path=xl/comments1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3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4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5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6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7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8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9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0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1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2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3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4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5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6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7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8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9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0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1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2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3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4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5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6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7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8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sharedStrings.xml><?xml version="1.0" encoding="utf-8"?>
<sst xmlns="http://schemas.openxmlformats.org/spreadsheetml/2006/main" count="6034" uniqueCount="1017">
  <si>
    <t>AVSECO</t>
    <phoneticPr fontId="2" type="noConversion"/>
  </si>
  <si>
    <t>Duty manager</t>
    <phoneticPr fontId="2" type="noConversion"/>
  </si>
  <si>
    <t xml:space="preserve">             DO(C&amp;E)</t>
    <phoneticPr fontId="2" type="noConversion"/>
  </si>
  <si>
    <r>
      <t xml:space="preserve">C&amp;E  </t>
    </r>
    <r>
      <rPr>
        <sz val="12"/>
        <rFont val="Times New Roman"/>
        <family val="1"/>
      </rPr>
      <t xml:space="preserve"> Inspector/S</t>
    </r>
    <phoneticPr fontId="2" type="noConversion"/>
  </si>
  <si>
    <t xml:space="preserve">CIA(A)ACU </t>
    <phoneticPr fontId="2" type="noConversion"/>
  </si>
  <si>
    <t>#Additional flight operation as instructed by SIO(A)FS.</t>
    <phoneticPr fontId="2" type="noConversion"/>
  </si>
  <si>
    <t>SIA</t>
    <phoneticPr fontId="2" type="noConversion"/>
  </si>
  <si>
    <t>CIA</t>
    <phoneticPr fontId="2" type="noConversion"/>
  </si>
  <si>
    <t>IO</t>
    <phoneticPr fontId="2" type="noConversion"/>
  </si>
  <si>
    <t>Manpower</t>
    <phoneticPr fontId="2" type="noConversion"/>
  </si>
  <si>
    <t>Port 2</t>
    <phoneticPr fontId="2" type="noConversion"/>
  </si>
  <si>
    <t>Port 1</t>
    <phoneticPr fontId="2" type="noConversion"/>
  </si>
  <si>
    <t>From</t>
    <phoneticPr fontId="2" type="noConversion"/>
  </si>
  <si>
    <t>Gate</t>
    <phoneticPr fontId="2" type="noConversion"/>
  </si>
  <si>
    <t>ETA</t>
    <phoneticPr fontId="2" type="noConversion"/>
  </si>
  <si>
    <t>STA</t>
    <phoneticPr fontId="2" type="noConversion"/>
  </si>
  <si>
    <t>S/N</t>
    <phoneticPr fontId="2" type="noConversion"/>
  </si>
  <si>
    <t>PPCT</t>
    <phoneticPr fontId="2" type="noConversion"/>
  </si>
  <si>
    <t>SDT</t>
    <phoneticPr fontId="2" type="noConversion"/>
  </si>
  <si>
    <t>Shift</t>
    <phoneticPr fontId="2" type="noConversion"/>
  </si>
  <si>
    <t>Date:</t>
    <phoneticPr fontId="2" type="noConversion"/>
  </si>
  <si>
    <t>Flight No.</t>
    <phoneticPr fontId="2" type="noConversion"/>
  </si>
  <si>
    <t>Team No.</t>
    <phoneticPr fontId="2" type="noConversion"/>
  </si>
  <si>
    <t>(</t>
    <phoneticPr fontId="2" type="noConversion"/>
  </si>
  <si>
    <t>)</t>
    <phoneticPr fontId="2" type="noConversion"/>
  </si>
  <si>
    <t>A</t>
    <phoneticPr fontId="2" type="noConversion"/>
  </si>
  <si>
    <t>M</t>
    <phoneticPr fontId="2" type="noConversion"/>
  </si>
  <si>
    <t>M1</t>
    <phoneticPr fontId="2" type="noConversion"/>
  </si>
  <si>
    <t>G1</t>
    <phoneticPr fontId="2" type="noConversion"/>
  </si>
  <si>
    <t>P1</t>
    <phoneticPr fontId="2" type="noConversion"/>
  </si>
  <si>
    <t>P4</t>
    <phoneticPr fontId="2" type="noConversion"/>
  </si>
  <si>
    <t>-</t>
  </si>
  <si>
    <t>TG600</t>
    <phoneticPr fontId="10" type="noConversion"/>
  </si>
  <si>
    <t>BKK</t>
    <phoneticPr fontId="10" type="noConversion"/>
  </si>
  <si>
    <t>BKK</t>
    <phoneticPr fontId="2" type="noConversion"/>
  </si>
  <si>
    <t>*DV Operation at arrival gate</t>
    <phoneticPr fontId="2" type="noConversion"/>
  </si>
  <si>
    <t>AK138</t>
    <phoneticPr fontId="2" type="noConversion"/>
  </si>
  <si>
    <t>KUL</t>
    <phoneticPr fontId="2" type="noConversion"/>
  </si>
  <si>
    <t>DEL</t>
    <phoneticPr fontId="2" type="noConversion"/>
  </si>
  <si>
    <t>CX694</t>
    <phoneticPr fontId="2" type="noConversion"/>
  </si>
  <si>
    <t xml:space="preserve">Remarks : </t>
  </si>
  <si>
    <t>MNL</t>
    <phoneticPr fontId="2" type="noConversion"/>
  </si>
  <si>
    <t>PR300</t>
    <phoneticPr fontId="2" type="noConversion"/>
  </si>
  <si>
    <t>FD508</t>
    <phoneticPr fontId="2" type="noConversion"/>
  </si>
  <si>
    <t>DMK</t>
    <phoneticPr fontId="2" type="noConversion"/>
  </si>
  <si>
    <t>ET644</t>
    <phoneticPr fontId="2" type="noConversion"/>
  </si>
  <si>
    <t>ADD</t>
    <phoneticPr fontId="2" type="noConversion"/>
  </si>
  <si>
    <t>QR818</t>
    <phoneticPr fontId="2" type="noConversion"/>
  </si>
  <si>
    <t>DOH</t>
    <phoneticPr fontId="2" type="noConversion"/>
  </si>
  <si>
    <t>5J112</t>
    <phoneticPr fontId="2" type="noConversion"/>
  </si>
  <si>
    <t>QR816</t>
    <phoneticPr fontId="2" type="noConversion"/>
  </si>
  <si>
    <t>TG638</t>
    <phoneticPr fontId="2" type="noConversion"/>
  </si>
  <si>
    <t>HALL</t>
    <phoneticPr fontId="2" type="noConversion"/>
  </si>
  <si>
    <t>GATE</t>
    <phoneticPr fontId="2" type="noConversion"/>
  </si>
  <si>
    <t>BOM</t>
    <phoneticPr fontId="2" type="noConversion"/>
  </si>
  <si>
    <t>CX660</t>
    <phoneticPr fontId="2" type="noConversion"/>
  </si>
  <si>
    <t>0950</t>
    <phoneticPr fontId="2" type="noConversion"/>
  </si>
  <si>
    <t>CX624</t>
    <phoneticPr fontId="2" type="noConversion"/>
  </si>
  <si>
    <t>BLR</t>
    <phoneticPr fontId="2" type="noConversion"/>
  </si>
  <si>
    <t>6E1707</t>
    <phoneticPr fontId="2" type="noConversion"/>
  </si>
  <si>
    <t>1310</t>
    <phoneticPr fontId="2" type="noConversion"/>
  </si>
  <si>
    <t>0615</t>
    <phoneticPr fontId="2" type="noConversion"/>
  </si>
  <si>
    <t>CGK</t>
    <phoneticPr fontId="2" type="noConversion"/>
  </si>
  <si>
    <t>GA860</t>
    <phoneticPr fontId="2" type="noConversion"/>
  </si>
  <si>
    <t>CX776</t>
    <phoneticPr fontId="2" type="noConversion"/>
  </si>
  <si>
    <t>PR306</t>
    <phoneticPr fontId="10" type="noConversion"/>
  </si>
  <si>
    <t>HX766</t>
    <phoneticPr fontId="2" type="noConversion"/>
  </si>
  <si>
    <t>SIN</t>
    <phoneticPr fontId="2" type="noConversion"/>
  </si>
  <si>
    <t>EK384</t>
    <phoneticPr fontId="2" type="noConversion"/>
  </si>
  <si>
    <t>DXB</t>
    <phoneticPr fontId="2" type="noConversion"/>
  </si>
  <si>
    <t>TG606</t>
    <phoneticPr fontId="2" type="noConversion"/>
  </si>
  <si>
    <t>FD504</t>
    <phoneticPr fontId="2" type="noConversion"/>
  </si>
  <si>
    <t>HX776</t>
    <phoneticPr fontId="2" type="noConversion"/>
  </si>
  <si>
    <t>TK070</t>
    <phoneticPr fontId="2" type="noConversion"/>
  </si>
  <si>
    <t>IST</t>
    <phoneticPr fontId="2" type="noConversion"/>
  </si>
  <si>
    <t>1115</t>
    <phoneticPr fontId="2" type="noConversion"/>
  </si>
  <si>
    <t>1145</t>
    <phoneticPr fontId="2" type="noConversion"/>
  </si>
  <si>
    <t>HB284</t>
    <phoneticPr fontId="2" type="noConversion"/>
  </si>
  <si>
    <t>AK136</t>
    <phoneticPr fontId="2" type="noConversion"/>
  </si>
  <si>
    <t>1755</t>
    <phoneticPr fontId="2" type="noConversion"/>
  </si>
  <si>
    <t>CS YEUNG</t>
    <phoneticPr fontId="2" type="noConversion"/>
  </si>
  <si>
    <t>9238 7181</t>
    <phoneticPr fontId="2" type="noConversion"/>
  </si>
  <si>
    <t>HX780</t>
    <phoneticPr fontId="2" type="noConversion"/>
  </si>
  <si>
    <t>0555</t>
    <phoneticPr fontId="2" type="noConversion"/>
  </si>
  <si>
    <t>TR978</t>
    <phoneticPr fontId="2" type="noConversion"/>
  </si>
  <si>
    <t>S2</t>
    <phoneticPr fontId="2" type="noConversion"/>
  </si>
  <si>
    <t>S1</t>
    <phoneticPr fontId="2" type="noConversion"/>
  </si>
  <si>
    <t>S4</t>
    <phoneticPr fontId="2" type="noConversion"/>
  </si>
  <si>
    <t>S5</t>
    <phoneticPr fontId="2" type="noConversion"/>
  </si>
  <si>
    <t>AI314</t>
    <phoneticPr fontId="2" type="noConversion"/>
  </si>
  <si>
    <t>AK130</t>
    <phoneticPr fontId="2" type="noConversion"/>
  </si>
  <si>
    <t>ET608</t>
    <phoneticPr fontId="2" type="noConversion"/>
  </si>
  <si>
    <t>FD500</t>
    <phoneticPr fontId="2" type="noConversion"/>
  </si>
  <si>
    <t>FD502</t>
    <phoneticPr fontId="2" type="noConversion"/>
  </si>
  <si>
    <t>HX762</t>
    <phoneticPr fontId="2" type="noConversion"/>
  </si>
  <si>
    <t>0800</t>
    <phoneticPr fontId="2" type="noConversion"/>
  </si>
  <si>
    <t>OD605</t>
    <phoneticPr fontId="2" type="noConversion"/>
  </si>
  <si>
    <t>TR980</t>
    <phoneticPr fontId="2" type="noConversion"/>
  </si>
  <si>
    <t>Total</t>
    <phoneticPr fontId="2" type="noConversion"/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</si>
  <si>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</si>
  <si>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</si>
  <si>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</si>
  <si>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</si>
  <si>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</si>
  <si>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</si>
  <si>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</si>
  <si>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</si>
  <si>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</si>
  <si>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</si>
  <si>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Cycle</t>
  </si>
  <si>
    <t>Mon</t>
  </si>
  <si>
    <t>Tue</t>
  </si>
  <si>
    <t>Wed</t>
  </si>
  <si>
    <t>Thu</t>
  </si>
  <si>
    <t>Fri</t>
  </si>
  <si>
    <t>Sat</t>
  </si>
  <si>
    <t>Sun</t>
  </si>
  <si>
    <t>G1</t>
  </si>
  <si>
    <t>P1</t>
  </si>
  <si>
    <t>L</t>
  </si>
  <si>
    <t>M @</t>
  </si>
  <si>
    <t>M</t>
  </si>
  <si>
    <t>P4</t>
  </si>
  <si>
    <t>A</t>
  </si>
  <si>
    <t>M1</t>
  </si>
  <si>
    <t>P1 @</t>
  </si>
  <si>
    <t>L#</t>
  </si>
  <si>
    <t>?</t>
    <phoneticPr fontId="2" type="noConversion"/>
  </si>
  <si>
    <t xml:space="preserve">Last </t>
    <phoneticPr fontId="2" type="noConversion"/>
  </si>
  <si>
    <t>one</t>
    <phoneticPr fontId="2" type="noConversion"/>
  </si>
  <si>
    <t>↑</t>
    <phoneticPr fontId="2" type="noConversion"/>
  </si>
  <si>
    <t>Shift</t>
    <phoneticPr fontId="2" type="noConversion"/>
  </si>
  <si>
    <t>Team</t>
    <phoneticPr fontId="2" type="noConversion"/>
  </si>
  <si>
    <t>M @</t>
    <phoneticPr fontId="2" type="noConversion"/>
  </si>
  <si>
    <t>P1 @</t>
    <phoneticPr fontId="2" type="noConversion"/>
  </si>
  <si>
    <t>Duty team of morning shift</t>
    <phoneticPr fontId="2" type="noConversion"/>
  </si>
  <si>
    <t>Duty team of night shift</t>
    <phoneticPr fontId="2" type="noConversion"/>
  </si>
  <si>
    <t>S?</t>
    <phoneticPr fontId="2" type="noConversion"/>
  </si>
  <si>
    <t>Tel</t>
    <phoneticPr fontId="2" type="noConversion"/>
  </si>
  <si>
    <t>CN NG</t>
    <phoneticPr fontId="2" type="noConversion"/>
  </si>
  <si>
    <t>YM KWOK</t>
    <phoneticPr fontId="2" type="noConversion"/>
  </si>
  <si>
    <t>6685 0265</t>
    <phoneticPr fontId="2" type="noConversion"/>
  </si>
  <si>
    <t>S3</t>
    <phoneticPr fontId="2" type="noConversion"/>
  </si>
  <si>
    <t>WO LO</t>
    <phoneticPr fontId="2" type="noConversion"/>
  </si>
  <si>
    <t>HY CHOY</t>
    <phoneticPr fontId="2" type="noConversion"/>
  </si>
  <si>
    <t>KY LAU</t>
    <phoneticPr fontId="2" type="noConversion"/>
  </si>
  <si>
    <t>WS YUEN</t>
    <phoneticPr fontId="2" type="noConversion"/>
  </si>
  <si>
    <t>WL TSE</t>
    <phoneticPr fontId="2" type="noConversion"/>
  </si>
  <si>
    <t>KS CHU</t>
    <phoneticPr fontId="2" type="noConversion"/>
  </si>
  <si>
    <t>9425 1098</t>
    <phoneticPr fontId="2" type="noConversion"/>
  </si>
  <si>
    <t>9669 1314</t>
    <phoneticPr fontId="2" type="noConversion"/>
  </si>
  <si>
    <t>9078 2260</t>
    <phoneticPr fontId="2" type="noConversion"/>
  </si>
  <si>
    <t>9786 1247</t>
    <phoneticPr fontId="2" type="noConversion"/>
  </si>
  <si>
    <t>6155 6957</t>
    <phoneticPr fontId="2" type="noConversion"/>
  </si>
  <si>
    <t>9745 6782</t>
    <phoneticPr fontId="2" type="noConversion"/>
  </si>
  <si>
    <t>9861 1888</t>
    <phoneticPr fontId="2" type="noConversion"/>
  </si>
  <si>
    <t>WONG, TSZ MING</t>
    <phoneticPr fontId="2" type="noConversion"/>
  </si>
  <si>
    <t>Rank</t>
    <phoneticPr fontId="2" type="noConversion"/>
  </si>
  <si>
    <t>Name</t>
    <phoneticPr fontId="2" type="noConversion"/>
  </si>
  <si>
    <t>YT NG</t>
    <phoneticPr fontId="2" type="noConversion"/>
  </si>
  <si>
    <t>CHONG, MAN LOK</t>
    <phoneticPr fontId="2" type="noConversion"/>
  </si>
  <si>
    <t>S6</t>
    <phoneticPr fontId="2" type="noConversion"/>
  </si>
  <si>
    <t>S7</t>
    <phoneticPr fontId="2" type="noConversion"/>
  </si>
  <si>
    <t>S9</t>
    <phoneticPr fontId="2" type="noConversion"/>
  </si>
  <si>
    <t>S10</t>
    <phoneticPr fontId="2" type="noConversion"/>
  </si>
  <si>
    <t>S11</t>
    <phoneticPr fontId="2" type="noConversion"/>
  </si>
  <si>
    <t>S12</t>
    <phoneticPr fontId="2" type="noConversion"/>
  </si>
  <si>
    <t>YC HUNG</t>
    <phoneticPr fontId="2" type="noConversion"/>
  </si>
  <si>
    <t>9588 7123</t>
    <phoneticPr fontId="2" type="noConversion"/>
  </si>
  <si>
    <t>9729 0080</t>
    <phoneticPr fontId="2" type="noConversion"/>
  </si>
  <si>
    <t>Flight
No.</t>
    <phoneticPr fontId="2" type="noConversion"/>
  </si>
  <si>
    <t>HM LAU</t>
    <phoneticPr fontId="2" type="noConversion"/>
  </si>
  <si>
    <t>6170 7151</t>
    <phoneticPr fontId="2" type="noConversion"/>
  </si>
  <si>
    <t>CH LUK</t>
    <phoneticPr fontId="2" type="noConversion"/>
  </si>
  <si>
    <t>6169 6818</t>
    <phoneticPr fontId="2" type="noConversion"/>
  </si>
  <si>
    <t>YY SZE</t>
    <phoneticPr fontId="2" type="noConversion"/>
  </si>
  <si>
    <t>9758 9797</t>
    <phoneticPr fontId="2" type="noConversion"/>
  </si>
  <si>
    <t>CHUNG, KA KIT</t>
    <phoneticPr fontId="2" type="noConversion"/>
  </si>
  <si>
    <t>LIU, WAI FUN (F)</t>
    <phoneticPr fontId="2" type="noConversion"/>
  </si>
  <si>
    <t>WONG, LIK SUM</t>
    <phoneticPr fontId="2" type="noConversion"/>
  </si>
  <si>
    <t>AU, ANTHONY WEN YANG</t>
  </si>
  <si>
    <t>AU, NELSON</t>
    <phoneticPr fontId="2" type="noConversion"/>
  </si>
  <si>
    <t>WAN, KAM HONG</t>
    <phoneticPr fontId="2" type="noConversion"/>
  </si>
  <si>
    <t>KWOK, KA MAN (F)</t>
    <phoneticPr fontId="2" type="noConversion"/>
  </si>
  <si>
    <t>YIP, KIT YAN (F)</t>
    <phoneticPr fontId="2" type="noConversion"/>
  </si>
  <si>
    <t>CHIU, OI YU (F)</t>
    <phoneticPr fontId="2" type="noConversion"/>
  </si>
  <si>
    <t>LAM, PUI KWAN (F)</t>
    <phoneticPr fontId="2" type="noConversion"/>
  </si>
  <si>
    <t>MAK, KA WAI (F)</t>
    <phoneticPr fontId="2" type="noConversion"/>
  </si>
  <si>
    <t>LAW, MAN YING (F)</t>
    <phoneticPr fontId="2" type="noConversion"/>
  </si>
  <si>
    <t>CHEUNG, HO WAI</t>
    <phoneticPr fontId="2" type="noConversion"/>
  </si>
  <si>
    <t>LAUW, NAM FAI</t>
    <phoneticPr fontId="2" type="noConversion"/>
  </si>
  <si>
    <t>CHAN, CHUN YIN</t>
    <phoneticPr fontId="2" type="noConversion"/>
  </si>
  <si>
    <t>CHEUNG, HANG KEI</t>
    <phoneticPr fontId="2" type="noConversion"/>
  </si>
  <si>
    <t>MAK, SHUK WAN (F)</t>
    <phoneticPr fontId="2" type="noConversion"/>
  </si>
  <si>
    <t>MAN, KA LUNG</t>
    <phoneticPr fontId="2" type="noConversion"/>
  </si>
  <si>
    <t>CHAN, KA YAN NATALIE (F)</t>
    <phoneticPr fontId="2" type="noConversion"/>
  </si>
  <si>
    <t>KU, HON CHEUNG</t>
    <phoneticPr fontId="2" type="noConversion"/>
  </si>
  <si>
    <t>TAM, WAI MAN (F)</t>
    <phoneticPr fontId="2" type="noConversion"/>
  </si>
  <si>
    <t>CX632</t>
    <phoneticPr fontId="2" type="noConversion"/>
  </si>
  <si>
    <t>MAA</t>
    <phoneticPr fontId="2" type="noConversion"/>
  </si>
  <si>
    <t>CX696</t>
    <phoneticPr fontId="2" type="noConversion"/>
  </si>
  <si>
    <t>CX698</t>
    <phoneticPr fontId="2" type="noConversion"/>
  </si>
  <si>
    <t>0700</t>
    <phoneticPr fontId="2" type="noConversion"/>
  </si>
  <si>
    <t>TR972</t>
    <phoneticPr fontId="2" type="noConversion"/>
  </si>
  <si>
    <t>SIO/FO</t>
    <phoneticPr fontId="2" type="noConversion"/>
  </si>
  <si>
    <t>SIO/O</t>
    <phoneticPr fontId="2" type="noConversion"/>
  </si>
  <si>
    <t>CHAN, CHUN NGAI</t>
    <phoneticPr fontId="2" type="noConversion"/>
  </si>
  <si>
    <t>S8</t>
    <phoneticPr fontId="2" type="noConversion"/>
  </si>
  <si>
    <t>BN   :</t>
    <phoneticPr fontId="2" type="noConversion"/>
  </si>
  <si>
    <t>A    :</t>
    <phoneticPr fontId="2" type="noConversion"/>
  </si>
  <si>
    <t>BS   :</t>
    <phoneticPr fontId="2" type="noConversion"/>
  </si>
  <si>
    <t>CN   :</t>
    <phoneticPr fontId="2" type="noConversion"/>
  </si>
  <si>
    <t>CS   :</t>
    <phoneticPr fontId="2" type="noConversion"/>
  </si>
  <si>
    <t>AM   :</t>
    <phoneticPr fontId="2" type="noConversion"/>
  </si>
  <si>
    <t>AE   :</t>
    <phoneticPr fontId="2" type="noConversion"/>
  </si>
  <si>
    <t>Tel   :</t>
    <phoneticPr fontId="2" type="noConversion"/>
  </si>
  <si>
    <t>DO "Morning Shift"  :</t>
    <phoneticPr fontId="2" type="noConversion"/>
  </si>
  <si>
    <t>DO "Night Shift"    :</t>
    <phoneticPr fontId="2" type="noConversion"/>
  </si>
  <si>
    <t>Tel  :   2116 6655</t>
    <phoneticPr fontId="2" type="noConversion"/>
  </si>
  <si>
    <t>Tel  :   9038 6619</t>
    <phoneticPr fontId="2" type="noConversion"/>
  </si>
  <si>
    <t>Tel  :   218 25181 / 218 25183</t>
    <phoneticPr fontId="2" type="noConversion"/>
  </si>
  <si>
    <t>Tel  :   218 21084 / 218 21093</t>
    <phoneticPr fontId="2" type="noConversion"/>
  </si>
  <si>
    <t>Tel  :   2261 0118</t>
    <phoneticPr fontId="2" type="noConversion"/>
  </si>
  <si>
    <t>CIO(A)/ M  :</t>
    <phoneticPr fontId="2" type="noConversion"/>
  </si>
  <si>
    <t>CIO(A)/ E   :</t>
    <phoneticPr fontId="2" type="noConversion"/>
  </si>
  <si>
    <t>Target Flight</t>
    <phoneticPr fontId="2" type="noConversion"/>
  </si>
  <si>
    <t xml:space="preserve">  </t>
    <phoneticPr fontId="2" type="noConversion"/>
  </si>
  <si>
    <t>SC TAI</t>
    <phoneticPr fontId="2" type="noConversion"/>
  </si>
  <si>
    <t>6122 9358</t>
    <phoneticPr fontId="2" type="noConversion"/>
  </si>
  <si>
    <t>KM LEUNG</t>
    <phoneticPr fontId="2" type="noConversion"/>
  </si>
  <si>
    <t>9433 2330</t>
    <phoneticPr fontId="2" type="noConversion"/>
  </si>
  <si>
    <t>K MAU</t>
    <phoneticPr fontId="2" type="noConversion"/>
  </si>
  <si>
    <t>9555 6409</t>
    <phoneticPr fontId="2" type="noConversion"/>
  </si>
  <si>
    <t>9728 6719</t>
    <phoneticPr fontId="2" type="noConversion"/>
  </si>
  <si>
    <t>HY MUI</t>
    <phoneticPr fontId="2" type="noConversion"/>
  </si>
  <si>
    <t>TR976</t>
    <phoneticPr fontId="2" type="noConversion"/>
  </si>
  <si>
    <t>TG628</t>
    <phoneticPr fontId="2" type="noConversion"/>
  </si>
  <si>
    <t>1420</t>
    <phoneticPr fontId="2" type="noConversion"/>
  </si>
  <si>
    <t>HX760</t>
    <phoneticPr fontId="2" type="noConversion"/>
  </si>
  <si>
    <t>1805</t>
    <phoneticPr fontId="2" type="noConversion"/>
  </si>
  <si>
    <t>0935</t>
    <phoneticPr fontId="2" type="noConversion"/>
  </si>
  <si>
    <t>MNL</t>
    <phoneticPr fontId="10" type="noConversion"/>
  </si>
  <si>
    <t>0930</t>
    <phoneticPr fontId="2" type="noConversion"/>
  </si>
  <si>
    <t>3A010</t>
  </si>
  <si>
    <t>ZYK</t>
    <phoneticPr fontId="2" type="noConversion"/>
  </si>
  <si>
    <t>HKM</t>
    <phoneticPr fontId="2" type="noConversion"/>
  </si>
  <si>
    <t>澳門車</t>
    <phoneticPr fontId="2" type="noConversion"/>
  </si>
  <si>
    <t>SH FUNG</t>
    <phoneticPr fontId="2" type="noConversion"/>
  </si>
  <si>
    <t>6015 2752</t>
    <phoneticPr fontId="2" type="noConversion"/>
  </si>
  <si>
    <t>WW LAW</t>
    <phoneticPr fontId="2" type="noConversion"/>
  </si>
  <si>
    <t>6018 0589</t>
    <phoneticPr fontId="2" type="noConversion"/>
  </si>
  <si>
    <t>P</t>
    <phoneticPr fontId="2" type="noConversion"/>
  </si>
  <si>
    <t>O</t>
    <phoneticPr fontId="2" type="noConversion"/>
  </si>
  <si>
    <t>8S7119</t>
    <phoneticPr fontId="2" type="noConversion"/>
  </si>
  <si>
    <t>AI2161</t>
    <phoneticPr fontId="2" type="noConversion"/>
  </si>
  <si>
    <t>3A009</t>
  </si>
  <si>
    <t>Berth 3</t>
    <phoneticPr fontId="2" type="noConversion"/>
  </si>
  <si>
    <t>3A008</t>
    <phoneticPr fontId="2" type="noConversion"/>
  </si>
  <si>
    <t>8S7128</t>
    <phoneticPr fontId="2" type="noConversion"/>
  </si>
  <si>
    <t>Bay 7</t>
    <phoneticPr fontId="2" type="noConversion"/>
  </si>
  <si>
    <t>2030</t>
    <phoneticPr fontId="2" type="noConversion"/>
  </si>
  <si>
    <t>3A003</t>
    <phoneticPr fontId="2" type="noConversion"/>
  </si>
  <si>
    <t>3A005</t>
    <phoneticPr fontId="2" type="noConversion"/>
  </si>
  <si>
    <t>3A007</t>
    <phoneticPr fontId="2" type="noConversion"/>
  </si>
  <si>
    <t>8S7108</t>
    <phoneticPr fontId="2" type="noConversion"/>
  </si>
  <si>
    <t>8S7111</t>
    <phoneticPr fontId="2" type="noConversion"/>
  </si>
  <si>
    <t>8S7131</t>
    <phoneticPr fontId="2" type="noConversion"/>
  </si>
  <si>
    <t>8S7126</t>
    <phoneticPr fontId="2" type="noConversion"/>
  </si>
  <si>
    <t>Bay 7</t>
  </si>
  <si>
    <t>3A8010</t>
    <phoneticPr fontId="2" type="noConversion"/>
  </si>
  <si>
    <t>HZI</t>
    <phoneticPr fontId="2" type="noConversion"/>
  </si>
  <si>
    <t>3A8015</t>
    <phoneticPr fontId="2" type="noConversion"/>
  </si>
  <si>
    <t>3A8016</t>
    <phoneticPr fontId="2" type="noConversion"/>
  </si>
  <si>
    <t>HO, KWOK WUN, D</t>
    <phoneticPr fontId="2" type="noConversion"/>
  </si>
  <si>
    <t>WS CHENG</t>
    <phoneticPr fontId="2" type="noConversion"/>
  </si>
  <si>
    <t>9850 0581</t>
    <phoneticPr fontId="2" type="noConversion"/>
  </si>
  <si>
    <t>HUANG, SHANGBIN</t>
    <phoneticPr fontId="2" type="noConversion"/>
  </si>
  <si>
    <t>S1</t>
    <phoneticPr fontId="2" type="noConversion"/>
  </si>
  <si>
    <t>KL SHEUNG</t>
    <phoneticPr fontId="2" type="noConversion"/>
  </si>
  <si>
    <t>SIA</t>
    <phoneticPr fontId="2" type="noConversion"/>
  </si>
  <si>
    <t>5347 0188</t>
    <phoneticPr fontId="2" type="noConversion"/>
  </si>
  <si>
    <t>Target Bus/Ferry</t>
    <phoneticPr fontId="2" type="noConversion"/>
  </si>
  <si>
    <t>S4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</si>
  <si>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</si>
  <si>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</si>
  <si>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</si>
  <si>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</si>
  <si>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</si>
  <si>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</si>
  <si>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S2</t>
    <phoneticPr fontId="2" type="noConversion"/>
  </si>
  <si>
    <t>07</t>
    <phoneticPr fontId="2" type="noConversion"/>
  </si>
  <si>
    <t>09</t>
    <phoneticPr fontId="2" type="noConversion"/>
  </si>
  <si>
    <t>10</t>
    <phoneticPr fontId="2" type="noConversion"/>
  </si>
  <si>
    <t>XX</t>
    <phoneticPr fontId="2" type="noConversion"/>
  </si>
  <si>
    <t>REL</t>
    <phoneticPr fontId="2" type="noConversion"/>
  </si>
  <si>
    <t>TANG, WING KAI (F)</t>
    <phoneticPr fontId="2" type="noConversion"/>
  </si>
  <si>
    <t>CH LO</t>
    <phoneticPr fontId="2" type="noConversion"/>
  </si>
  <si>
    <t>6533 8527</t>
    <phoneticPr fontId="2" type="noConversion"/>
  </si>
  <si>
    <t>PL WONG</t>
    <phoneticPr fontId="2" type="noConversion"/>
  </si>
  <si>
    <t>YL LEE</t>
    <phoneticPr fontId="2" type="noConversion"/>
  </si>
  <si>
    <t>9226 3992</t>
    <phoneticPr fontId="2" type="noConversion"/>
  </si>
  <si>
    <t>SIA/CIA?</t>
    <phoneticPr fontId="2" type="noConversion"/>
  </si>
  <si>
    <t>Fam IO</t>
    <phoneticPr fontId="2" type="noConversion"/>
  </si>
  <si>
    <t>Fam CIA</t>
    <phoneticPr fontId="2" type="noConversion"/>
  </si>
  <si>
    <t>內地船</t>
    <phoneticPr fontId="2" type="noConversion"/>
  </si>
  <si>
    <t>3A031</t>
    <phoneticPr fontId="2" type="noConversion"/>
  </si>
  <si>
    <t>ZTI</t>
    <phoneticPr fontId="2" type="noConversion"/>
  </si>
  <si>
    <t>8S7121</t>
    <phoneticPr fontId="2" type="noConversion"/>
  </si>
  <si>
    <t>0945</t>
    <phoneticPr fontId="2" type="noConversion"/>
  </si>
  <si>
    <t>SIA</t>
    <phoneticPr fontId="2" type="noConversion"/>
  </si>
  <si>
    <t>6074 1945</t>
    <phoneticPr fontId="2" type="noConversion"/>
  </si>
  <si>
    <t>MAK, KA WAI (F)</t>
    <phoneticPr fontId="2" type="noConversion"/>
  </si>
  <si>
    <t>REL</t>
    <phoneticPr fontId="2" type="noConversion"/>
  </si>
  <si>
    <t>CHEUNG, HANG KEI</t>
    <phoneticPr fontId="2" type="noConversion"/>
  </si>
  <si>
    <t>HO, KWOK WUN D</t>
    <phoneticPr fontId="2" type="noConversion"/>
  </si>
  <si>
    <t>01</t>
    <phoneticPr fontId="2" type="noConversion"/>
  </si>
  <si>
    <t>CIO</t>
    <phoneticPr fontId="2" type="noConversion"/>
  </si>
  <si>
    <t>/S</t>
    <phoneticPr fontId="2" type="noConversion"/>
  </si>
  <si>
    <t>/F</t>
    <phoneticPr fontId="2" type="noConversion"/>
  </si>
  <si>
    <t>/C</t>
    <phoneticPr fontId="2" type="noConversion"/>
  </si>
  <si>
    <t>03</t>
    <phoneticPr fontId="2" type="noConversion"/>
  </si>
  <si>
    <t>SL360</t>
    <phoneticPr fontId="2" type="noConversion"/>
  </si>
  <si>
    <t>1305</t>
    <phoneticPr fontId="2" type="noConversion"/>
  </si>
  <si>
    <t>HO, KING KAI</t>
    <phoneticPr fontId="2" type="noConversion"/>
  </si>
  <si>
    <t>CHAN, KA HANG</t>
    <phoneticPr fontId="2" type="noConversion"/>
  </si>
  <si>
    <t>CX658</t>
    <phoneticPr fontId="2" type="noConversion"/>
  </si>
  <si>
    <t>1400</t>
    <phoneticPr fontId="2" type="noConversion"/>
  </si>
  <si>
    <t>FD515</t>
    <phoneticPr fontId="2" type="noConversion"/>
  </si>
  <si>
    <t>CNX</t>
    <phoneticPr fontId="2" type="noConversion"/>
  </si>
  <si>
    <t>HB282</t>
    <phoneticPr fontId="2" type="noConversion"/>
  </si>
  <si>
    <t>1550</t>
    <phoneticPr fontId="2" type="noConversion"/>
  </si>
  <si>
    <t>HB298</t>
    <phoneticPr fontId="2" type="noConversion"/>
  </si>
  <si>
    <t>1745</t>
    <phoneticPr fontId="2" type="noConversion"/>
  </si>
  <si>
    <t>Z21264</t>
    <phoneticPr fontId="2" type="noConversion"/>
  </si>
  <si>
    <t>1055</t>
    <phoneticPr fontId="2" type="noConversion"/>
  </si>
  <si>
    <t>MNL</t>
    <phoneticPr fontId="2" type="noConversion"/>
  </si>
  <si>
    <t>Gate 8</t>
    <phoneticPr fontId="2" type="noConversion"/>
  </si>
  <si>
    <t>CX718</t>
    <phoneticPr fontId="2" type="noConversion"/>
  </si>
  <si>
    <t>1415</t>
    <phoneticPr fontId="10" type="noConversion"/>
  </si>
  <si>
    <t>DMK</t>
    <phoneticPr fontId="10" type="noConversion"/>
  </si>
  <si>
    <t>TG602</t>
    <phoneticPr fontId="2" type="noConversion"/>
  </si>
  <si>
    <t>2155</t>
    <phoneticPr fontId="10" type="noConversion"/>
  </si>
  <si>
    <t>UO515</t>
    <phoneticPr fontId="10" type="noConversion"/>
  </si>
  <si>
    <t>2315</t>
    <phoneticPr fontId="10" type="noConversion"/>
  </si>
  <si>
    <t>UO677</t>
    <phoneticPr fontId="10" type="noConversion"/>
  </si>
  <si>
    <t>1020</t>
    <phoneticPr fontId="10" type="noConversion"/>
  </si>
  <si>
    <t>CJN</t>
    <phoneticPr fontId="10" type="noConversion"/>
  </si>
  <si>
    <t>UO701</t>
    <phoneticPr fontId="10" type="noConversion"/>
  </si>
  <si>
    <t>2005</t>
    <phoneticPr fontId="10" type="noConversion"/>
  </si>
  <si>
    <t>UO703</t>
    <phoneticPr fontId="10" type="noConversion"/>
  </si>
  <si>
    <t>2340</t>
    <phoneticPr fontId="10" type="noConversion"/>
  </si>
  <si>
    <t>UO705</t>
    <phoneticPr fontId="10" type="noConversion"/>
  </si>
  <si>
    <t>1430</t>
    <phoneticPr fontId="10" type="noConversion"/>
  </si>
  <si>
    <t>UO755</t>
    <phoneticPr fontId="10" type="noConversion"/>
  </si>
  <si>
    <t>2330</t>
    <phoneticPr fontId="10" type="noConversion"/>
  </si>
  <si>
    <t>CNX</t>
    <phoneticPr fontId="10" type="noConversion"/>
  </si>
  <si>
    <t>UO757</t>
    <phoneticPr fontId="10" type="noConversion"/>
  </si>
  <si>
    <t>1425</t>
    <phoneticPr fontId="10" type="noConversion"/>
  </si>
  <si>
    <t>UO793</t>
    <phoneticPr fontId="10" type="noConversion"/>
  </si>
  <si>
    <t>2220</t>
    <phoneticPr fontId="10" type="noConversion"/>
  </si>
  <si>
    <t>UO795</t>
    <phoneticPr fontId="10" type="noConversion"/>
  </si>
  <si>
    <t>1440</t>
    <phoneticPr fontId="10" type="noConversion"/>
  </si>
  <si>
    <t>VN592</t>
    <phoneticPr fontId="10" type="noConversion"/>
  </si>
  <si>
    <t>1330</t>
    <phoneticPr fontId="10" type="noConversion"/>
  </si>
  <si>
    <t>HAN</t>
    <phoneticPr fontId="10" type="noConversion"/>
  </si>
  <si>
    <t>CX698</t>
  </si>
  <si>
    <t>AI2161</t>
  </si>
  <si>
    <t>GA860</t>
  </si>
  <si>
    <t>HX760</t>
  </si>
  <si>
    <t>CX694</t>
  </si>
  <si>
    <t>CX624</t>
  </si>
  <si>
    <t>CX660</t>
  </si>
  <si>
    <t>FD508</t>
  </si>
  <si>
    <t>PR300</t>
  </si>
  <si>
    <t>AK138</t>
  </si>
  <si>
    <t>TG600</t>
  </si>
  <si>
    <t>SL360</t>
  </si>
  <si>
    <t>6E1707</t>
  </si>
  <si>
    <t>OD605</t>
  </si>
  <si>
    <t>TG628</t>
  </si>
  <si>
    <t>ET644</t>
  </si>
  <si>
    <t>QR818</t>
  </si>
  <si>
    <t>TK070</t>
  </si>
  <si>
    <t>AK136</t>
  </si>
  <si>
    <t>EK384</t>
  </si>
  <si>
    <t>5J112</t>
  </si>
  <si>
    <t>TG638</t>
  </si>
  <si>
    <t>FD504</t>
  </si>
  <si>
    <t>HX776</t>
  </si>
  <si>
    <t>CX776</t>
  </si>
  <si>
    <t>QR816</t>
  </si>
  <si>
    <t>PR306</t>
  </si>
  <si>
    <t>HB284</t>
  </si>
  <si>
    <t>CX696</t>
  </si>
  <si>
    <t>CX632</t>
  </si>
  <si>
    <t>ET608</t>
  </si>
  <si>
    <t>HX766</t>
  </si>
  <si>
    <t>0020</t>
    <phoneticPr fontId="2" type="noConversion"/>
  </si>
  <si>
    <t>PR306</t>
    <phoneticPr fontId="2" type="noConversion"/>
  </si>
  <si>
    <t>AI996</t>
    <phoneticPr fontId="2" type="noConversion"/>
  </si>
  <si>
    <t>AI996</t>
    <phoneticPr fontId="2" type="noConversion"/>
  </si>
  <si>
    <t>2120</t>
    <phoneticPr fontId="2" type="noConversion"/>
  </si>
  <si>
    <t>0620</t>
    <phoneticPr fontId="2" type="noConversion"/>
  </si>
  <si>
    <t>CGK</t>
    <phoneticPr fontId="2" type="noConversion"/>
  </si>
  <si>
    <t>CX672</t>
    <phoneticPr fontId="2" type="noConversion"/>
  </si>
  <si>
    <t>0930</t>
    <phoneticPr fontId="2" type="noConversion"/>
  </si>
  <si>
    <t>HYD</t>
    <phoneticPr fontId="2" type="noConversion"/>
  </si>
  <si>
    <t>&lt;   Hall Operation   &gt;</t>
  </si>
  <si>
    <t>Menzies CNAC Aviation Services Ltd</t>
    <phoneticPr fontId="2" type="noConversion"/>
  </si>
  <si>
    <t>Tel  :   9187 9601</t>
    <phoneticPr fontId="2" type="noConversion"/>
  </si>
  <si>
    <t>Tel  :   9094 1650</t>
    <phoneticPr fontId="2" type="noConversion"/>
  </si>
  <si>
    <t>Fax :   2350 3265</t>
    <phoneticPr fontId="2" type="noConversion"/>
  </si>
  <si>
    <t>2320</t>
    <phoneticPr fontId="2" type="noConversion"/>
  </si>
  <si>
    <t>DEL</t>
    <phoneticPr fontId="2" type="noConversion"/>
  </si>
  <si>
    <t>S10</t>
    <phoneticPr fontId="2" type="noConversion"/>
  </si>
  <si>
    <t>WS CHENG</t>
  </si>
  <si>
    <t>WS CHENG</t>
    <phoneticPr fontId="2" type="noConversion"/>
  </si>
  <si>
    <t>9850 0581</t>
    <phoneticPr fontId="2" type="noConversion"/>
  </si>
  <si>
    <t>CX766</t>
    <phoneticPr fontId="2" type="noConversion"/>
  </si>
  <si>
    <t>1455</t>
    <phoneticPr fontId="2" type="noConversion"/>
  </si>
  <si>
    <t>SGN</t>
    <phoneticPr fontId="2" type="noConversion"/>
  </si>
  <si>
    <t>HY MUI</t>
    <phoneticPr fontId="2" type="noConversion"/>
  </si>
  <si>
    <t>CIA</t>
    <phoneticPr fontId="2" type="noConversion"/>
  </si>
  <si>
    <t>9728 6719</t>
    <phoneticPr fontId="2" type="noConversion"/>
  </si>
  <si>
    <t>AU, ANTHONY WEN YANG</t>
    <phoneticPr fontId="2" type="noConversion"/>
  </si>
  <si>
    <t>HO, KWOK WUN, D</t>
  </si>
  <si>
    <t>WONG, LIK SUM</t>
  </si>
  <si>
    <t>KWOK, KA MAN (F)</t>
  </si>
  <si>
    <t>LAM, PUI KWAN (F)</t>
  </si>
  <si>
    <t>CHEUNG, HANG KEI</t>
  </si>
  <si>
    <t>CHAN, KA HANG</t>
  </si>
  <si>
    <t>MAK, KA WAI (F)</t>
  </si>
  <si>
    <t>HUANG, SHANGBIN</t>
  </si>
  <si>
    <t>WAN, KAM HONG</t>
  </si>
  <si>
    <t>AU, ANTHONY WEN YANG</t>
    <phoneticPr fontId="2" type="noConversion"/>
  </si>
  <si>
    <t>CHEUNG, HO WAI</t>
  </si>
  <si>
    <t>LAUW, NAM FAI</t>
  </si>
  <si>
    <t>MAN, KA LUNG</t>
  </si>
  <si>
    <t>KU, HON CHEUNG</t>
  </si>
  <si>
    <t>0130</t>
    <phoneticPr fontId="2" type="noConversion"/>
  </si>
  <si>
    <t>GA860</t>
    <phoneticPr fontId="2" type="noConversion"/>
  </si>
  <si>
    <t>0545</t>
    <phoneticPr fontId="2" type="noConversion"/>
  </si>
  <si>
    <t>CGK</t>
    <phoneticPr fontId="2" type="noConversion"/>
  </si>
  <si>
    <t>HX760</t>
    <phoneticPr fontId="2" type="noConversion"/>
  </si>
  <si>
    <t>0555</t>
    <phoneticPr fontId="2" type="noConversion"/>
  </si>
  <si>
    <t>BKK</t>
    <phoneticPr fontId="2" type="noConversion"/>
  </si>
  <si>
    <t>AI314</t>
    <phoneticPr fontId="2" type="noConversion"/>
  </si>
  <si>
    <t>CX698</t>
    <phoneticPr fontId="2" type="noConversion"/>
  </si>
  <si>
    <t>0640</t>
    <phoneticPr fontId="2" type="noConversion"/>
  </si>
  <si>
    <t>0905</t>
    <phoneticPr fontId="2" type="noConversion"/>
  </si>
  <si>
    <t>CX672</t>
    <phoneticPr fontId="2" type="noConversion"/>
  </si>
  <si>
    <t>0930</t>
    <phoneticPr fontId="2" type="noConversion"/>
  </si>
  <si>
    <t>HYD</t>
    <phoneticPr fontId="2" type="noConversion"/>
  </si>
  <si>
    <t>&lt;   Hall Operation   &gt;</t>
    <phoneticPr fontId="2" type="noConversion"/>
  </si>
  <si>
    <t>0935</t>
    <phoneticPr fontId="2" type="noConversion"/>
  </si>
  <si>
    <t>0955</t>
    <phoneticPr fontId="2" type="noConversion"/>
  </si>
  <si>
    <t>HX768</t>
    <phoneticPr fontId="2" type="noConversion"/>
  </si>
  <si>
    <t>PR306</t>
    <phoneticPr fontId="2" type="noConversion"/>
  </si>
  <si>
    <t>MNL</t>
    <phoneticPr fontId="2" type="noConversion"/>
  </si>
  <si>
    <t>TR972</t>
    <phoneticPr fontId="2" type="noConversion"/>
  </si>
  <si>
    <t>AI996</t>
    <phoneticPr fontId="2" type="noConversion"/>
  </si>
  <si>
    <t>DEL</t>
    <phoneticPr fontId="2" type="noConversion"/>
  </si>
  <si>
    <t>HX722</t>
    <phoneticPr fontId="2" type="noConversion"/>
  </si>
  <si>
    <t>S6</t>
    <phoneticPr fontId="2" type="noConversion"/>
  </si>
  <si>
    <t>-</t>
    <phoneticPr fontId="2" type="noConversion"/>
  </si>
  <si>
    <t>S9</t>
    <phoneticPr fontId="2" type="noConversion"/>
  </si>
  <si>
    <t>S10</t>
    <phoneticPr fontId="2" type="noConversion"/>
  </si>
  <si>
    <t>S5</t>
    <phoneticPr fontId="2" type="noConversion"/>
  </si>
  <si>
    <t>HX766</t>
    <phoneticPr fontId="2" type="noConversion"/>
  </si>
  <si>
    <t>0130</t>
    <phoneticPr fontId="2" type="noConversion"/>
  </si>
  <si>
    <t>GA860</t>
    <phoneticPr fontId="2" type="noConversion"/>
  </si>
  <si>
    <t>HX760</t>
    <phoneticPr fontId="2" type="noConversion"/>
  </si>
  <si>
    <t>AI314</t>
    <phoneticPr fontId="2" type="noConversion"/>
  </si>
  <si>
    <t>CX698</t>
    <phoneticPr fontId="2" type="noConversion"/>
  </si>
  <si>
    <t>CX694</t>
    <phoneticPr fontId="2" type="noConversion"/>
  </si>
  <si>
    <t>CX624</t>
    <phoneticPr fontId="2" type="noConversion"/>
  </si>
  <si>
    <t>CX660</t>
    <phoneticPr fontId="2" type="noConversion"/>
  </si>
  <si>
    <t>FD508</t>
    <phoneticPr fontId="2" type="noConversion"/>
  </si>
  <si>
    <t>PR300</t>
    <phoneticPr fontId="2" type="noConversion"/>
  </si>
  <si>
    <t>HX768</t>
    <phoneticPr fontId="2" type="noConversion"/>
  </si>
  <si>
    <t>BKK</t>
    <phoneticPr fontId="2" type="noConversion"/>
  </si>
  <si>
    <t>HX772</t>
    <phoneticPr fontId="2" type="noConversion"/>
  </si>
  <si>
    <t>PR306</t>
    <phoneticPr fontId="2" type="noConversion"/>
  </si>
  <si>
    <t>MNL</t>
    <phoneticPr fontId="2" type="noConversion"/>
  </si>
  <si>
    <t>TR972</t>
    <phoneticPr fontId="2" type="noConversion"/>
  </si>
  <si>
    <t>SIN</t>
    <phoneticPr fontId="2" type="noConversion"/>
  </si>
  <si>
    <t>AI996</t>
    <phoneticPr fontId="2" type="noConversion"/>
  </si>
  <si>
    <t>DEL</t>
    <phoneticPr fontId="2" type="noConversion"/>
  </si>
  <si>
    <t>HO, KWOK WUN D</t>
    <phoneticPr fontId="2" type="noConversion"/>
  </si>
  <si>
    <t>AU, ANTHONY WEN YANG</t>
    <phoneticPr fontId="2" type="noConversion"/>
  </si>
  <si>
    <t>WONG, LIK SUM</t>
    <phoneticPr fontId="2" type="noConversion"/>
  </si>
  <si>
    <t>CHEUNG, HANG KEI</t>
    <phoneticPr fontId="2" type="noConversion"/>
  </si>
  <si>
    <t>LEUNG, CHI HANG</t>
    <phoneticPr fontId="2" type="noConversion"/>
  </si>
  <si>
    <t>HUANG, SHANGBIN</t>
    <phoneticPr fontId="2" type="noConversion"/>
  </si>
  <si>
    <t>KWOK, KA MAN</t>
    <phoneticPr fontId="2" type="noConversion"/>
  </si>
  <si>
    <t xml:space="preserve">Hall Operation </t>
    <phoneticPr fontId="2" type="noConversion"/>
  </si>
  <si>
    <t>S3</t>
    <phoneticPr fontId="2" type="noConversion"/>
  </si>
  <si>
    <t>S4</t>
    <phoneticPr fontId="2" type="noConversion"/>
  </si>
  <si>
    <t>S1</t>
    <phoneticPr fontId="2" type="noConversion"/>
  </si>
  <si>
    <t>HX766</t>
    <phoneticPr fontId="2" type="noConversion"/>
  </si>
  <si>
    <t>GA860</t>
    <phoneticPr fontId="2" type="noConversion"/>
  </si>
  <si>
    <t>HX760</t>
    <phoneticPr fontId="2" type="noConversion"/>
  </si>
  <si>
    <t>AI314</t>
    <phoneticPr fontId="2" type="noConversion"/>
  </si>
  <si>
    <t>CX696</t>
    <phoneticPr fontId="2" type="noConversion"/>
  </si>
  <si>
    <t>CX660</t>
    <phoneticPr fontId="2" type="noConversion"/>
  </si>
  <si>
    <t>DEL</t>
    <phoneticPr fontId="2" type="noConversion"/>
  </si>
  <si>
    <t>HX768</t>
    <phoneticPr fontId="2" type="noConversion"/>
  </si>
  <si>
    <t>BKK</t>
    <phoneticPr fontId="2" type="noConversion"/>
  </si>
  <si>
    <t>HX772</t>
    <phoneticPr fontId="2" type="noConversion"/>
  </si>
  <si>
    <t>ET608</t>
    <phoneticPr fontId="2" type="noConversion"/>
  </si>
  <si>
    <t>AK136</t>
    <phoneticPr fontId="2" type="noConversion"/>
  </si>
  <si>
    <t>EK384</t>
    <phoneticPr fontId="2" type="noConversion"/>
  </si>
  <si>
    <t>5J112</t>
    <phoneticPr fontId="2" type="noConversion"/>
  </si>
  <si>
    <t>TR972</t>
    <phoneticPr fontId="2" type="noConversion"/>
  </si>
  <si>
    <t>HX776</t>
    <phoneticPr fontId="2" type="noConversion"/>
  </si>
  <si>
    <t>AI996</t>
    <phoneticPr fontId="2" type="noConversion"/>
  </si>
  <si>
    <t>QR816</t>
    <phoneticPr fontId="2" type="noConversion"/>
  </si>
  <si>
    <t>HB284</t>
    <phoneticPr fontId="2" type="noConversion"/>
  </si>
  <si>
    <t>S4</t>
    <phoneticPr fontId="2" type="noConversion"/>
  </si>
  <si>
    <t>S3</t>
    <phoneticPr fontId="2" type="noConversion"/>
  </si>
  <si>
    <t>S2</t>
    <phoneticPr fontId="2" type="noConversion"/>
  </si>
  <si>
    <t>S1</t>
    <phoneticPr fontId="2" type="noConversion"/>
  </si>
  <si>
    <t>BKK</t>
    <phoneticPr fontId="2" type="noConversion"/>
  </si>
  <si>
    <t xml:space="preserve">Not on Schedule </t>
    <phoneticPr fontId="2" type="noConversion"/>
  </si>
  <si>
    <t>Waived</t>
    <phoneticPr fontId="2" type="noConversion"/>
  </si>
  <si>
    <t>WONG, LIK SUM</t>
    <phoneticPr fontId="2" type="noConversion"/>
  </si>
  <si>
    <t>WAN, KAM HONG</t>
    <phoneticPr fontId="2" type="noConversion"/>
  </si>
  <si>
    <t>LAUW, NAM FAI</t>
    <phoneticPr fontId="2" type="noConversion"/>
  </si>
  <si>
    <t>LEUNG, CHI HANG</t>
    <phoneticPr fontId="2" type="noConversion"/>
  </si>
  <si>
    <t>KU, HON CHEUNG</t>
    <phoneticPr fontId="2" type="noConversion"/>
  </si>
  <si>
    <t>SIA</t>
    <phoneticPr fontId="2" type="noConversion"/>
  </si>
  <si>
    <t>KL NG</t>
    <phoneticPr fontId="2" type="noConversion"/>
  </si>
  <si>
    <t>9108 8875</t>
    <phoneticPr fontId="2" type="noConversion"/>
  </si>
  <si>
    <t>GA860</t>
    <phoneticPr fontId="2" type="noConversion"/>
  </si>
  <si>
    <t>HX760</t>
    <phoneticPr fontId="2" type="noConversion"/>
  </si>
  <si>
    <t>AI314</t>
    <phoneticPr fontId="2" type="noConversion"/>
  </si>
  <si>
    <t>GA864</t>
    <phoneticPr fontId="2" type="noConversion"/>
  </si>
  <si>
    <t>CX694</t>
    <phoneticPr fontId="2" type="noConversion"/>
  </si>
  <si>
    <t>CX672</t>
    <phoneticPr fontId="2" type="noConversion"/>
  </si>
  <si>
    <t>CX660</t>
    <phoneticPr fontId="2" type="noConversion"/>
  </si>
  <si>
    <t>1000</t>
    <phoneticPr fontId="2" type="noConversion"/>
  </si>
  <si>
    <t>1010</t>
    <phoneticPr fontId="2" type="noConversion"/>
  </si>
  <si>
    <t>HX768</t>
    <phoneticPr fontId="2" type="noConversion"/>
  </si>
  <si>
    <t>1415</t>
    <phoneticPr fontId="2" type="noConversion"/>
  </si>
  <si>
    <t>HX772</t>
    <phoneticPr fontId="2" type="noConversion"/>
  </si>
  <si>
    <t>1450</t>
    <phoneticPr fontId="2" type="noConversion"/>
  </si>
  <si>
    <t>1510</t>
    <phoneticPr fontId="2" type="noConversion"/>
  </si>
  <si>
    <t>ET608</t>
    <phoneticPr fontId="2" type="noConversion"/>
  </si>
  <si>
    <t>1645</t>
    <phoneticPr fontId="2" type="noConversion"/>
  </si>
  <si>
    <t>TK070</t>
    <phoneticPr fontId="2" type="noConversion"/>
  </si>
  <si>
    <t>PR306</t>
    <phoneticPr fontId="2" type="noConversion"/>
  </si>
  <si>
    <t>1715</t>
    <phoneticPr fontId="2" type="noConversion"/>
  </si>
  <si>
    <t>1720</t>
    <phoneticPr fontId="2" type="noConversion"/>
  </si>
  <si>
    <t>AK136</t>
    <phoneticPr fontId="2" type="noConversion"/>
  </si>
  <si>
    <t>5J112</t>
    <phoneticPr fontId="2" type="noConversion"/>
  </si>
  <si>
    <t>1810</t>
    <phoneticPr fontId="2" type="noConversion"/>
  </si>
  <si>
    <t>TR972</t>
    <phoneticPr fontId="2" type="noConversion"/>
  </si>
  <si>
    <t>1820</t>
    <phoneticPr fontId="2" type="noConversion"/>
  </si>
  <si>
    <t>1920</t>
    <phoneticPr fontId="2" type="noConversion"/>
  </si>
  <si>
    <t>HX776</t>
    <phoneticPr fontId="2" type="noConversion"/>
  </si>
  <si>
    <t>1950</t>
    <phoneticPr fontId="2" type="noConversion"/>
  </si>
  <si>
    <t>CX776</t>
    <phoneticPr fontId="2" type="noConversion"/>
  </si>
  <si>
    <t>AI996</t>
    <phoneticPr fontId="2" type="noConversion"/>
  </si>
  <si>
    <t>QR816</t>
    <phoneticPr fontId="2" type="noConversion"/>
  </si>
  <si>
    <t>HB284</t>
    <phoneticPr fontId="2" type="noConversion"/>
  </si>
  <si>
    <t>2155</t>
    <phoneticPr fontId="2" type="noConversion"/>
  </si>
  <si>
    <t>HYD</t>
    <phoneticPr fontId="2" type="noConversion"/>
  </si>
  <si>
    <t>AI314</t>
    <phoneticPr fontId="2" type="noConversion"/>
  </si>
  <si>
    <t>CX698</t>
    <phoneticPr fontId="2" type="noConversion"/>
  </si>
  <si>
    <t>CX694</t>
    <phoneticPr fontId="2" type="noConversion"/>
  </si>
  <si>
    <t>CX624</t>
    <phoneticPr fontId="2" type="noConversion"/>
  </si>
  <si>
    <t>CX632</t>
    <phoneticPr fontId="2" type="noConversion"/>
  </si>
  <si>
    <t>CX660</t>
    <phoneticPr fontId="2" type="noConversion"/>
  </si>
  <si>
    <t>FD508</t>
    <phoneticPr fontId="2" type="noConversion"/>
  </si>
  <si>
    <t>PR300</t>
    <phoneticPr fontId="2" type="noConversion"/>
  </si>
  <si>
    <t>AK138</t>
    <phoneticPr fontId="2" type="noConversion"/>
  </si>
  <si>
    <t>TG600</t>
    <phoneticPr fontId="2" type="noConversion"/>
  </si>
  <si>
    <t>HX768</t>
    <phoneticPr fontId="2" type="noConversion"/>
  </si>
  <si>
    <t>SL360</t>
    <phoneticPr fontId="2" type="noConversion"/>
  </si>
  <si>
    <t>OD605</t>
    <phoneticPr fontId="2" type="noConversion"/>
  </si>
  <si>
    <t>TG628</t>
    <phoneticPr fontId="2" type="noConversion"/>
  </si>
  <si>
    <t>HX772</t>
    <phoneticPr fontId="2" type="noConversion"/>
  </si>
  <si>
    <t>6E1707</t>
    <phoneticPr fontId="2" type="noConversion"/>
  </si>
  <si>
    <t>PR306</t>
    <phoneticPr fontId="2" type="noConversion"/>
  </si>
  <si>
    <t>AK136</t>
    <phoneticPr fontId="2" type="noConversion"/>
  </si>
  <si>
    <t>EK384</t>
    <phoneticPr fontId="2" type="noConversion"/>
  </si>
  <si>
    <t>TR972</t>
    <phoneticPr fontId="2" type="noConversion"/>
  </si>
  <si>
    <t>FD504</t>
    <phoneticPr fontId="2" type="noConversion"/>
  </si>
  <si>
    <t>HX776</t>
    <phoneticPr fontId="2" type="noConversion"/>
  </si>
  <si>
    <t>CX776</t>
    <phoneticPr fontId="2" type="noConversion"/>
  </si>
  <si>
    <t>AI996</t>
    <phoneticPr fontId="2" type="noConversion"/>
  </si>
  <si>
    <t>QR816</t>
    <phoneticPr fontId="2" type="noConversion"/>
  </si>
  <si>
    <t>HB284</t>
    <phoneticPr fontId="2" type="noConversion"/>
  </si>
  <si>
    <t>ET608</t>
    <phoneticPr fontId="2" type="noConversion"/>
  </si>
  <si>
    <t>S2</t>
    <phoneticPr fontId="2" type="noConversion"/>
  </si>
  <si>
    <t>S1&amp;S4</t>
    <phoneticPr fontId="2" type="noConversion"/>
  </si>
  <si>
    <t>S3</t>
    <phoneticPr fontId="2" type="noConversion"/>
  </si>
  <si>
    <t>S1</t>
    <phoneticPr fontId="2" type="noConversion"/>
  </si>
  <si>
    <t>S11</t>
    <phoneticPr fontId="2" type="noConversion"/>
  </si>
  <si>
    <t>S2</t>
    <phoneticPr fontId="2" type="noConversion"/>
  </si>
  <si>
    <t>S10</t>
    <phoneticPr fontId="2" type="noConversion"/>
  </si>
  <si>
    <t>S4</t>
    <phoneticPr fontId="2" type="noConversion"/>
  </si>
  <si>
    <t>-</t>
    <phoneticPr fontId="2" type="noConversion"/>
  </si>
  <si>
    <t>S11</t>
    <phoneticPr fontId="2" type="noConversion"/>
  </si>
  <si>
    <t>HX766</t>
    <phoneticPr fontId="2" type="noConversion"/>
  </si>
  <si>
    <t>AI314</t>
    <phoneticPr fontId="2" type="noConversion"/>
  </si>
  <si>
    <t>CX698</t>
    <phoneticPr fontId="2" type="noConversion"/>
  </si>
  <si>
    <t>GA860</t>
    <phoneticPr fontId="2" type="noConversion"/>
  </si>
  <si>
    <t>HX768</t>
    <phoneticPr fontId="2" type="noConversion"/>
  </si>
  <si>
    <t>PR306</t>
    <phoneticPr fontId="2" type="noConversion"/>
  </si>
  <si>
    <t>TR972</t>
    <phoneticPr fontId="2" type="noConversion"/>
  </si>
  <si>
    <t>HX772</t>
    <phoneticPr fontId="2" type="noConversion"/>
  </si>
  <si>
    <t>ET608</t>
    <phoneticPr fontId="2" type="noConversion"/>
  </si>
  <si>
    <t>AI996</t>
    <phoneticPr fontId="2" type="noConversion"/>
  </si>
  <si>
    <t>S12</t>
    <phoneticPr fontId="2" type="noConversion"/>
  </si>
  <si>
    <t>S9</t>
    <phoneticPr fontId="2" type="noConversion"/>
  </si>
  <si>
    <t>S11</t>
    <phoneticPr fontId="2" type="noConversion"/>
  </si>
  <si>
    <t>S10</t>
    <phoneticPr fontId="2" type="noConversion"/>
  </si>
  <si>
    <t>S9</t>
    <phoneticPr fontId="2" type="noConversion"/>
  </si>
  <si>
    <t>S12</t>
    <phoneticPr fontId="2" type="noConversion"/>
  </si>
  <si>
    <t>S11</t>
    <phoneticPr fontId="2" type="noConversion"/>
  </si>
  <si>
    <t>S10</t>
    <phoneticPr fontId="2" type="noConversion"/>
  </si>
  <si>
    <t>-</t>
    <phoneticPr fontId="2" type="noConversion"/>
  </si>
  <si>
    <t>HX766</t>
    <phoneticPr fontId="2" type="noConversion"/>
  </si>
  <si>
    <t>GA860</t>
    <phoneticPr fontId="2" type="noConversion"/>
  </si>
  <si>
    <t>HX760</t>
    <phoneticPr fontId="2" type="noConversion"/>
  </si>
  <si>
    <t>CX696</t>
    <phoneticPr fontId="2" type="noConversion"/>
  </si>
  <si>
    <t>CX672</t>
    <phoneticPr fontId="2" type="noConversion"/>
  </si>
  <si>
    <t>CX624</t>
    <phoneticPr fontId="2" type="noConversion"/>
  </si>
  <si>
    <t>HX768</t>
    <phoneticPr fontId="2" type="noConversion"/>
  </si>
  <si>
    <t>HX772</t>
    <phoneticPr fontId="2" type="noConversion"/>
  </si>
  <si>
    <t>ET644</t>
    <phoneticPr fontId="2" type="noConversion"/>
  </si>
  <si>
    <t>TR972</t>
    <phoneticPr fontId="2" type="noConversion"/>
  </si>
  <si>
    <t>-</t>
    <phoneticPr fontId="2" type="noConversion"/>
  </si>
  <si>
    <t>S6</t>
    <phoneticPr fontId="2" type="noConversion"/>
  </si>
  <si>
    <t>S5</t>
    <phoneticPr fontId="2" type="noConversion"/>
  </si>
  <si>
    <t>S7</t>
    <phoneticPr fontId="2" type="noConversion"/>
  </si>
  <si>
    <t>S8</t>
    <phoneticPr fontId="2" type="noConversion"/>
  </si>
  <si>
    <t>2320</t>
    <phoneticPr fontId="2" type="noConversion"/>
  </si>
  <si>
    <t>BKK</t>
    <phoneticPr fontId="2" type="noConversion"/>
  </si>
  <si>
    <t>AI314</t>
    <phoneticPr fontId="2" type="noConversion"/>
  </si>
  <si>
    <t>CX698</t>
    <phoneticPr fontId="2" type="noConversion"/>
  </si>
  <si>
    <t>CX660</t>
    <phoneticPr fontId="2" type="noConversion"/>
  </si>
  <si>
    <t>FD508</t>
    <phoneticPr fontId="2" type="noConversion"/>
  </si>
  <si>
    <t>QR818</t>
    <phoneticPr fontId="2" type="noConversion"/>
  </si>
  <si>
    <t>PR306</t>
    <phoneticPr fontId="2" type="noConversion"/>
  </si>
  <si>
    <t>AK136</t>
    <phoneticPr fontId="2" type="noConversion"/>
  </si>
  <si>
    <t>EK384</t>
    <phoneticPr fontId="2" type="noConversion"/>
  </si>
  <si>
    <t>5J112</t>
    <phoneticPr fontId="2" type="noConversion"/>
  </si>
  <si>
    <t>FD504</t>
    <phoneticPr fontId="2" type="noConversion"/>
  </si>
  <si>
    <t>AI996</t>
    <phoneticPr fontId="2" type="noConversion"/>
  </si>
  <si>
    <t>QR816</t>
    <phoneticPr fontId="2" type="noConversion"/>
  </si>
  <si>
    <t>S10</t>
    <phoneticPr fontId="2" type="noConversion"/>
  </si>
  <si>
    <t>S11</t>
    <phoneticPr fontId="2" type="noConversion"/>
  </si>
  <si>
    <t>AU, ANTHONY WEN YANG</t>
    <phoneticPr fontId="2" type="noConversion"/>
  </si>
  <si>
    <t>HO, KWOK WUN D</t>
    <phoneticPr fontId="2" type="noConversion"/>
  </si>
  <si>
    <t>LEUNG, CHI HANG</t>
    <phoneticPr fontId="2" type="noConversion"/>
  </si>
  <si>
    <t>@ SkyPier Operation</t>
    <phoneticPr fontId="2" type="noConversion"/>
  </si>
  <si>
    <t>GA860</t>
    <phoneticPr fontId="2" type="noConversion"/>
  </si>
  <si>
    <t>HX766</t>
    <phoneticPr fontId="2" type="noConversion"/>
  </si>
  <si>
    <t>HX760</t>
    <phoneticPr fontId="2" type="noConversion"/>
  </si>
  <si>
    <t>AI314</t>
    <phoneticPr fontId="2" type="noConversion"/>
  </si>
  <si>
    <t>CX698</t>
    <phoneticPr fontId="2" type="noConversion"/>
  </si>
  <si>
    <t>CX694</t>
    <phoneticPr fontId="2" type="noConversion"/>
  </si>
  <si>
    <t>HX768</t>
    <phoneticPr fontId="2" type="noConversion"/>
  </si>
  <si>
    <t>HX772</t>
    <phoneticPr fontId="2" type="noConversion"/>
  </si>
  <si>
    <t>PR306</t>
    <phoneticPr fontId="2" type="noConversion"/>
  </si>
  <si>
    <t>TR972</t>
    <phoneticPr fontId="2" type="noConversion"/>
  </si>
  <si>
    <t>AI996</t>
    <phoneticPr fontId="2" type="noConversion"/>
  </si>
  <si>
    <t>CX776</t>
    <phoneticPr fontId="2" type="noConversion"/>
  </si>
  <si>
    <t>S5</t>
    <phoneticPr fontId="2" type="noConversion"/>
  </si>
  <si>
    <t>S6</t>
    <phoneticPr fontId="2" type="noConversion"/>
  </si>
  <si>
    <t>S8</t>
    <phoneticPr fontId="2" type="noConversion"/>
  </si>
  <si>
    <t>S7</t>
    <phoneticPr fontId="2" type="noConversion"/>
  </si>
  <si>
    <t>AU, NELSON</t>
  </si>
  <si>
    <t>CHAN, CHUN NGAI</t>
  </si>
  <si>
    <t>REL</t>
    <phoneticPr fontId="2" type="noConversion"/>
  </si>
  <si>
    <t>WONG, CHUNG YAN</t>
    <phoneticPr fontId="2" type="noConversion"/>
  </si>
  <si>
    <t>CX696</t>
    <phoneticPr fontId="2" type="noConversion"/>
  </si>
  <si>
    <t>CX672</t>
    <phoneticPr fontId="2" type="noConversion"/>
  </si>
  <si>
    <t>CX624</t>
    <phoneticPr fontId="2" type="noConversion"/>
  </si>
  <si>
    <t>PR300</t>
    <phoneticPr fontId="2" type="noConversion"/>
  </si>
  <si>
    <t>AK138</t>
    <phoneticPr fontId="2" type="noConversion"/>
  </si>
  <si>
    <t>TG600</t>
    <phoneticPr fontId="2" type="noConversion"/>
  </si>
  <si>
    <t>ET644</t>
    <phoneticPr fontId="2" type="noConversion"/>
  </si>
  <si>
    <t>QR816</t>
    <phoneticPr fontId="2" type="noConversion"/>
  </si>
  <si>
    <t>HB284</t>
    <phoneticPr fontId="2" type="noConversion"/>
  </si>
  <si>
    <t>S6</t>
    <phoneticPr fontId="2" type="noConversion"/>
  </si>
  <si>
    <t>S1</t>
    <phoneticPr fontId="2" type="noConversion"/>
  </si>
  <si>
    <t>S8</t>
    <phoneticPr fontId="2" type="noConversion"/>
  </si>
  <si>
    <t>HX766</t>
    <phoneticPr fontId="2" type="noConversion"/>
  </si>
  <si>
    <t>AI314</t>
    <phoneticPr fontId="2" type="noConversion"/>
  </si>
  <si>
    <t>HX768</t>
    <phoneticPr fontId="2" type="noConversion"/>
  </si>
  <si>
    <t>BKK</t>
    <phoneticPr fontId="2" type="noConversion"/>
  </si>
  <si>
    <t>HX772</t>
    <phoneticPr fontId="2" type="noConversion"/>
  </si>
  <si>
    <t>TR982</t>
    <phoneticPr fontId="2" type="noConversion"/>
  </si>
  <si>
    <t>SIN</t>
    <phoneticPr fontId="2" type="noConversion"/>
  </si>
  <si>
    <t>CX776</t>
    <phoneticPr fontId="2" type="noConversion"/>
  </si>
  <si>
    <t>CGK</t>
    <phoneticPr fontId="2" type="noConversion"/>
  </si>
  <si>
    <t>AI996</t>
    <phoneticPr fontId="2" type="noConversion"/>
  </si>
  <si>
    <t>DEL</t>
    <phoneticPr fontId="2" type="noConversion"/>
  </si>
  <si>
    <t>S5</t>
    <phoneticPr fontId="2" type="noConversion"/>
  </si>
  <si>
    <t>S3</t>
    <phoneticPr fontId="2" type="noConversion"/>
  </si>
  <si>
    <t>S2</t>
    <phoneticPr fontId="2" type="noConversion"/>
  </si>
  <si>
    <t>S4</t>
    <phoneticPr fontId="2" type="noConversion"/>
  </si>
  <si>
    <t>S5</t>
    <phoneticPr fontId="2" type="noConversion"/>
  </si>
  <si>
    <t>LEUNG, CHI HANG</t>
    <phoneticPr fontId="2" type="noConversion"/>
  </si>
  <si>
    <t>HX766</t>
    <phoneticPr fontId="2" type="noConversion"/>
  </si>
  <si>
    <t>AI314</t>
    <phoneticPr fontId="2" type="noConversion"/>
  </si>
  <si>
    <t>CX632</t>
    <phoneticPr fontId="2" type="noConversion"/>
  </si>
  <si>
    <t>CX660</t>
    <phoneticPr fontId="2" type="noConversion"/>
  </si>
  <si>
    <t>HX772</t>
    <phoneticPr fontId="2" type="noConversion"/>
  </si>
  <si>
    <t>BKK</t>
    <phoneticPr fontId="2" type="noConversion"/>
  </si>
  <si>
    <t>PR306</t>
    <phoneticPr fontId="2" type="noConversion"/>
  </si>
  <si>
    <t>TR980</t>
    <phoneticPr fontId="2" type="noConversion"/>
  </si>
  <si>
    <t>HX768</t>
    <phoneticPr fontId="2" type="noConversion"/>
  </si>
  <si>
    <t>5J112</t>
    <phoneticPr fontId="2" type="noConversion"/>
  </si>
  <si>
    <t>MNL</t>
    <phoneticPr fontId="2" type="noConversion"/>
  </si>
  <si>
    <t>WONG, CHUNG YAN  (F)</t>
    <phoneticPr fontId="2" type="noConversion"/>
  </si>
  <si>
    <t>S8</t>
    <phoneticPr fontId="2" type="noConversion"/>
  </si>
  <si>
    <t>S7</t>
    <phoneticPr fontId="2" type="noConversion"/>
  </si>
  <si>
    <t>S5</t>
    <phoneticPr fontId="2" type="noConversion"/>
  </si>
  <si>
    <t>S1 S4</t>
    <phoneticPr fontId="2" type="noConversion"/>
  </si>
  <si>
    <t>S2</t>
    <phoneticPr fontId="2" type="noConversion"/>
  </si>
  <si>
    <t>S3</t>
    <phoneticPr fontId="2" type="noConversion"/>
  </si>
  <si>
    <t>S4</t>
    <phoneticPr fontId="2" type="noConversion"/>
  </si>
  <si>
    <t>0951</t>
    <phoneticPr fontId="2" type="noConversion"/>
  </si>
  <si>
    <t>N8</t>
    <phoneticPr fontId="2" type="noConversion"/>
  </si>
  <si>
    <t>0940</t>
    <phoneticPr fontId="2" type="noConversion"/>
  </si>
  <si>
    <t>D213</t>
    <phoneticPr fontId="2" type="noConversion"/>
  </si>
  <si>
    <t>N60</t>
    <phoneticPr fontId="2" type="noConversion"/>
  </si>
  <si>
    <t>S45</t>
    <phoneticPr fontId="2" type="noConversion"/>
  </si>
  <si>
    <t>N66</t>
    <phoneticPr fontId="2" type="noConversion"/>
  </si>
  <si>
    <t>YT NG</t>
  </si>
  <si>
    <t>CIA</t>
    <phoneticPr fontId="2" type="noConversion"/>
  </si>
  <si>
    <t>SIA</t>
    <phoneticPr fontId="2" type="noConversion"/>
  </si>
  <si>
    <t>-</t>
    <phoneticPr fontId="2" type="noConversion"/>
  </si>
  <si>
    <t>S12</t>
    <phoneticPr fontId="2" type="noConversion"/>
  </si>
  <si>
    <t>S9</t>
    <phoneticPr fontId="2" type="noConversion"/>
  </si>
  <si>
    <t>S10</t>
    <phoneticPr fontId="2" type="noConversion"/>
  </si>
  <si>
    <t>S11</t>
    <phoneticPr fontId="2" type="noConversion"/>
  </si>
  <si>
    <t>SIA</t>
    <phoneticPr fontId="2" type="noConversion"/>
  </si>
  <si>
    <t>HF WAN</t>
    <phoneticPr fontId="2" type="noConversion"/>
  </si>
  <si>
    <t>9523 5380</t>
    <phoneticPr fontId="2" type="noConversion"/>
  </si>
  <si>
    <t>S10</t>
    <phoneticPr fontId="2" type="noConversion"/>
  </si>
  <si>
    <t>S11</t>
    <phoneticPr fontId="2" type="noConversion"/>
  </si>
  <si>
    <t>S2</t>
    <phoneticPr fontId="2" type="noConversion"/>
  </si>
  <si>
    <t>S10</t>
    <phoneticPr fontId="2" type="noConversion"/>
  </si>
  <si>
    <t>S12</t>
    <phoneticPr fontId="2" type="noConversion"/>
  </si>
  <si>
    <t>S11</t>
    <phoneticPr fontId="2" type="noConversion"/>
  </si>
  <si>
    <t>W69</t>
    <phoneticPr fontId="2" type="noConversion"/>
  </si>
  <si>
    <t>SIA</t>
    <phoneticPr fontId="2" type="noConversion"/>
  </si>
  <si>
    <t>KC FAN</t>
    <phoneticPr fontId="2" type="noConversion"/>
  </si>
  <si>
    <t>5374 9276</t>
    <phoneticPr fontId="2" type="noConversion"/>
  </si>
  <si>
    <t>S3</t>
    <phoneticPr fontId="2" type="noConversion"/>
  </si>
  <si>
    <t>S1</t>
    <phoneticPr fontId="2" type="noConversion"/>
  </si>
  <si>
    <t>S8</t>
    <phoneticPr fontId="2" type="noConversion"/>
  </si>
  <si>
    <t>S4</t>
    <phoneticPr fontId="2" type="noConversion"/>
  </si>
  <si>
    <t>0951</t>
    <phoneticPr fontId="2" type="noConversion"/>
  </si>
  <si>
    <t>D203</t>
    <phoneticPr fontId="2" type="noConversion"/>
  </si>
  <si>
    <t>S3</t>
    <phoneticPr fontId="2" type="noConversion"/>
  </si>
  <si>
    <t>ZYK</t>
    <phoneticPr fontId="2" type="noConversion"/>
  </si>
  <si>
    <t>HZI</t>
    <phoneticPr fontId="2" type="noConversion"/>
  </si>
  <si>
    <t>D209</t>
    <phoneticPr fontId="2" type="noConversion"/>
  </si>
  <si>
    <t>0941</t>
    <phoneticPr fontId="2" type="noConversion"/>
  </si>
  <si>
    <t>S35</t>
    <phoneticPr fontId="2" type="noConversion"/>
  </si>
  <si>
    <t>S4</t>
    <phoneticPr fontId="2" type="noConversion"/>
  </si>
  <si>
    <t>S2</t>
    <phoneticPr fontId="2" type="noConversion"/>
  </si>
  <si>
    <t>S7</t>
    <phoneticPr fontId="2" type="noConversion"/>
  </si>
  <si>
    <t>S4</t>
    <phoneticPr fontId="2" type="noConversion"/>
  </si>
  <si>
    <t>S3</t>
    <phoneticPr fontId="2" type="noConversion"/>
  </si>
  <si>
    <t>&lt;   Hall Operation   &gt;</t>
    <phoneticPr fontId="2" type="noConversion"/>
  </si>
  <si>
    <t>N12</t>
    <phoneticPr fontId="2" type="noConversion"/>
  </si>
  <si>
    <t>N8</t>
    <phoneticPr fontId="2" type="noConversion"/>
  </si>
  <si>
    <t>CHEUNG, HO WAI /
WONG CHUNG YAN (F)</t>
    <phoneticPr fontId="2" type="noConversion"/>
  </si>
  <si>
    <t>W48</t>
    <phoneticPr fontId="2" type="noConversion"/>
  </si>
  <si>
    <t>N60</t>
    <phoneticPr fontId="2" type="noConversion"/>
  </si>
  <si>
    <t>S6</t>
    <phoneticPr fontId="2" type="noConversion"/>
  </si>
  <si>
    <t>BERTH 3</t>
    <phoneticPr fontId="2" type="noConversion"/>
  </si>
  <si>
    <t>BAY 8</t>
    <phoneticPr fontId="2" type="noConversion"/>
  </si>
  <si>
    <t>Not On Schedule</t>
    <phoneticPr fontId="2" type="noConversion"/>
  </si>
  <si>
    <t>Flight Cancelled</t>
    <phoneticPr fontId="2" type="noConversion"/>
  </si>
  <si>
    <t>S43</t>
    <phoneticPr fontId="2" type="noConversion"/>
  </si>
  <si>
    <t>N8</t>
    <phoneticPr fontId="2" type="noConversion"/>
  </si>
  <si>
    <t>S6</t>
    <phoneticPr fontId="2" type="noConversion"/>
  </si>
  <si>
    <t>-</t>
    <phoneticPr fontId="2" type="noConversion"/>
  </si>
  <si>
    <t>0130</t>
    <phoneticPr fontId="2" type="noConversion"/>
  </si>
  <si>
    <t xml:space="preserve">Handling DOB cases </t>
    <phoneticPr fontId="2" type="noConversion"/>
  </si>
  <si>
    <t>Waived</t>
    <phoneticPr fontId="2" type="noConversion"/>
  </si>
  <si>
    <t>-</t>
    <phoneticPr fontId="2" type="noConversion"/>
  </si>
  <si>
    <t>S9+S6</t>
    <phoneticPr fontId="2" type="noConversion"/>
  </si>
  <si>
    <t>S9</t>
    <phoneticPr fontId="2" type="noConversion"/>
  </si>
  <si>
    <t>-</t>
    <phoneticPr fontId="2" type="noConversion"/>
  </si>
  <si>
    <t>S27</t>
    <phoneticPr fontId="2" type="noConversion"/>
  </si>
  <si>
    <t>S12</t>
    <phoneticPr fontId="2" type="noConversion"/>
  </si>
  <si>
    <t>S5</t>
    <phoneticPr fontId="2" type="noConversion"/>
  </si>
  <si>
    <t>-</t>
    <phoneticPr fontId="2" type="noConversion"/>
  </si>
  <si>
    <t>S11</t>
    <phoneticPr fontId="2" type="noConversion"/>
  </si>
  <si>
    <t>S6</t>
    <phoneticPr fontId="2" type="noConversion"/>
  </si>
  <si>
    <t>S5</t>
    <phoneticPr fontId="2" type="noConversion"/>
  </si>
  <si>
    <t>S7</t>
    <phoneticPr fontId="2" type="noConversion"/>
  </si>
  <si>
    <t>S8</t>
    <phoneticPr fontId="2" type="noConversion"/>
  </si>
  <si>
    <t>S11</t>
    <phoneticPr fontId="2" type="noConversion"/>
  </si>
  <si>
    <t>S8</t>
    <phoneticPr fontId="2" type="noConversion"/>
  </si>
  <si>
    <t>S5</t>
    <phoneticPr fontId="2" type="noConversion"/>
  </si>
  <si>
    <t>N60</t>
    <phoneticPr fontId="2" type="noConversion"/>
  </si>
  <si>
    <t>-</t>
    <phoneticPr fontId="2" type="noConversion"/>
  </si>
  <si>
    <t>S7</t>
    <phoneticPr fontId="2" type="noConversion"/>
  </si>
  <si>
    <t>S8</t>
    <phoneticPr fontId="2" type="noConversion"/>
  </si>
  <si>
    <t>-</t>
    <phoneticPr fontId="2" type="noConversion"/>
  </si>
  <si>
    <t>S12</t>
    <phoneticPr fontId="2" type="noConversion"/>
  </si>
  <si>
    <t>Counter Reinforcement</t>
    <phoneticPr fontId="2" type="noConversion"/>
  </si>
  <si>
    <t>Waived</t>
    <phoneticPr fontId="2" type="noConversion"/>
  </si>
  <si>
    <t>S10</t>
    <phoneticPr fontId="2" type="noConversion"/>
  </si>
  <si>
    <t>S29</t>
    <phoneticPr fontId="2" type="noConversion"/>
  </si>
  <si>
    <t>S9</t>
    <phoneticPr fontId="2" type="noConversion"/>
  </si>
  <si>
    <t>S12</t>
    <phoneticPr fontId="2" type="noConversion"/>
  </si>
  <si>
    <t>W50</t>
    <phoneticPr fontId="2" type="noConversion"/>
  </si>
  <si>
    <t>S3</t>
    <phoneticPr fontId="2" type="noConversion"/>
  </si>
  <si>
    <t>S4</t>
    <phoneticPr fontId="2" type="noConversion"/>
  </si>
  <si>
    <t>S1</t>
    <phoneticPr fontId="2" type="noConversion"/>
  </si>
  <si>
    <t>S11</t>
    <phoneticPr fontId="2" type="noConversion"/>
  </si>
  <si>
    <t>Waived</t>
  </si>
  <si>
    <t>Flight arrived early</t>
  </si>
  <si>
    <t>S3</t>
    <phoneticPr fontId="2" type="noConversion"/>
  </si>
  <si>
    <t>S10</t>
    <phoneticPr fontId="2" type="noConversion"/>
  </si>
  <si>
    <t>N5</t>
    <phoneticPr fontId="2" type="noConversion"/>
  </si>
  <si>
    <t>REL</t>
    <phoneticPr fontId="2" type="noConversion"/>
  </si>
  <si>
    <t>LEUNG, CHI HANG</t>
  </si>
  <si>
    <t>LEUNG, CHI HANG</t>
    <phoneticPr fontId="2" type="noConversion"/>
  </si>
  <si>
    <t>LUNG, KA KIT</t>
    <phoneticPr fontId="2" type="noConversion"/>
  </si>
  <si>
    <t>WONG, LIK SUM</t>
    <phoneticPr fontId="2" type="noConversion"/>
  </si>
  <si>
    <t>REL</t>
    <phoneticPr fontId="2" type="noConversion"/>
  </si>
  <si>
    <t>N24</t>
    <phoneticPr fontId="2" type="noConversion"/>
  </si>
  <si>
    <t>N30</t>
    <phoneticPr fontId="2" type="noConversion"/>
  </si>
  <si>
    <t>N62</t>
    <phoneticPr fontId="2" type="noConversion"/>
  </si>
  <si>
    <t>S43</t>
    <phoneticPr fontId="2" type="noConversion"/>
  </si>
  <si>
    <t>D209</t>
    <phoneticPr fontId="2" type="noConversion"/>
  </si>
  <si>
    <t>Not on schedule</t>
  </si>
  <si>
    <t>S3</t>
    <phoneticPr fontId="2" type="noConversion"/>
  </si>
  <si>
    <t>N24</t>
    <phoneticPr fontId="2" type="noConversion"/>
  </si>
  <si>
    <t>D207</t>
    <phoneticPr fontId="2" type="noConversion"/>
  </si>
  <si>
    <t>-</t>
    <phoneticPr fontId="2" type="noConversion"/>
  </si>
  <si>
    <t>W42</t>
    <phoneticPr fontId="2" type="noConversion"/>
  </si>
  <si>
    <t>S1 S4</t>
    <phoneticPr fontId="2" type="noConversion"/>
  </si>
  <si>
    <t>Counter Reinforcement</t>
    <phoneticPr fontId="2" type="noConversion"/>
  </si>
  <si>
    <t>0948</t>
    <phoneticPr fontId="2" type="noConversion"/>
  </si>
  <si>
    <t>D213</t>
    <phoneticPr fontId="2" type="noConversion"/>
  </si>
  <si>
    <t>S8</t>
    <phoneticPr fontId="2" type="noConversion"/>
  </si>
  <si>
    <t>0908</t>
    <phoneticPr fontId="2" type="noConversion"/>
  </si>
  <si>
    <t>-</t>
    <phoneticPr fontId="2" type="noConversion"/>
  </si>
  <si>
    <t>1138</t>
    <phoneticPr fontId="2" type="noConversion"/>
  </si>
  <si>
    <t>S25</t>
    <phoneticPr fontId="2" type="noConversion"/>
  </si>
  <si>
    <t>N6</t>
    <phoneticPr fontId="2" type="noConversion"/>
  </si>
  <si>
    <t>1247</t>
    <phoneticPr fontId="2" type="noConversion"/>
  </si>
  <si>
    <t>N36</t>
    <phoneticPr fontId="2" type="noConversion"/>
  </si>
  <si>
    <t>S6</t>
    <phoneticPr fontId="2" type="noConversion"/>
  </si>
  <si>
    <t>-</t>
    <phoneticPr fontId="2" type="noConversion"/>
  </si>
  <si>
    <t>WO LO</t>
    <phoneticPr fontId="2" type="noConversion"/>
  </si>
  <si>
    <t>1350</t>
    <phoneticPr fontId="2" type="noConversion"/>
  </si>
  <si>
    <t>W61</t>
    <phoneticPr fontId="2" type="noConversion"/>
  </si>
  <si>
    <t>R21</t>
    <phoneticPr fontId="2" type="noConversion"/>
  </si>
  <si>
    <t>N66</t>
    <phoneticPr fontId="2" type="noConversion"/>
  </si>
  <si>
    <t>-</t>
    <phoneticPr fontId="2" type="noConversion"/>
  </si>
  <si>
    <t>S2</t>
    <phoneticPr fontId="2" type="noConversion"/>
  </si>
  <si>
    <t>S6</t>
    <phoneticPr fontId="2" type="noConversion"/>
  </si>
  <si>
    <t>&lt;   Hall Operation   &gt;</t>
    <phoneticPr fontId="2" type="noConversion"/>
  </si>
  <si>
    <t>N60</t>
    <phoneticPr fontId="2" type="noConversion"/>
  </si>
  <si>
    <t>S3</t>
    <phoneticPr fontId="2" type="noConversion"/>
  </si>
  <si>
    <t xml:space="preserve">   Hall Operation</t>
    <phoneticPr fontId="2" type="noConversion"/>
  </si>
  <si>
    <t>N62</t>
    <phoneticPr fontId="2" type="noConversion"/>
  </si>
  <si>
    <t>VIP operation CX315</t>
  </si>
  <si>
    <t>S4</t>
    <phoneticPr fontId="2" type="noConversion"/>
  </si>
  <si>
    <t>N7</t>
    <phoneticPr fontId="2" type="noConversion"/>
  </si>
  <si>
    <t>S9</t>
    <phoneticPr fontId="2" type="noConversion"/>
  </si>
  <si>
    <t>Counter Reinforcement</t>
  </si>
  <si>
    <t>S5</t>
    <phoneticPr fontId="2" type="noConversion"/>
  </si>
  <si>
    <t>Waived</t>
    <phoneticPr fontId="2" type="noConversion"/>
  </si>
  <si>
    <t>-</t>
    <phoneticPr fontId="2" type="noConversion"/>
  </si>
  <si>
    <t>0905</t>
    <phoneticPr fontId="2" type="noConversion"/>
  </si>
  <si>
    <t>D218</t>
    <phoneticPr fontId="2" type="noConversion"/>
  </si>
  <si>
    <t>W46</t>
    <phoneticPr fontId="2" type="noConversion"/>
  </si>
  <si>
    <t>N30</t>
    <phoneticPr fontId="2" type="noConversion"/>
  </si>
  <si>
    <t>S7</t>
    <phoneticPr fontId="2" type="noConversion"/>
  </si>
  <si>
    <t>S9</t>
    <phoneticPr fontId="2" type="noConversion"/>
  </si>
  <si>
    <t>S8</t>
    <phoneticPr fontId="2" type="noConversion"/>
  </si>
  <si>
    <t>S33</t>
    <phoneticPr fontId="2" type="noConversion"/>
  </si>
  <si>
    <t>S10</t>
    <phoneticPr fontId="2" type="noConversion"/>
  </si>
  <si>
    <t>N62</t>
    <phoneticPr fontId="2" type="noConversion"/>
  </si>
  <si>
    <t>S9</t>
    <phoneticPr fontId="2" type="noConversion"/>
  </si>
  <si>
    <t>S12</t>
    <phoneticPr fontId="2" type="noConversion"/>
  </si>
  <si>
    <t>S9</t>
    <phoneticPr fontId="2" type="noConversion"/>
  </si>
  <si>
    <t>N8</t>
    <phoneticPr fontId="2" type="noConversion"/>
  </si>
  <si>
    <t>S3</t>
    <phoneticPr fontId="2" type="noConversion"/>
  </si>
  <si>
    <t>0944</t>
    <phoneticPr fontId="2" type="noConversion"/>
  </si>
  <si>
    <t>D207</t>
    <phoneticPr fontId="2" type="noConversion"/>
  </si>
  <si>
    <t>Counter Reinforcement</t>
    <phoneticPr fontId="2" type="noConversion"/>
  </si>
  <si>
    <t>-</t>
    <phoneticPr fontId="2" type="noConversion"/>
  </si>
  <si>
    <t>@</t>
    <phoneticPr fontId="2" type="noConversion"/>
  </si>
  <si>
    <t>AI314</t>
  </si>
  <si>
    <t>HX768</t>
  </si>
  <si>
    <t>TR972</t>
  </si>
  <si>
    <t>CX672</t>
  </si>
  <si>
    <t xml:space="preserve"> </t>
    <phoneticPr fontId="2" type="noConversion"/>
  </si>
  <si>
    <t>-</t>
    <phoneticPr fontId="2" type="noConversion"/>
  </si>
  <si>
    <t>S27</t>
    <phoneticPr fontId="2" type="noConversion"/>
  </si>
  <si>
    <t>S2</t>
    <phoneticPr fontId="2" type="noConversion"/>
  </si>
  <si>
    <t>Special Operation</t>
    <phoneticPr fontId="2" type="noConversion"/>
  </si>
  <si>
    <t>S11</t>
    <phoneticPr fontId="2" type="noConversion"/>
  </si>
  <si>
    <t>S10</t>
    <phoneticPr fontId="2" type="noConversion"/>
  </si>
  <si>
    <t>N64</t>
    <phoneticPr fontId="2" type="noConversion"/>
  </si>
  <si>
    <t>Handling DOB case under ref. AS/1665-6/25</t>
    <phoneticPr fontId="2" type="noConversion"/>
  </si>
  <si>
    <t>R13</t>
    <phoneticPr fontId="2" type="noConversion"/>
  </si>
  <si>
    <t>S11</t>
    <phoneticPr fontId="2" type="noConversion"/>
  </si>
  <si>
    <t>-</t>
    <phoneticPr fontId="2" type="noConversion"/>
  </si>
  <si>
    <t>S11</t>
    <phoneticPr fontId="2" type="noConversion"/>
  </si>
  <si>
    <t>D215</t>
    <phoneticPr fontId="2" type="noConversion"/>
  </si>
  <si>
    <t>S9</t>
    <phoneticPr fontId="2" type="noConversion"/>
  </si>
  <si>
    <t>W67</t>
    <phoneticPr fontId="2" type="noConversion"/>
  </si>
  <si>
    <t>D310R</t>
    <phoneticPr fontId="2" type="noConversion"/>
  </si>
  <si>
    <t>-</t>
    <phoneticPr fontId="2" type="noConversion"/>
  </si>
  <si>
    <t>9523 5380</t>
    <phoneticPr fontId="2" type="noConversion"/>
  </si>
  <si>
    <t>S5</t>
    <phoneticPr fontId="2" type="noConversion"/>
  </si>
  <si>
    <t>CT CHAN</t>
    <phoneticPr fontId="2" type="noConversion"/>
  </si>
  <si>
    <t>SIA</t>
    <phoneticPr fontId="2" type="noConversion"/>
  </si>
  <si>
    <t>9248 3999</t>
    <phoneticPr fontId="2" type="noConversion"/>
  </si>
  <si>
    <t>-</t>
    <phoneticPr fontId="2" type="noConversion"/>
  </si>
  <si>
    <t>-</t>
    <phoneticPr fontId="2" type="noConversion"/>
  </si>
  <si>
    <t>Counter reinforcement</t>
    <phoneticPr fontId="2" type="noConversion"/>
  </si>
  <si>
    <t>S7</t>
    <phoneticPr fontId="2" type="noConversion"/>
  </si>
  <si>
    <t>S6</t>
    <phoneticPr fontId="2" type="noConversion"/>
  </si>
  <si>
    <t>-</t>
    <phoneticPr fontId="2" type="noConversion"/>
  </si>
  <si>
    <t>S8</t>
    <phoneticPr fontId="2" type="noConversion"/>
  </si>
  <si>
    <t>Counter reinforcement</t>
  </si>
  <si>
    <t>Arrive Earlier</t>
    <phoneticPr fontId="2" type="noConversion"/>
  </si>
  <si>
    <t>3A009</t>
    <phoneticPr fontId="2" type="noConversion"/>
  </si>
  <si>
    <t>S5</t>
    <phoneticPr fontId="2" type="noConversion"/>
  </si>
  <si>
    <t>S3</t>
    <phoneticPr fontId="2" type="noConversion"/>
  </si>
  <si>
    <t>S2</t>
    <phoneticPr fontId="2" type="noConversion"/>
  </si>
  <si>
    <t>S1</t>
    <phoneticPr fontId="2" type="noConversion"/>
  </si>
  <si>
    <t>S1</t>
    <phoneticPr fontId="2" type="noConversion"/>
  </si>
  <si>
    <t>% Zebra operation EK382</t>
    <phoneticPr fontId="2" type="noConversion"/>
  </si>
  <si>
    <t>% Zebra operation QR818</t>
    <phoneticPr fontId="2" type="noConversion"/>
  </si>
  <si>
    <t>N7</t>
    <phoneticPr fontId="2" type="noConversion"/>
  </si>
  <si>
    <t>S3</t>
    <phoneticPr fontId="2" type="noConversion"/>
  </si>
  <si>
    <t>N62</t>
    <phoneticPr fontId="2" type="noConversion"/>
  </si>
  <si>
    <t>W42</t>
    <phoneticPr fontId="2" type="noConversion"/>
  </si>
  <si>
    <t>S1</t>
    <phoneticPr fontId="2" type="noConversion"/>
  </si>
  <si>
    <t>-</t>
    <phoneticPr fontId="2" type="noConversion"/>
  </si>
  <si>
    <t>S2</t>
    <phoneticPr fontId="2" type="noConversion"/>
  </si>
  <si>
    <t>N5</t>
    <phoneticPr fontId="2" type="noConversion"/>
  </si>
  <si>
    <t xml:space="preserve">Not on Schedule </t>
    <phoneticPr fontId="2" type="noConversion"/>
  </si>
  <si>
    <t>Waived</t>
    <phoneticPr fontId="2" type="noConversion"/>
  </si>
  <si>
    <t>-</t>
    <phoneticPr fontId="2" type="noConversion"/>
  </si>
  <si>
    <t>S2</t>
    <phoneticPr fontId="2" type="noConversion"/>
  </si>
  <si>
    <t>-</t>
    <phoneticPr fontId="2" type="noConversion"/>
  </si>
  <si>
    <t>G1</t>
    <phoneticPr fontId="2" type="noConversion"/>
  </si>
  <si>
    <t>D215</t>
    <phoneticPr fontId="2" type="noConversion"/>
  </si>
  <si>
    <t>-</t>
    <phoneticPr fontId="2" type="noConversion"/>
  </si>
  <si>
    <t>Not on schedule</t>
    <phoneticPr fontId="2" type="noConversion"/>
  </si>
  <si>
    <t>-</t>
    <phoneticPr fontId="2" type="noConversion"/>
  </si>
  <si>
    <t>HX6762</t>
    <phoneticPr fontId="2" type="noConversion"/>
  </si>
  <si>
    <t>0250</t>
    <phoneticPr fontId="2" type="noConversion"/>
  </si>
  <si>
    <t>BKK</t>
    <phoneticPr fontId="2" type="noConversion"/>
  </si>
  <si>
    <t>HX6780</t>
    <phoneticPr fontId="2" type="noConversion"/>
  </si>
  <si>
    <t>0635</t>
    <phoneticPr fontId="2" type="noConversion"/>
  </si>
  <si>
    <t>CX698</t>
    <phoneticPr fontId="2" type="noConversion"/>
  </si>
  <si>
    <t>GA860</t>
    <phoneticPr fontId="2" type="noConversion"/>
  </si>
  <si>
    <t>HX760</t>
    <phoneticPr fontId="2" type="noConversion"/>
  </si>
  <si>
    <t>AI314</t>
    <phoneticPr fontId="2" type="noConversion"/>
  </si>
  <si>
    <t>CX672</t>
    <phoneticPr fontId="2" type="noConversion"/>
  </si>
  <si>
    <t>-</t>
    <phoneticPr fontId="2" type="noConversion"/>
  </si>
  <si>
    <t>PR306</t>
    <phoneticPr fontId="2" type="noConversion"/>
  </si>
  <si>
    <t>5J112</t>
    <phoneticPr fontId="2" type="noConversion"/>
  </si>
  <si>
    <t>TR972</t>
    <phoneticPr fontId="2" type="noConversion"/>
  </si>
  <si>
    <t>FD504</t>
    <phoneticPr fontId="2" type="noConversion"/>
  </si>
  <si>
    <t>HX776</t>
    <phoneticPr fontId="2" type="noConversion"/>
  </si>
  <si>
    <t>CX776</t>
    <phoneticPr fontId="2" type="noConversion"/>
  </si>
  <si>
    <t>QR816</t>
    <phoneticPr fontId="2" type="noConversion"/>
  </si>
  <si>
    <t>TR980</t>
    <phoneticPr fontId="2" type="noConversion"/>
  </si>
  <si>
    <t>CX672</t>
    <phoneticPr fontId="2" type="noConversion"/>
  </si>
  <si>
    <t>HYD</t>
    <phoneticPr fontId="2" type="noConversion"/>
  </si>
  <si>
    <t>HX766</t>
    <phoneticPr fontId="2" type="noConversion"/>
  </si>
  <si>
    <t>0130</t>
    <phoneticPr fontId="2" type="noConversion"/>
  </si>
  <si>
    <t>0105</t>
    <phoneticPr fontId="2" type="noConversion"/>
  </si>
  <si>
    <t>HB284</t>
    <phoneticPr fontId="2" type="noConversion"/>
  </si>
  <si>
    <t>HX6762</t>
    <phoneticPr fontId="2" type="noConversion"/>
  </si>
  <si>
    <t>0250</t>
    <phoneticPr fontId="2" type="noConversion"/>
  </si>
  <si>
    <t>BKK</t>
    <phoneticPr fontId="2" type="noConversion"/>
  </si>
  <si>
    <t>HX6780</t>
    <phoneticPr fontId="2" type="noConversion"/>
  </si>
  <si>
    <t>0635</t>
    <phoneticPr fontId="2" type="noConversion"/>
  </si>
  <si>
    <t>GA860</t>
    <phoneticPr fontId="2" type="noConversion"/>
  </si>
  <si>
    <t>HX760</t>
    <phoneticPr fontId="2" type="noConversion"/>
  </si>
  <si>
    <t>AI314</t>
    <phoneticPr fontId="2" type="noConversion"/>
  </si>
  <si>
    <t>CX698</t>
    <phoneticPr fontId="2" type="noConversion"/>
  </si>
  <si>
    <t>CX694</t>
    <phoneticPr fontId="2" type="noConversion"/>
  </si>
  <si>
    <t>HX768</t>
    <phoneticPr fontId="2" type="noConversion"/>
  </si>
  <si>
    <t>PR306</t>
    <phoneticPr fontId="2" type="noConversion"/>
  </si>
  <si>
    <t>AK136</t>
    <phoneticPr fontId="2" type="noConversion"/>
  </si>
  <si>
    <t>5J112</t>
    <phoneticPr fontId="2" type="noConversion"/>
  </si>
  <si>
    <t>TR972</t>
    <phoneticPr fontId="2" type="noConversion"/>
  </si>
  <si>
    <t>-</t>
    <phoneticPr fontId="2" type="noConversion"/>
  </si>
  <si>
    <t>SIA</t>
    <phoneticPr fontId="2" type="noConversion"/>
  </si>
  <si>
    <t>KT HO</t>
    <phoneticPr fontId="2" type="noConversion"/>
  </si>
  <si>
    <t>9138 0790</t>
    <phoneticPr fontId="2" type="noConversion"/>
  </si>
  <si>
    <t>TG638</t>
    <phoneticPr fontId="2" type="noConversion"/>
  </si>
  <si>
    <t>TG638</t>
    <phoneticPr fontId="2" type="noConversion"/>
  </si>
  <si>
    <t>TG638</t>
    <phoneticPr fontId="2" type="noConversion"/>
  </si>
  <si>
    <t>TG638</t>
    <phoneticPr fontId="2" type="noConversion"/>
  </si>
  <si>
    <t>1210</t>
    <phoneticPr fontId="2" type="noConversion"/>
  </si>
  <si>
    <t>HX766</t>
    <phoneticPr fontId="2" type="noConversion"/>
  </si>
  <si>
    <t>HB284</t>
    <phoneticPr fontId="2" type="noConversion"/>
  </si>
  <si>
    <t>0105</t>
    <phoneticPr fontId="2" type="noConversion"/>
  </si>
  <si>
    <t>S5</t>
    <phoneticPr fontId="2" type="noConversion"/>
  </si>
  <si>
    <t>-</t>
    <phoneticPr fontId="2" type="noConversion"/>
  </si>
  <si>
    <t>Waived</t>
    <phoneticPr fontId="2" type="noConversion"/>
  </si>
  <si>
    <t>Counter reinforcement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</si>
</sst>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d"/>
    <numFmt numFmtId="177" formatCode="0_);[Red]\(0\)"/>
    <numFmt numFmtId="178" formatCode="dd\ mmm\,\ yyyy"/>
    <numFmt numFmtId="179" formatCode="0000"/>
  </numFmts>
  <fonts count="23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color theme="1"/>
      <name val="Times New Roman"/>
      <family val="1"/>
    </font>
    <font>
      <sz val="12"/>
      <name val="新細明體"/>
      <family val="1"/>
      <charset val="136"/>
    </font>
    <font>
      <sz val="8"/>
      <name val="Arial Unicode MS"/>
      <family val="2"/>
      <charset val="136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  <font>
      <sz val="12"/>
      <color indexed="8"/>
      <name val="Times New Roman"/>
      <family val="1"/>
    </font>
    <font>
      <sz val="14"/>
      <color theme="1"/>
      <name val="Times New Roman"/>
      <family val="1"/>
    </font>
    <font>
      <sz val="12"/>
      <name val="Arial Unicode MS"/>
      <family val="2"/>
      <charset val="136"/>
    </font>
    <font>
      <b/>
      <sz val="14"/>
      <color indexed="81"/>
      <name val="Times New Roman"/>
      <family val="1"/>
    </font>
    <font>
      <u/>
      <sz val="12"/>
      <name val="Times New Roman"/>
      <family val="1"/>
    </font>
    <font>
      <sz val="12"/>
      <name val="標楷體"/>
      <family val="4"/>
      <charset val="136"/>
    </font>
    <font>
      <b/>
      <u/>
      <sz val="12"/>
      <color theme="1"/>
      <name val="Times New Roman"/>
      <family val="1"/>
    </font>
    <font>
      <b/>
      <u/>
      <sz val="12"/>
      <name val="標楷體"/>
      <family val="4"/>
      <charset val="136"/>
    </font>
    <font>
      <sz val="12"/>
      <name val="Wingdings 2"/>
      <family val="1"/>
      <charset val="2"/>
    </font>
    <font>
      <b/>
      <sz val="12"/>
      <color rgb="FFFF0000"/>
      <name val="Wingdings 2"/>
      <family val="1"/>
      <charset val="2"/>
    </font>
    <font>
      <sz val="12"/>
      <name val="新細明體"/>
      <family val="1"/>
      <charset val="136"/>
      <scheme val="minor"/>
    </font>
    <font>
      <sz val="12"/>
      <color rgb="FFFF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</cellStyleXfs>
  <cellXfs count="469">
    <xf numFmtId="0" fontId="0" fillId="0" borderId="0" xfId="0">
      <alignment vertical="center"/>
    </xf>
    <xf numFmtId="0" fontId="3" fillId="0" borderId="0" xfId="0" applyFont="1" applyFill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quotePrefix="1" applyFont="1" applyFill="1" applyBorder="1" applyAlignment="1" applyProtection="1">
      <alignment vertical="top"/>
      <protection locked="0"/>
    </xf>
    <xf numFmtId="0" fontId="3" fillId="0" borderId="0" xfId="0" quotePrefix="1" applyFont="1" applyFill="1" applyBorder="1" applyAlignment="1" applyProtection="1">
      <alignment horizontal="left" vertical="top"/>
      <protection locked="0"/>
    </xf>
    <xf numFmtId="0" fontId="6" fillId="0" borderId="0" xfId="0" applyFont="1" applyFill="1" applyProtection="1">
      <alignment vertical="center"/>
      <protection locked="0"/>
    </xf>
    <xf numFmtId="0" fontId="6" fillId="0" borderId="8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49" fontId="3" fillId="2" borderId="4" xfId="2" applyNumberFormat="1" applyFont="1" applyFill="1" applyBorder="1" applyAlignment="1">
      <alignment horizontal="center" vertical="center" shrinkToFit="1"/>
    </xf>
    <xf numFmtId="0" fontId="6" fillId="0" borderId="11" xfId="0" applyFont="1" applyFill="1" applyBorder="1" applyAlignment="1" applyProtection="1">
      <alignment horizontal="center" vertical="center" shrinkToFit="1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shrinkToFit="1"/>
    </xf>
    <xf numFmtId="49" fontId="6" fillId="2" borderId="4" xfId="2" quotePrefix="1" applyNumberFormat="1" applyFont="1" applyFill="1" applyBorder="1" applyAlignment="1">
      <alignment horizontal="center" vertical="center" shrinkToFit="1"/>
    </xf>
    <xf numFmtId="49" fontId="11" fillId="2" borderId="4" xfId="2" applyNumberFormat="1" applyFont="1" applyFill="1" applyBorder="1" applyAlignment="1">
      <alignment horizontal="center" vertical="center" shrinkToFit="1"/>
    </xf>
    <xf numFmtId="49" fontId="6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6" fillId="0" borderId="4" xfId="0" applyNumberFormat="1" applyFont="1" applyFill="1" applyBorder="1" applyAlignment="1" applyProtection="1">
      <alignment horizontal="center" vertical="center" shrinkToFit="1"/>
    </xf>
    <xf numFmtId="49" fontId="3" fillId="2" borderId="4" xfId="2" quotePrefix="1" applyNumberFormat="1" applyFont="1" applyFill="1" applyBorder="1" applyAlignment="1">
      <alignment horizontal="center" vertical="center" shrinkToFit="1"/>
    </xf>
    <xf numFmtId="49" fontId="6" fillId="2" borderId="4" xfId="0" applyNumberFormat="1" applyFont="1" applyFill="1" applyBorder="1" applyAlignment="1" applyProtection="1">
      <alignment horizontal="center" vertical="center" shrinkToFit="1"/>
      <protection locked="0"/>
    </xf>
    <xf numFmtId="49" fontId="9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6" fillId="2" borderId="4" xfId="0" applyNumberFormat="1" applyFont="1" applyFill="1" applyBorder="1" applyAlignment="1" applyProtection="1">
      <alignment horizontal="center" vertical="center" shrinkToFit="1"/>
    </xf>
    <xf numFmtId="49" fontId="3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4" xfId="0" applyNumberFormat="1" applyBorder="1" applyAlignment="1">
      <alignment horizontal="center" vertical="center" shrinkToFit="1"/>
    </xf>
    <xf numFmtId="49" fontId="6" fillId="0" borderId="11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8" xfId="0" applyNumberFormat="1" applyBorder="1" applyAlignment="1">
      <alignment horizontal="center" vertical="center" shrinkToFit="1"/>
    </xf>
    <xf numFmtId="49" fontId="3" fillId="0" borderId="4" xfId="2" applyNumberFormat="1" applyFont="1" applyFill="1" applyBorder="1" applyAlignment="1">
      <alignment horizontal="center" vertical="center" shrinkToFit="1"/>
    </xf>
    <xf numFmtId="49" fontId="3" fillId="0" borderId="4" xfId="2" quotePrefix="1" applyNumberFormat="1" applyFont="1" applyFill="1" applyBorder="1" applyAlignment="1">
      <alignment horizontal="center" vertical="center" shrinkToFit="1"/>
    </xf>
    <xf numFmtId="49" fontId="6" fillId="0" borderId="4" xfId="0" quotePrefix="1" applyNumberFormat="1" applyFont="1" applyFill="1" applyBorder="1" applyAlignment="1" applyProtection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6" fillId="0" borderId="9" xfId="0" applyNumberFormat="1" applyFont="1" applyFill="1" applyBorder="1" applyAlignment="1" applyProtection="1">
      <alignment horizontal="center" vertical="center" shrinkToFit="1"/>
    </xf>
    <xf numFmtId="49" fontId="0" fillId="0" borderId="20" xfId="0" applyNumberFormat="1" applyBorder="1" applyAlignment="1">
      <alignment horizontal="center" vertical="center" shrinkToFit="1"/>
    </xf>
    <xf numFmtId="49" fontId="0" fillId="0" borderId="17" xfId="0" applyNumberFormat="1" applyBorder="1" applyAlignment="1">
      <alignment horizontal="center" vertical="center" shrinkToFit="1"/>
    </xf>
    <xf numFmtId="49" fontId="6" fillId="0" borderId="17" xfId="0" applyNumberFormat="1" applyFont="1" applyFill="1" applyBorder="1" applyAlignment="1" applyProtection="1">
      <alignment horizontal="center" vertical="center" shrinkToFit="1"/>
      <protection locked="0"/>
    </xf>
    <xf numFmtId="49" fontId="6" fillId="0" borderId="17" xfId="0" applyNumberFormat="1" applyFont="1" applyFill="1" applyBorder="1" applyAlignment="1" applyProtection="1">
      <alignment horizontal="center" vertical="center" shrinkToFit="1"/>
    </xf>
    <xf numFmtId="49" fontId="3" fillId="2" borderId="8" xfId="2" applyNumberFormat="1" applyFont="1" applyFill="1" applyBorder="1" applyAlignment="1">
      <alignment horizontal="center" vertical="center" shrinkToFit="1"/>
    </xf>
    <xf numFmtId="49" fontId="3" fillId="2" borderId="8" xfId="2" quotePrefix="1" applyNumberFormat="1" applyFont="1" applyFill="1" applyBorder="1" applyAlignment="1">
      <alignment horizontal="center" vertical="center" shrinkToFit="1"/>
    </xf>
    <xf numFmtId="49" fontId="6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 applyAlignment="1" applyProtection="1">
      <alignment horizontal="center" vertical="center" shrinkToFit="1"/>
      <protection locked="0"/>
    </xf>
    <xf numFmtId="0" fontId="6" fillId="0" borderId="3" xfId="0" applyFont="1" applyFill="1" applyBorder="1" applyAlignment="1" applyProtection="1">
      <alignment horizontal="center" vertical="center" shrinkToFit="1"/>
      <protection locked="0"/>
    </xf>
    <xf numFmtId="0" fontId="6" fillId="0" borderId="5" xfId="0" applyFont="1" applyFill="1" applyBorder="1" applyAlignment="1">
      <alignment horizontal="center" vertical="center" shrinkToFit="1"/>
    </xf>
    <xf numFmtId="0" fontId="3" fillId="0" borderId="4" xfId="2" quotePrefix="1" applyNumberFormat="1" applyFont="1" applyFill="1" applyBorder="1" applyAlignment="1">
      <alignment horizontal="center" vertical="center" shrinkToFit="1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vertical="center" shrinkToFit="1"/>
      <protection locked="0"/>
    </xf>
    <xf numFmtId="49" fontId="3" fillId="0" borderId="8" xfId="2" applyNumberFormat="1" applyFont="1" applyFill="1" applyBorder="1" applyAlignment="1">
      <alignment horizontal="center" vertical="center" shrinkToFit="1"/>
    </xf>
    <xf numFmtId="0" fontId="3" fillId="0" borderId="4" xfId="2" applyNumberFormat="1" applyFont="1" applyFill="1" applyBorder="1" applyAlignment="1">
      <alignment horizontal="center" vertical="center" shrinkToFit="1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quotePrefix="1" applyNumberFormat="1" applyFont="1" applyFill="1" applyBorder="1" applyAlignment="1" applyProtection="1">
      <alignment horizontal="left" vertical="top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vertical="center"/>
      <protection locked="0"/>
    </xf>
    <xf numFmtId="0" fontId="3" fillId="0" borderId="0" xfId="0" applyNumberFormat="1" applyFont="1" applyFill="1" applyProtection="1">
      <alignment vertical="center"/>
      <protection locked="0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12" fillId="4" borderId="27" xfId="0" applyFont="1" applyFill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 wrapText="1"/>
    </xf>
    <xf numFmtId="0" fontId="12" fillId="4" borderId="29" xfId="0" applyFont="1" applyFill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5" borderId="3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12" fillId="5" borderId="5" xfId="0" applyFont="1" applyFill="1" applyBorder="1" applyAlignment="1">
      <alignment horizontal="center" vertical="center" wrapText="1"/>
    </xf>
    <xf numFmtId="0" fontId="12" fillId="4" borderId="31" xfId="0" applyFont="1" applyFill="1" applyBorder="1" applyAlignment="1">
      <alignment horizontal="center" vertical="center" wrapText="1"/>
    </xf>
    <xf numFmtId="0" fontId="12" fillId="5" borderId="27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12" fillId="4" borderId="17" xfId="0" applyFont="1" applyFill="1" applyBorder="1" applyAlignment="1">
      <alignment horizontal="center" vertical="center" wrapText="1"/>
    </xf>
    <xf numFmtId="0" fontId="12" fillId="5" borderId="17" xfId="0" applyFont="1" applyFill="1" applyBorder="1" applyAlignment="1">
      <alignment horizontal="center" vertical="center" wrapText="1"/>
    </xf>
    <xf numFmtId="0" fontId="12" fillId="4" borderId="33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shrinkToFit="1"/>
    </xf>
    <xf numFmtId="14" fontId="3" fillId="0" borderId="0" xfId="0" applyNumberFormat="1" applyFont="1" applyFill="1" applyProtection="1">
      <alignment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177" fontId="3" fillId="0" borderId="0" xfId="0" applyNumberFormat="1" applyFont="1" applyFill="1" applyProtection="1">
      <alignment vertical="center"/>
      <protection locked="0"/>
    </xf>
    <xf numFmtId="38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3" fillId="0" borderId="34" xfId="0" applyFont="1" applyFill="1" applyBorder="1" applyAlignment="1" applyProtection="1">
      <alignment horizontal="center" vertical="center"/>
      <protection locked="0"/>
    </xf>
    <xf numFmtId="0" fontId="3" fillId="0" borderId="35" xfId="0" applyFont="1" applyFill="1" applyBorder="1" applyProtection="1">
      <alignment vertical="center"/>
      <protection locked="0"/>
    </xf>
    <xf numFmtId="0" fontId="3" fillId="0" borderId="36" xfId="0" applyFont="1" applyFill="1" applyBorder="1" applyProtection="1">
      <alignment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3" fillId="0" borderId="38" xfId="0" applyFont="1" applyFill="1" applyBorder="1" applyProtection="1">
      <alignment vertical="center"/>
      <protection locked="0"/>
    </xf>
    <xf numFmtId="0" fontId="3" fillId="0" borderId="39" xfId="0" applyFont="1" applyFill="1" applyBorder="1" applyProtection="1">
      <alignment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3" fillId="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0" borderId="49" xfId="0" applyFont="1" applyFill="1" applyBorder="1" applyAlignment="1" applyProtection="1">
      <alignment horizontal="center" vertical="center"/>
      <protection locked="0"/>
    </xf>
    <xf numFmtId="0" fontId="3" fillId="0" borderId="50" xfId="0" applyFont="1" applyFill="1" applyBorder="1" applyAlignment="1" applyProtection="1">
      <alignment horizontal="center" vertical="center"/>
      <protection locked="0"/>
    </xf>
    <xf numFmtId="0" fontId="4" fillId="0" borderId="49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176" fontId="4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0" xfId="0" quotePrefix="1" applyFont="1" applyFill="1" applyBorder="1" applyAlignment="1" applyProtection="1">
      <alignment horizontal="left" vertical="center"/>
      <protection locked="0"/>
    </xf>
    <xf numFmtId="177" fontId="3" fillId="0" borderId="0" xfId="0" applyNumberFormat="1" applyFont="1" applyFill="1" applyAlignment="1" applyProtection="1">
      <alignment horizontal="center" vertical="center"/>
      <protection locked="0"/>
    </xf>
    <xf numFmtId="14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4" fillId="0" borderId="41" xfId="0" applyFont="1" applyFill="1" applyBorder="1" applyAlignment="1" applyProtection="1">
      <alignment horizontal="left" vertical="center"/>
      <protection locked="0"/>
    </xf>
    <xf numFmtId="0" fontId="4" fillId="0" borderId="39" xfId="0" applyFont="1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4" fillId="0" borderId="36" xfId="0" applyFont="1" applyBorder="1" applyAlignment="1">
      <alignment horizontal="left" vertical="center"/>
    </xf>
    <xf numFmtId="0" fontId="4" fillId="0" borderId="41" xfId="0" applyFont="1" applyBorder="1" applyAlignment="1">
      <alignment horizontal="left" vertical="center"/>
    </xf>
    <xf numFmtId="0" fontId="4" fillId="0" borderId="39" xfId="0" applyFont="1" applyBorder="1" applyAlignment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3" fillId="0" borderId="51" xfId="0" applyFont="1" applyFill="1" applyBorder="1" applyAlignment="1" applyProtection="1">
      <alignment horizontal="center" vertical="center"/>
      <protection locked="0"/>
    </xf>
    <xf numFmtId="0" fontId="3" fillId="0" borderId="52" xfId="0" applyFont="1" applyFill="1" applyBorder="1" applyAlignment="1" applyProtection="1">
      <alignment horizontal="center" vertical="center"/>
      <protection locked="0"/>
    </xf>
    <xf numFmtId="0" fontId="3" fillId="0" borderId="53" xfId="0" applyFont="1" applyFill="1" applyBorder="1" applyAlignment="1" applyProtection="1">
      <alignment horizontal="center" vertical="center"/>
      <protection locked="0"/>
    </xf>
    <xf numFmtId="0" fontId="3" fillId="3" borderId="40" xfId="0" applyFont="1" applyFill="1" applyBorder="1" applyAlignment="1">
      <alignment horizontal="center" vertical="center"/>
    </xf>
    <xf numFmtId="0" fontId="4" fillId="3" borderId="41" xfId="0" applyFont="1" applyFill="1" applyBorder="1" applyAlignment="1">
      <alignment horizontal="left" vertical="center"/>
    </xf>
    <xf numFmtId="0" fontId="3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vertical="center" shrinkToFit="1"/>
      <protection locked="0"/>
    </xf>
    <xf numFmtId="0" fontId="3" fillId="0" borderId="42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NumberFormat="1" applyFont="1" applyFill="1" applyBorder="1" applyAlignment="1" applyProtection="1">
      <alignment horizontal="center" vertical="center"/>
      <protection locked="0"/>
    </xf>
    <xf numFmtId="0" fontId="3" fillId="0" borderId="48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6" fillId="0" borderId="0" xfId="0" applyFont="1" applyFill="1" applyAlignment="1" applyProtection="1">
      <alignment horizontal="right" vertical="center" shrinkToFit="1"/>
      <protection locked="0"/>
    </xf>
    <xf numFmtId="49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0" fillId="0" borderId="0" xfId="0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3" fillId="2" borderId="4" xfId="2" applyNumberFormat="1" applyFont="1" applyFill="1" applyBorder="1" applyAlignment="1">
      <alignment horizontal="center" vertical="center" shrinkToFit="1"/>
    </xf>
    <xf numFmtId="11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Continuous" vertical="center"/>
    </xf>
    <xf numFmtId="0" fontId="6" fillId="0" borderId="4" xfId="0" applyFont="1" applyFill="1" applyBorder="1" applyAlignment="1" applyProtection="1">
      <alignment horizontal="centerContinuous" vertical="center"/>
      <protection locked="0"/>
    </xf>
    <xf numFmtId="0" fontId="16" fillId="0" borderId="0" xfId="0" applyFont="1" applyAlignment="1">
      <alignment horizontal="center" vertical="center" shrinkToFit="1"/>
    </xf>
    <xf numFmtId="0" fontId="17" fillId="0" borderId="21" xfId="0" applyFont="1" applyFill="1" applyBorder="1" applyAlignment="1" applyProtection="1">
      <alignment horizontal="center" vertical="center" shrinkToFit="1"/>
    </xf>
    <xf numFmtId="49" fontId="17" fillId="0" borderId="21" xfId="0" applyNumberFormat="1" applyFont="1" applyFill="1" applyBorder="1" applyAlignment="1" applyProtection="1">
      <alignment horizontal="center" vertical="center" shrinkToFit="1"/>
    </xf>
    <xf numFmtId="0" fontId="18" fillId="0" borderId="4" xfId="0" applyFont="1" applyFill="1" applyBorder="1" applyAlignment="1">
      <alignment horizontal="center" vertical="center" shrinkToFit="1"/>
    </xf>
    <xf numFmtId="179" fontId="6" fillId="0" borderId="4" xfId="0" quotePrefix="1" applyNumberFormat="1" applyFont="1" applyFill="1" applyBorder="1" applyAlignment="1" applyProtection="1">
      <alignment horizontal="center" vertical="center" shrinkToFit="1"/>
    </xf>
    <xf numFmtId="179" fontId="3" fillId="0" borderId="0" xfId="0" applyNumberFormat="1" applyFont="1" applyFill="1" applyProtection="1">
      <alignment vertical="center"/>
      <protection locked="0"/>
    </xf>
    <xf numFmtId="0" fontId="19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0" xfId="0" quotePrefix="1" applyFont="1" applyAlignment="1">
      <alignment horizontal="center" vertical="center"/>
    </xf>
    <xf numFmtId="0" fontId="17" fillId="0" borderId="0" xfId="0" applyFont="1" applyFill="1" applyBorder="1" applyAlignment="1" applyProtection="1">
      <alignment horizontal="center" vertical="center" shrinkToFit="1"/>
    </xf>
    <xf numFmtId="49" fontId="6" fillId="0" borderId="0" xfId="0" applyNumberFormat="1" applyFont="1" applyFill="1" applyBorder="1" applyAlignment="1" applyProtection="1">
      <alignment horizontal="center" vertical="center" shrinkToFit="1"/>
    </xf>
    <xf numFmtId="49" fontId="6" fillId="2" borderId="0" xfId="0" applyNumberFormat="1" applyFont="1" applyFill="1" applyBorder="1" applyAlignment="1" applyProtection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49" fontId="6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21" fillId="0" borderId="4" xfId="0" applyFont="1" applyFill="1" applyBorder="1" applyAlignment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>
      <alignment horizontal="center" vertical="center" shrinkToFit="1"/>
    </xf>
    <xf numFmtId="0" fontId="3" fillId="2" borderId="0" xfId="2" applyNumberFormat="1" applyFont="1" applyFill="1" applyBorder="1" applyAlignment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0" fillId="0" borderId="4" xfId="0" quotePrefix="1" applyBorder="1" applyAlignment="1">
      <alignment horizontal="center" vertical="center" shrinkToFit="1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3" fillId="3" borderId="34" xfId="0" quotePrefix="1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left" vertical="center"/>
    </xf>
    <xf numFmtId="0" fontId="3" fillId="3" borderId="40" xfId="0" quotePrefix="1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4" fillId="3" borderId="36" xfId="0" applyFont="1" applyFill="1" applyBorder="1" applyAlignment="1" applyProtection="1">
      <alignment horizontal="left" vertical="center"/>
      <protection locked="0"/>
    </xf>
    <xf numFmtId="0" fontId="4" fillId="3" borderId="41" xfId="0" quotePrefix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49" fontId="3" fillId="3" borderId="4" xfId="2" applyNumberFormat="1" applyFont="1" applyFill="1" applyBorder="1" applyAlignment="1">
      <alignment horizontal="center" vertical="center" shrinkToFit="1"/>
    </xf>
    <xf numFmtId="0" fontId="6" fillId="3" borderId="4" xfId="0" applyFont="1" applyFill="1" applyBorder="1" applyAlignment="1" applyProtection="1">
      <alignment horizontal="center" vertical="center" shrinkToFit="1"/>
    </xf>
    <xf numFmtId="0" fontId="6" fillId="2" borderId="4" xfId="0" applyFont="1" applyFill="1" applyBorder="1" applyAlignment="1" applyProtection="1">
      <alignment horizontal="center" vertical="center" shrinkToFit="1"/>
    </xf>
    <xf numFmtId="11" fontId="6" fillId="3" borderId="4" xfId="0" applyNumberFormat="1" applyFont="1" applyFill="1" applyBorder="1" applyAlignment="1" applyProtection="1">
      <alignment horizontal="center" vertical="center" shrinkToFit="1"/>
    </xf>
    <xf numFmtId="49" fontId="3" fillId="6" borderId="4" xfId="2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6" fillId="7" borderId="4" xfId="0" applyFont="1" applyFill="1" applyBorder="1" applyAlignment="1" applyProtection="1">
      <alignment horizontal="center" vertical="center" shrinkToFit="1"/>
    </xf>
    <xf numFmtId="49" fontId="3" fillId="7" borderId="4" xfId="2" applyNumberFormat="1" applyFont="1" applyFill="1" applyBorder="1" applyAlignment="1">
      <alignment horizontal="center" vertical="center" shrinkToFit="1"/>
    </xf>
    <xf numFmtId="179" fontId="6" fillId="7" borderId="4" xfId="0" quotePrefix="1" applyNumberFormat="1" applyFont="1" applyFill="1" applyBorder="1" applyAlignment="1" applyProtection="1">
      <alignment horizontal="center" vertical="center" shrinkToFit="1"/>
    </xf>
    <xf numFmtId="0" fontId="6" fillId="7" borderId="4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quotePrefix="1" applyNumberFormat="1" applyFont="1" applyFill="1" applyBorder="1" applyAlignment="1" applyProtection="1">
      <alignment horizontal="center" vertical="center" shrinkToFit="1"/>
    </xf>
    <xf numFmtId="0" fontId="6" fillId="0" borderId="4" xfId="0" quotePrefix="1" applyFont="1" applyFill="1" applyBorder="1" applyAlignment="1" applyProtection="1">
      <alignment horizontal="center" vertical="center" shrinkToFit="1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22" fillId="0" borderId="4" xfId="0" applyFont="1" applyFill="1" applyBorder="1" applyAlignment="1" applyProtection="1">
      <alignment horizontal="center" vertical="center" shrinkToFit="1"/>
    </xf>
    <xf numFmtId="49" fontId="22" fillId="0" borderId="4" xfId="2" applyNumberFormat="1" applyFont="1" applyFill="1" applyBorder="1" applyAlignment="1">
      <alignment horizontal="center" vertical="center" shrinkToFit="1"/>
    </xf>
    <xf numFmtId="179" fontId="22" fillId="0" borderId="4" xfId="0" quotePrefix="1" applyNumberFormat="1" applyFont="1" applyFill="1" applyBorder="1" applyAlignment="1" applyProtection="1">
      <alignment horizontal="center" vertical="center" shrinkToFit="1"/>
    </xf>
    <xf numFmtId="0" fontId="22" fillId="0" borderId="4" xfId="0" applyNumberFormat="1" applyFont="1" applyFill="1" applyBorder="1" applyAlignment="1" applyProtection="1">
      <alignment horizontal="center" vertical="center" shrinkToFit="1"/>
    </xf>
    <xf numFmtId="0" fontId="22" fillId="0" borderId="4" xfId="2" quotePrefix="1" applyNumberFormat="1" applyFont="1" applyFill="1" applyBorder="1" applyAlignment="1">
      <alignment horizontal="center" vertical="center" shrinkToFit="1"/>
    </xf>
    <xf numFmtId="0" fontId="22" fillId="0" borderId="4" xfId="0" quotePrefix="1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6" fillId="8" borderId="4" xfId="0" applyFont="1" applyFill="1" applyBorder="1" applyAlignment="1" applyProtection="1">
      <alignment horizontal="center" vertical="center" shrinkToFit="1"/>
    </xf>
    <xf numFmtId="49" fontId="3" fillId="8" borderId="4" xfId="2" applyNumberFormat="1" applyFont="1" applyFill="1" applyBorder="1" applyAlignment="1">
      <alignment horizontal="center" vertical="center" shrinkToFit="1"/>
    </xf>
    <xf numFmtId="179" fontId="6" fillId="8" borderId="4" xfId="0" quotePrefix="1" applyNumberFormat="1" applyFont="1" applyFill="1" applyBorder="1" applyAlignment="1" applyProtection="1">
      <alignment horizontal="center" vertical="center" shrinkToFit="1"/>
    </xf>
    <xf numFmtId="0" fontId="6" fillId="8" borderId="4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2" borderId="4" xfId="2" quotePrefix="1" applyNumberFormat="1" applyFont="1" applyFill="1" applyBorder="1" applyAlignment="1">
      <alignment horizontal="center" vertical="center" shrinkToFit="1"/>
    </xf>
    <xf numFmtId="0" fontId="22" fillId="0" borderId="4" xfId="0" applyFont="1" applyFill="1" applyBorder="1" applyAlignment="1" applyProtection="1">
      <alignment horizontal="centerContinuous" vertical="center"/>
    </xf>
    <xf numFmtId="0" fontId="6" fillId="7" borderId="4" xfId="0" applyNumberFormat="1" applyFont="1" applyFill="1" applyBorder="1" applyAlignment="1" applyProtection="1">
      <alignment vertical="center" shrinkToFit="1"/>
    </xf>
    <xf numFmtId="0" fontId="6" fillId="9" borderId="4" xfId="0" applyFont="1" applyFill="1" applyBorder="1" applyAlignment="1" applyProtection="1">
      <alignment horizontal="center" vertical="center" shrinkToFit="1"/>
    </xf>
    <xf numFmtId="49" fontId="3" fillId="9" borderId="4" xfId="2" applyNumberFormat="1" applyFont="1" applyFill="1" applyBorder="1" applyAlignment="1">
      <alignment horizontal="center" vertical="center" shrinkToFit="1"/>
    </xf>
    <xf numFmtId="179" fontId="6" fillId="9" borderId="4" xfId="0" quotePrefix="1" applyNumberFormat="1" applyFont="1" applyFill="1" applyBorder="1" applyAlignment="1" applyProtection="1">
      <alignment horizontal="center" vertical="center" shrinkToFit="1"/>
    </xf>
    <xf numFmtId="0" fontId="6" fillId="9" borderId="4" xfId="0" applyNumberFormat="1" applyFont="1" applyFill="1" applyBorder="1" applyAlignment="1" applyProtection="1">
      <alignment horizontal="center" vertical="center" shrinkToFit="1"/>
    </xf>
    <xf numFmtId="0" fontId="6" fillId="0" borderId="17" xfId="0" applyFont="1" applyFill="1" applyBorder="1" applyAlignment="1" applyProtection="1">
      <alignment horizontal="center" vertical="center" shrinkToFit="1"/>
    </xf>
    <xf numFmtId="11" fontId="6" fillId="0" borderId="17" xfId="0" applyNumberFormat="1" applyFont="1" applyFill="1" applyBorder="1" applyAlignment="1" applyProtection="1">
      <alignment horizontal="center" vertical="center" shrinkToFit="1"/>
    </xf>
    <xf numFmtId="179" fontId="6" fillId="0" borderId="17" xfId="0" quotePrefix="1" applyNumberFormat="1" applyFont="1" applyFill="1" applyBorder="1" applyAlignment="1" applyProtection="1">
      <alignment horizontal="center" vertical="center" shrinkToFit="1"/>
    </xf>
    <xf numFmtId="0" fontId="3" fillId="0" borderId="17" xfId="2" quotePrefix="1" applyNumberFormat="1" applyFont="1" applyFill="1" applyBorder="1" applyAlignment="1">
      <alignment horizontal="center" vertical="center" shrinkToFit="1"/>
    </xf>
    <xf numFmtId="0" fontId="6" fillId="0" borderId="17" xfId="0" applyNumberFormat="1" applyFont="1" applyFill="1" applyBorder="1" applyAlignment="1" applyProtection="1">
      <alignment horizontal="center" vertical="center" shrinkToFit="1"/>
    </xf>
    <xf numFmtId="11" fontId="6" fillId="9" borderId="4" xfId="0" applyNumberFormat="1" applyFont="1" applyFill="1" applyBorder="1" applyAlignment="1" applyProtection="1">
      <alignment horizontal="center" vertical="center" shrinkToFit="1"/>
    </xf>
    <xf numFmtId="0" fontId="6" fillId="7" borderId="4" xfId="0" quotePrefix="1" applyNumberFormat="1" applyFont="1" applyFill="1" applyBorder="1" applyAlignment="1" applyProtection="1">
      <alignment horizontal="center" vertical="center" shrinkToFit="1"/>
      <protection locked="0"/>
    </xf>
    <xf numFmtId="0" fontId="3" fillId="7" borderId="4" xfId="2" quotePrefix="1" applyNumberFormat="1" applyFont="1" applyFill="1" applyBorder="1" applyAlignment="1">
      <alignment horizontal="center" vertical="center" shrinkToFit="1"/>
    </xf>
    <xf numFmtId="0" fontId="6" fillId="7" borderId="4" xfId="0" applyFont="1" applyFill="1" applyBorder="1" applyAlignment="1" applyProtection="1">
      <alignment horizontal="centerContinuous" vertical="center"/>
    </xf>
    <xf numFmtId="11" fontId="6" fillId="8" borderId="4" xfId="0" applyNumberFormat="1" applyFont="1" applyFill="1" applyBorder="1" applyAlignment="1" applyProtection="1">
      <alignment horizontal="center" vertical="center" shrinkToFit="1"/>
    </xf>
    <xf numFmtId="0" fontId="6" fillId="8" borderId="4" xfId="0" applyFont="1" applyFill="1" applyBorder="1" applyAlignment="1" applyProtection="1">
      <alignment horizontal="centerContinuous" vertical="center"/>
    </xf>
    <xf numFmtId="179" fontId="6" fillId="0" borderId="8" xfId="0" quotePrefix="1" applyNumberFormat="1" applyFont="1" applyFill="1" applyBorder="1" applyAlignment="1" applyProtection="1">
      <alignment horizontal="center" vertical="center" shrinkToFit="1"/>
    </xf>
    <xf numFmtId="0" fontId="6" fillId="0" borderId="8" xfId="0" quotePrefix="1" applyNumberFormat="1" applyFont="1" applyFill="1" applyBorder="1" applyAlignment="1" applyProtection="1">
      <alignment horizontal="center" vertical="center" shrinkToFit="1"/>
      <protection locked="0"/>
    </xf>
    <xf numFmtId="0" fontId="3" fillId="0" borderId="8" xfId="2" quotePrefix="1" applyNumberFormat="1" applyFont="1" applyFill="1" applyBorder="1" applyAlignment="1">
      <alignment horizontal="center" vertical="center" shrinkToFit="1"/>
    </xf>
    <xf numFmtId="0" fontId="6" fillId="0" borderId="8" xfId="0" applyNumberFormat="1" applyFont="1" applyFill="1" applyBorder="1" applyAlignment="1" applyProtection="1">
      <alignment horizontal="center" vertical="center" shrinkToFit="1"/>
    </xf>
    <xf numFmtId="0" fontId="6" fillId="0" borderId="8" xfId="0" applyFont="1" applyFill="1" applyBorder="1" applyAlignment="1" applyProtection="1">
      <alignment horizontal="centerContinuous" vertical="center"/>
    </xf>
    <xf numFmtId="49" fontId="3" fillId="0" borderId="17" xfId="2" applyNumberFormat="1" applyFont="1" applyFill="1" applyBorder="1" applyAlignment="1">
      <alignment horizontal="center" vertical="center" shrinkToFit="1"/>
    </xf>
    <xf numFmtId="0" fontId="6" fillId="0" borderId="17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0" borderId="17" xfId="0" applyFont="1" applyFill="1" applyBorder="1" applyAlignment="1" applyProtection="1">
      <alignment horizontal="centerContinuous" vertical="center"/>
    </xf>
    <xf numFmtId="0" fontId="6" fillId="0" borderId="8" xfId="0" quotePrefix="1" applyFont="1" applyFill="1" applyBorder="1" applyAlignment="1" applyProtection="1">
      <alignment horizontal="center" vertical="center" shrinkToFit="1"/>
    </xf>
    <xf numFmtId="0" fontId="6" fillId="8" borderId="4" xfId="0" quotePrefix="1" applyNumberFormat="1" applyFont="1" applyFill="1" applyBorder="1" applyAlignment="1" applyProtection="1">
      <alignment horizontal="center" vertical="center" shrinkToFit="1"/>
      <protection locked="0"/>
    </xf>
    <xf numFmtId="0" fontId="3" fillId="8" borderId="4" xfId="2" quotePrefix="1" applyNumberFormat="1" applyFont="1" applyFill="1" applyBorder="1" applyAlignment="1">
      <alignment horizontal="center" vertical="center" shrinkToFit="1"/>
    </xf>
    <xf numFmtId="0" fontId="6" fillId="7" borderId="7" xfId="0" applyNumberFormat="1" applyFont="1" applyFill="1" applyBorder="1" applyAlignment="1" applyProtection="1">
      <alignment vertical="center" shrinkToFit="1"/>
    </xf>
    <xf numFmtId="0" fontId="3" fillId="7" borderId="0" xfId="0" applyFont="1" applyFill="1" applyProtection="1">
      <alignment vertical="center"/>
      <protection locked="0"/>
    </xf>
    <xf numFmtId="0" fontId="3" fillId="7" borderId="0" xfId="0" applyFont="1" applyFill="1" applyAlignment="1" applyProtection="1">
      <alignment horizontal="center" vertical="center"/>
      <protection locked="0"/>
    </xf>
    <xf numFmtId="0" fontId="8" fillId="7" borderId="0" xfId="0" applyFont="1" applyFill="1" applyBorder="1" applyAlignment="1" applyProtection="1">
      <alignment horizontal="center" vertical="center"/>
      <protection locked="0"/>
    </xf>
    <xf numFmtId="0" fontId="13" fillId="7" borderId="0" xfId="0" applyFont="1" applyFill="1" applyBorder="1" applyAlignment="1" applyProtection="1">
      <alignment horizontal="center" vertical="center"/>
      <protection locked="0"/>
    </xf>
    <xf numFmtId="11" fontId="6" fillId="7" borderId="4" xfId="0" applyNumberFormat="1" applyFont="1" applyFill="1" applyBorder="1" applyAlignment="1" applyProtection="1">
      <alignment horizontal="center" vertical="center" shrinkToFit="1"/>
    </xf>
    <xf numFmtId="179" fontId="3" fillId="7" borderId="0" xfId="0" applyNumberFormat="1" applyFont="1" applyFill="1" applyProtection="1">
      <alignment vertical="center"/>
      <protection locked="0"/>
    </xf>
    <xf numFmtId="0" fontId="3" fillId="8" borderId="0" xfId="0" applyFont="1" applyFill="1" applyProtection="1">
      <alignment vertical="center"/>
      <protection locked="0"/>
    </xf>
    <xf numFmtId="0" fontId="3" fillId="8" borderId="0" xfId="0" applyFont="1" applyFill="1" applyAlignment="1" applyProtection="1">
      <alignment horizontal="center" vertical="center"/>
      <protection locked="0"/>
    </xf>
    <xf numFmtId="177" fontId="3" fillId="7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6" fillId="0" borderId="7" xfId="0" quotePrefix="1" applyNumberFormat="1" applyFont="1" applyFill="1" applyBorder="1" applyAlignment="1" applyProtection="1">
      <alignment horizontal="center" vertical="center" shrinkToFit="1"/>
      <protection locked="0"/>
    </xf>
    <xf numFmtId="179" fontId="6" fillId="8" borderId="7" xfId="0" quotePrefix="1" applyNumberFormat="1" applyFont="1" applyFill="1" applyBorder="1" applyAlignment="1" applyProtection="1">
      <alignment horizontal="center" vertical="center" shrinkToFit="1"/>
    </xf>
    <xf numFmtId="0" fontId="6" fillId="8" borderId="7" xfId="0" applyNumberFormat="1" applyFont="1" applyFill="1" applyBorder="1" applyAlignment="1" applyProtection="1">
      <alignment vertical="center" shrinkToFit="1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6" fillId="7" borderId="4" xfId="0" quotePrefix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/>
    </xf>
    <xf numFmtId="11" fontId="6" fillId="2" borderId="4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22" fillId="0" borderId="4" xfId="0" quotePrefix="1" applyFont="1" applyFill="1" applyBorder="1" applyAlignment="1" applyProtection="1">
      <alignment horizontal="center" vertical="center" shrinkToFit="1"/>
    </xf>
    <xf numFmtId="11" fontId="6" fillId="6" borderId="4" xfId="0" applyNumberFormat="1" applyFont="1" applyFill="1" applyBorder="1" applyAlignment="1" applyProtection="1">
      <alignment horizontal="center" vertical="center" shrinkToFit="1"/>
    </xf>
    <xf numFmtId="0" fontId="6" fillId="0" borderId="7" xfId="0" applyFont="1" applyFill="1" applyBorder="1" applyAlignment="1" applyProtection="1">
      <alignment horizontal="center" vertical="center"/>
    </xf>
    <xf numFmtId="0" fontId="6" fillId="0" borderId="56" xfId="0" applyFont="1" applyFill="1" applyBorder="1" applyAlignment="1" applyProtection="1">
      <alignment horizontal="center" vertical="center"/>
    </xf>
    <xf numFmtId="0" fontId="6" fillId="0" borderId="9" xfId="0" applyFont="1" applyFill="1" applyBorder="1" applyAlignment="1" applyProtection="1">
      <alignment horizontal="center" vertical="center"/>
    </xf>
    <xf numFmtId="14" fontId="3" fillId="7" borderId="0" xfId="0" applyNumberFormat="1" applyFont="1" applyFill="1" applyProtection="1">
      <alignment vertical="center"/>
      <protection locked="0"/>
    </xf>
    <xf numFmtId="0" fontId="6" fillId="8" borderId="4" xfId="0" applyFont="1" applyFill="1" applyBorder="1" applyAlignment="1" applyProtection="1">
      <alignment horizontal="centerContinuous" vertical="center"/>
      <protection locked="0"/>
    </xf>
    <xf numFmtId="179" fontId="6" fillId="0" borderId="4" xfId="0" quotePrefix="1" applyNumberFormat="1" applyFont="1" applyFill="1" applyBorder="1" applyAlignment="1" applyProtection="1">
      <alignment vertical="center" shrinkToFit="1"/>
    </xf>
    <xf numFmtId="0" fontId="3" fillId="0" borderId="0" xfId="0" applyFont="1" applyFill="1" applyProtection="1">
      <alignment vertical="center"/>
      <protection locked="0"/>
    </xf>
    <xf numFmtId="0" fontId="6" fillId="8" borderId="4" xfId="0" quotePrefix="1" applyFont="1" applyFill="1" applyBorder="1" applyAlignment="1" applyProtection="1">
      <alignment horizontal="center" vertical="center" shrinkToFit="1"/>
    </xf>
    <xf numFmtId="0" fontId="6" fillId="6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2" borderId="4" xfId="0" applyNumberFormat="1" applyFont="1" applyFill="1" applyBorder="1" applyAlignment="1" applyProtection="1">
      <alignment horizontal="center" vertical="center" shrinkToFit="1"/>
    </xf>
    <xf numFmtId="0" fontId="6" fillId="2" borderId="7" xfId="0" applyNumberFormat="1" applyFont="1" applyFill="1" applyBorder="1" applyAlignment="1" applyProtection="1">
      <alignment vertical="center" shrinkToFit="1"/>
    </xf>
    <xf numFmtId="179" fontId="6" fillId="2" borderId="4" xfId="0" quotePrefix="1" applyNumberFormat="1" applyFont="1" applyFill="1" applyBorder="1" applyAlignment="1" applyProtection="1">
      <alignment vertical="center" shrinkToFit="1"/>
    </xf>
    <xf numFmtId="179" fontId="6" fillId="2" borderId="4" xfId="0" quotePrefix="1" applyNumberFormat="1" applyFont="1" applyFill="1" applyBorder="1" applyAlignment="1" applyProtection="1">
      <alignment horizontal="center" vertical="center" shrinkToFit="1"/>
    </xf>
    <xf numFmtId="0" fontId="6" fillId="2" borderId="4" xfId="0" applyNumberFormat="1" applyFont="1" applyFill="1" applyBorder="1" applyAlignment="1" applyProtection="1">
      <alignment horizontal="center" vertical="center" shrinkToFit="1"/>
    </xf>
    <xf numFmtId="178" fontId="4" fillId="0" borderId="10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55" xfId="0" applyFont="1" applyFill="1" applyBorder="1" applyAlignment="1" applyProtection="1">
      <alignment horizontal="center" vertical="center" shrinkToFit="1"/>
      <protection locked="0"/>
    </xf>
    <xf numFmtId="0" fontId="3" fillId="0" borderId="38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3" xfId="0" applyFont="1" applyFill="1" applyBorder="1" applyAlignment="1" applyProtection="1">
      <alignment horizontal="center" vertical="center" shrinkToFit="1"/>
      <protection locked="0"/>
    </xf>
    <xf numFmtId="0" fontId="6" fillId="0" borderId="15" xfId="0" applyFont="1" applyFill="1" applyBorder="1" applyAlignment="1" applyProtection="1">
      <alignment horizontal="center" vertical="center" shrinkToFit="1"/>
      <protection locked="0"/>
    </xf>
    <xf numFmtId="0" fontId="6" fillId="0" borderId="13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5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2" xfId="0" applyFont="1" applyFill="1" applyBorder="1" applyAlignment="1" applyProtection="1">
      <alignment vertical="center" shrinkToFit="1"/>
      <protection locked="0"/>
    </xf>
    <xf numFmtId="0" fontId="6" fillId="0" borderId="18" xfId="0" applyFont="1" applyFill="1" applyBorder="1" applyAlignment="1" applyProtection="1">
      <alignment vertical="center" shrinkToFit="1"/>
      <protection locked="0"/>
    </xf>
    <xf numFmtId="0" fontId="6" fillId="0" borderId="2" xfId="0" applyFont="1" applyFill="1" applyBorder="1" applyAlignment="1" applyProtection="1">
      <alignment horizontal="center" vertical="center" shrinkToFit="1"/>
      <protection locked="0"/>
    </xf>
    <xf numFmtId="0" fontId="6" fillId="0" borderId="14" xfId="0" applyFont="1" applyFill="1" applyBorder="1" applyAlignment="1" applyProtection="1">
      <alignment horizontal="center" vertical="center" shrinkToFit="1"/>
      <protection locked="0"/>
    </xf>
    <xf numFmtId="0" fontId="6" fillId="0" borderId="7" xfId="0" applyFont="1" applyFill="1" applyBorder="1" applyAlignment="1" applyProtection="1">
      <alignment horizontal="center" vertical="center" shrinkToFit="1"/>
      <protection locked="0"/>
    </xf>
    <xf numFmtId="0" fontId="6" fillId="0" borderId="9" xfId="0" applyFont="1" applyFill="1" applyBorder="1" applyAlignment="1" applyProtection="1">
      <alignment horizontal="center" vertical="center" shrinkToFit="1"/>
      <protection locked="0"/>
    </xf>
    <xf numFmtId="0" fontId="6" fillId="0" borderId="12" xfId="0" applyFont="1" applyFill="1" applyBorder="1" applyAlignment="1">
      <alignment horizontal="center" vertical="center" shrinkToFit="1"/>
    </xf>
    <xf numFmtId="0" fontId="6" fillId="0" borderId="16" xfId="0" applyFont="1" applyFill="1" applyBorder="1" applyAlignment="1">
      <alignment horizontal="center" vertical="center" shrinkToFit="1"/>
    </xf>
    <xf numFmtId="0" fontId="6" fillId="0" borderId="12" xfId="0" applyFont="1" applyFill="1" applyBorder="1" applyAlignment="1" applyProtection="1">
      <alignment horizontal="center" vertical="center" shrinkToFit="1"/>
      <protection locked="0"/>
    </xf>
    <xf numFmtId="0" fontId="6" fillId="0" borderId="16" xfId="0" applyFont="1" applyFill="1" applyBorder="1" applyAlignment="1" applyProtection="1">
      <alignment horizontal="center" vertical="center" shrinkToFit="1"/>
      <protection locked="0"/>
    </xf>
    <xf numFmtId="0" fontId="6" fillId="0" borderId="12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6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6" xfId="0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6" fillId="0" borderId="54" xfId="0" applyFont="1" applyFill="1" applyBorder="1" applyAlignment="1" applyProtection="1">
      <alignment horizontal="left" vertical="center"/>
      <protection locked="0"/>
    </xf>
    <xf numFmtId="0" fontId="3" fillId="0" borderId="54" xfId="0" applyNumberFormat="1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6" fillId="0" borderId="13" xfId="0" applyFont="1" applyFill="1" applyBorder="1" applyAlignment="1" applyProtection="1">
      <alignment horizontal="center" vertical="center" shrinkToFit="1"/>
    </xf>
    <xf numFmtId="0" fontId="6" fillId="0" borderId="15" xfId="0" applyFont="1" applyFill="1" applyBorder="1" applyAlignment="1" applyProtection="1">
      <alignment horizontal="center" vertical="center" shrinkToFit="1"/>
    </xf>
    <xf numFmtId="0" fontId="6" fillId="0" borderId="21" xfId="0" applyFont="1" applyFill="1" applyBorder="1" applyAlignment="1" applyProtection="1">
      <alignment horizontal="center" vertical="center" wrapText="1" shrinkToFit="1"/>
    </xf>
    <xf numFmtId="0" fontId="6" fillId="0" borderId="21" xfId="0" applyNumberFormat="1" applyFont="1" applyFill="1" applyBorder="1" applyAlignment="1" applyProtection="1">
      <alignment horizontal="center" vertical="center" shrinkToFit="1"/>
    </xf>
    <xf numFmtId="0" fontId="6" fillId="0" borderId="22" xfId="0" applyNumberFormat="1" applyFont="1" applyFill="1" applyBorder="1" applyAlignment="1" applyProtection="1">
      <alignment horizontal="center" vertical="center" shrinkToFit="1"/>
    </xf>
    <xf numFmtId="0" fontId="6" fillId="0" borderId="19" xfId="0" applyFont="1" applyFill="1" applyBorder="1" applyAlignment="1" applyProtection="1">
      <alignment horizontal="center" vertical="center" shrinkToFit="1"/>
    </xf>
    <xf numFmtId="0" fontId="6" fillId="0" borderId="10" xfId="0" applyFont="1" applyFill="1" applyBorder="1" applyAlignment="1" applyProtection="1">
      <alignment horizontal="center" vertical="center" shrinkToFit="1"/>
    </xf>
    <xf numFmtId="0" fontId="6" fillId="0" borderId="20" xfId="0" applyFont="1" applyFill="1" applyBorder="1" applyAlignment="1" applyProtection="1">
      <alignment horizontal="center" vertical="center" shrinkToFit="1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5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49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6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vertical="center" shrinkToFit="1"/>
      <protection locked="0"/>
    </xf>
    <xf numFmtId="0" fontId="6" fillId="0" borderId="0" xfId="0" applyFont="1" applyFill="1" applyAlignment="1" applyProtection="1">
      <alignment horizontal="center" vertical="center" shrinkToFit="1"/>
      <protection locked="0"/>
    </xf>
    <xf numFmtId="0" fontId="6" fillId="7" borderId="56" xfId="0" applyNumberFormat="1" applyFont="1" applyFill="1" applyBorder="1" applyAlignment="1" applyProtection="1">
      <alignment horizontal="center" vertical="center" shrinkToFit="1"/>
    </xf>
    <xf numFmtId="0" fontId="6" fillId="7" borderId="9" xfId="0" applyNumberFormat="1" applyFont="1" applyFill="1" applyBorder="1" applyAlignment="1" applyProtection="1">
      <alignment horizontal="center" vertical="center" shrinkToFit="1"/>
    </xf>
    <xf numFmtId="0" fontId="3" fillId="7" borderId="7" xfId="2" quotePrefix="1" applyNumberFormat="1" applyFont="1" applyFill="1" applyBorder="1" applyAlignment="1">
      <alignment horizontal="center" vertical="center" shrinkToFit="1"/>
    </xf>
    <xf numFmtId="0" fontId="0" fillId="7" borderId="9" xfId="0" applyFill="1" applyBorder="1" applyAlignment="1">
      <alignment horizontal="center" vertical="center" shrinkToFit="1"/>
    </xf>
    <xf numFmtId="0" fontId="5" fillId="0" borderId="0" xfId="2" applyNumberFormat="1" applyFont="1" applyFill="1" applyBorder="1" applyAlignment="1">
      <alignment horizontal="center" vertical="center" shrinkToFit="1"/>
    </xf>
    <xf numFmtId="0" fontId="3" fillId="0" borderId="0" xfId="0" applyFont="1" applyFill="1" applyAlignment="1" applyProtection="1">
      <alignment horizontal="left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5" fillId="0" borderId="0" xfId="0" applyNumberFormat="1" applyFont="1" applyAlignment="1">
      <alignment horizontal="center" vertical="center" shrinkToFit="1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179" fontId="6" fillId="9" borderId="56" xfId="0" quotePrefix="1" applyNumberFormat="1" applyFont="1" applyFill="1" applyBorder="1" applyAlignment="1" applyProtection="1">
      <alignment horizontal="center" vertical="center" shrinkToFit="1"/>
    </xf>
    <xf numFmtId="179" fontId="6" fillId="9" borderId="9" xfId="0" quotePrefix="1" applyNumberFormat="1" applyFont="1" applyFill="1" applyBorder="1" applyAlignment="1" applyProtection="1">
      <alignment horizontal="center" vertical="center" shrinkToFit="1"/>
    </xf>
    <xf numFmtId="0" fontId="6" fillId="9" borderId="7" xfId="0" applyFont="1" applyFill="1" applyBorder="1" applyAlignment="1" applyProtection="1">
      <alignment horizontal="center" vertical="center"/>
    </xf>
    <xf numFmtId="0" fontId="6" fillId="9" borderId="56" xfId="0" applyFont="1" applyFill="1" applyBorder="1" applyAlignment="1" applyProtection="1">
      <alignment horizontal="center" vertical="center"/>
    </xf>
    <xf numFmtId="0" fontId="6" fillId="9" borderId="9" xfId="0" applyFont="1" applyFill="1" applyBorder="1" applyAlignment="1" applyProtection="1">
      <alignment horizontal="center" vertical="center"/>
    </xf>
    <xf numFmtId="179" fontId="6" fillId="7" borderId="56" xfId="0" quotePrefix="1" applyNumberFormat="1" applyFont="1" applyFill="1" applyBorder="1" applyAlignment="1" applyProtection="1">
      <alignment horizontal="center" vertical="center" shrinkToFit="1"/>
    </xf>
    <xf numFmtId="179" fontId="6" fillId="7" borderId="9" xfId="0" quotePrefix="1" applyNumberFormat="1" applyFont="1" applyFill="1" applyBorder="1" applyAlignment="1" applyProtection="1">
      <alignment horizontal="center" vertical="center" shrinkToFit="1"/>
    </xf>
    <xf numFmtId="0" fontId="22" fillId="0" borderId="0" xfId="0" quotePrefix="1" applyFont="1" applyFill="1" applyBorder="1" applyAlignment="1" applyProtection="1">
      <alignment horizontal="left" vertical="center"/>
      <protection locked="0"/>
    </xf>
    <xf numFmtId="0" fontId="22" fillId="0" borderId="0" xfId="0" applyFont="1" applyFill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center" vertical="center"/>
    </xf>
    <xf numFmtId="0" fontId="6" fillId="0" borderId="56" xfId="0" applyFont="1" applyFill="1" applyBorder="1" applyAlignment="1" applyProtection="1">
      <alignment horizontal="center" vertical="center"/>
    </xf>
    <xf numFmtId="0" fontId="6" fillId="0" borderId="9" xfId="0" applyFont="1" applyFill="1" applyBorder="1" applyAlignment="1" applyProtection="1">
      <alignment horizontal="center" vertical="center"/>
    </xf>
    <xf numFmtId="0" fontId="6" fillId="0" borderId="19" xfId="0" applyFont="1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horizontal="center" vertical="center"/>
    </xf>
    <xf numFmtId="179" fontId="6" fillId="9" borderId="7" xfId="0" quotePrefix="1" applyNumberFormat="1" applyFont="1" applyFill="1" applyBorder="1" applyAlignment="1" applyProtection="1">
      <alignment horizontal="center" vertical="center" shrinkToFit="1"/>
    </xf>
    <xf numFmtId="0" fontId="6" fillId="9" borderId="7" xfId="0" applyNumberFormat="1" applyFont="1" applyFill="1" applyBorder="1" applyAlignment="1" applyProtection="1">
      <alignment horizontal="center" vertical="center" shrinkToFit="1"/>
    </xf>
    <xf numFmtId="0" fontId="6" fillId="9" borderId="56" xfId="0" applyNumberFormat="1" applyFont="1" applyFill="1" applyBorder="1" applyAlignment="1" applyProtection="1">
      <alignment horizontal="center" vertical="center" shrinkToFit="1"/>
    </xf>
    <xf numFmtId="0" fontId="6" fillId="9" borderId="9" xfId="0" applyNumberFormat="1" applyFont="1" applyFill="1" applyBorder="1" applyAlignment="1" applyProtection="1">
      <alignment horizontal="center" vertical="center" shrinkToFit="1"/>
    </xf>
    <xf numFmtId="0" fontId="6" fillId="7" borderId="7" xfId="0" applyNumberFormat="1" applyFont="1" applyFill="1" applyBorder="1" applyAlignment="1" applyProtection="1">
      <alignment horizontal="center" vertical="center" shrinkToFit="1"/>
    </xf>
    <xf numFmtId="179" fontId="6" fillId="7" borderId="7" xfId="0" quotePrefix="1" applyNumberFormat="1" applyFont="1" applyFill="1" applyBorder="1" applyAlignment="1" applyProtection="1">
      <alignment horizontal="center" vertical="center" shrinkToFit="1"/>
    </xf>
    <xf numFmtId="0" fontId="3" fillId="8" borderId="7" xfId="2" quotePrefix="1" applyNumberFormat="1" applyFont="1" applyFill="1" applyBorder="1" applyAlignment="1">
      <alignment horizontal="center" vertical="center" shrinkToFit="1"/>
    </xf>
    <xf numFmtId="0" fontId="3" fillId="8" borderId="9" xfId="2" quotePrefix="1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 applyProtection="1">
      <alignment horizontal="center" vertical="center" wrapText="1" shrinkToFit="1"/>
      <protection locked="0"/>
    </xf>
    <xf numFmtId="0" fontId="6" fillId="8" borderId="56" xfId="0" applyNumberFormat="1" applyFont="1" applyFill="1" applyBorder="1" applyAlignment="1" applyProtection="1">
      <alignment horizontal="center" vertical="center" shrinkToFit="1"/>
    </xf>
    <xf numFmtId="0" fontId="6" fillId="8" borderId="9" xfId="0" applyNumberFormat="1" applyFont="1" applyFill="1" applyBorder="1" applyAlignment="1" applyProtection="1">
      <alignment horizontal="center" vertical="center" shrinkToFit="1"/>
    </xf>
    <xf numFmtId="0" fontId="0" fillId="8" borderId="9" xfId="0" applyFill="1" applyBorder="1" applyAlignment="1">
      <alignment horizontal="center" vertical="center" shrinkToFit="1"/>
    </xf>
    <xf numFmtId="0" fontId="6" fillId="8" borderId="7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8" borderId="9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8" borderId="7" xfId="0" applyNumberFormat="1" applyFont="1" applyFill="1" applyBorder="1" applyAlignment="1" applyProtection="1">
      <alignment horizontal="center" vertical="center" shrinkToFit="1"/>
    </xf>
    <xf numFmtId="179" fontId="6" fillId="8" borderId="7" xfId="0" quotePrefix="1" applyNumberFormat="1" applyFont="1" applyFill="1" applyBorder="1" applyAlignment="1" applyProtection="1">
      <alignment horizontal="center" vertical="center" shrinkToFit="1"/>
    </xf>
    <xf numFmtId="179" fontId="6" fillId="8" borderId="9" xfId="0" quotePrefix="1" applyNumberFormat="1" applyFont="1" applyFill="1" applyBorder="1" applyAlignment="1" applyProtection="1">
      <alignment horizontal="center" vertical="center" shrinkToFit="1"/>
    </xf>
    <xf numFmtId="0" fontId="6" fillId="0" borderId="57" xfId="0" applyFont="1" applyFill="1" applyBorder="1" applyAlignment="1" applyProtection="1">
      <alignment horizontal="center" vertical="center" shrinkToFit="1"/>
      <protection locked="0"/>
    </xf>
    <xf numFmtId="0" fontId="3" fillId="0" borderId="0" xfId="0" quotePrefix="1" applyFont="1" applyFill="1" applyBorder="1" applyAlignment="1" applyProtection="1">
      <alignment horizontal="center" vertical="center" shrinkToFit="1"/>
      <protection locked="0"/>
    </xf>
    <xf numFmtId="0" fontId="3" fillId="0" borderId="0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7" borderId="7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7" borderId="9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7" borderId="11" xfId="0" applyNumberFormat="1" applyFont="1" applyFill="1" applyBorder="1" applyAlignment="1" applyProtection="1">
      <alignment horizontal="center" vertical="center" shrinkToFit="1"/>
    </xf>
    <xf numFmtId="0" fontId="6" fillId="7" borderId="58" xfId="0" applyNumberFormat="1" applyFont="1" applyFill="1" applyBorder="1" applyAlignment="1" applyProtection="1">
      <alignment horizontal="center" vertical="center" shrinkToFit="1"/>
    </xf>
    <xf numFmtId="0" fontId="6" fillId="7" borderId="54" xfId="0" applyNumberFormat="1" applyFont="1" applyFill="1" applyBorder="1" applyAlignment="1" applyProtection="1">
      <alignment horizontal="center" vertical="center" shrinkToFit="1"/>
    </xf>
    <xf numFmtId="0" fontId="6" fillId="7" borderId="59" xfId="0" applyNumberFormat="1" applyFont="1" applyFill="1" applyBorder="1" applyAlignment="1" applyProtection="1">
      <alignment horizontal="center" vertical="center" shrinkToFit="1"/>
    </xf>
    <xf numFmtId="0" fontId="6" fillId="7" borderId="0" xfId="0" applyNumberFormat="1" applyFont="1" applyFill="1" applyBorder="1" applyAlignment="1" applyProtection="1">
      <alignment horizontal="center" vertical="center" shrinkToFit="1"/>
    </xf>
    <xf numFmtId="0" fontId="6" fillId="7" borderId="60" xfId="0" applyNumberFormat="1" applyFont="1" applyFill="1" applyBorder="1" applyAlignment="1" applyProtection="1">
      <alignment horizontal="center" vertical="center" shrinkToFit="1"/>
    </xf>
    <xf numFmtId="0" fontId="6" fillId="7" borderId="19" xfId="0" applyNumberFormat="1" applyFont="1" applyFill="1" applyBorder="1" applyAlignment="1" applyProtection="1">
      <alignment horizontal="center" vertical="center" shrinkToFit="1"/>
    </xf>
    <xf numFmtId="0" fontId="6" fillId="7" borderId="10" xfId="0" applyNumberFormat="1" applyFont="1" applyFill="1" applyBorder="1" applyAlignment="1" applyProtection="1">
      <alignment horizontal="center" vertical="center" shrinkToFit="1"/>
    </xf>
    <xf numFmtId="0" fontId="6" fillId="7" borderId="20" xfId="0" applyNumberFormat="1" applyFont="1" applyFill="1" applyBorder="1" applyAlignment="1" applyProtection="1">
      <alignment horizontal="center" vertical="center" shrinkToFit="1"/>
    </xf>
    <xf numFmtId="179" fontId="6" fillId="7" borderId="58" xfId="0" quotePrefix="1" applyNumberFormat="1" applyFont="1" applyFill="1" applyBorder="1" applyAlignment="1" applyProtection="1">
      <alignment horizontal="center" vertical="center" shrinkToFit="1"/>
    </xf>
    <xf numFmtId="179" fontId="6" fillId="7" borderId="11" xfId="0" quotePrefix="1" applyNumberFormat="1" applyFont="1" applyFill="1" applyBorder="1" applyAlignment="1" applyProtection="1">
      <alignment horizontal="center" vertical="center" shrinkToFit="1"/>
    </xf>
    <xf numFmtId="179" fontId="6" fillId="7" borderId="59" xfId="0" quotePrefix="1" applyNumberFormat="1" applyFont="1" applyFill="1" applyBorder="1" applyAlignment="1" applyProtection="1">
      <alignment horizontal="center" vertical="center" shrinkToFit="1"/>
    </xf>
    <xf numFmtId="179" fontId="6" fillId="7" borderId="60" xfId="0" quotePrefix="1" applyNumberFormat="1" applyFont="1" applyFill="1" applyBorder="1" applyAlignment="1" applyProtection="1">
      <alignment horizontal="center" vertical="center" shrinkToFit="1"/>
    </xf>
    <xf numFmtId="179" fontId="6" fillId="7" borderId="19" xfId="0" quotePrefix="1" applyNumberFormat="1" applyFont="1" applyFill="1" applyBorder="1" applyAlignment="1" applyProtection="1">
      <alignment horizontal="center" vertical="center" shrinkToFit="1"/>
    </xf>
    <xf numFmtId="179" fontId="6" fillId="7" borderId="20" xfId="0" quotePrefix="1" applyNumberFormat="1" applyFont="1" applyFill="1" applyBorder="1" applyAlignment="1" applyProtection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3" fillId="7" borderId="9" xfId="2" quotePrefix="1" applyNumberFormat="1" applyFont="1" applyFill="1" applyBorder="1" applyAlignment="1">
      <alignment horizontal="center" vertical="center" shrinkToFit="1"/>
    </xf>
    <xf numFmtId="0" fontId="6" fillId="7" borderId="7" xfId="0" applyFont="1" applyFill="1" applyBorder="1" applyAlignment="1" applyProtection="1">
      <alignment horizontal="center" vertical="center"/>
    </xf>
    <xf numFmtId="0" fontId="6" fillId="7" borderId="56" xfId="0" applyFont="1" applyFill="1" applyBorder="1" applyAlignment="1" applyProtection="1">
      <alignment horizontal="center" vertical="center"/>
    </xf>
    <xf numFmtId="0" fontId="6" fillId="7" borderId="9" xfId="0" applyFont="1" applyFill="1" applyBorder="1" applyAlignment="1" applyProtection="1">
      <alignment horizontal="center" vertical="center"/>
    </xf>
  </cellXfs>
  <cellStyles count="4">
    <cellStyle name="一般" xfId="0" builtinId="0"/>
    <cellStyle name="一般 2" xfId="2"/>
    <cellStyle name="一般 3" xfId="1"/>
    <cellStyle name="百分比 2" xfId="3"/>
  </cellStyles>
  <dxfs count="183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06163" y="473869"/>
          <a:ext cx="1562100" cy="716756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06163" y="473869"/>
          <a:ext cx="1562100" cy="716756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18769" y="482974"/>
          <a:ext cx="1556497" cy="724460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18769" y="482974"/>
          <a:ext cx="1556497" cy="724460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44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44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18769" y="482974"/>
          <a:ext cx="1556497" cy="724460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46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46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02761" y="478971"/>
          <a:ext cx="1562100" cy="711654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02761" y="478971"/>
          <a:ext cx="1562100" cy="711654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769620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769620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18769" y="482974"/>
          <a:ext cx="1556497" cy="724460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44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44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39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79057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39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79057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18769" y="482974"/>
          <a:ext cx="1556497" cy="724460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02761" y="478971"/>
          <a:ext cx="1562100" cy="711654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44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44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02761" y="478971"/>
          <a:ext cx="1562100" cy="711654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53440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53440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24022" y="473869"/>
          <a:ext cx="1560116" cy="710803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3248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3248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5534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5534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79057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79057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53440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53440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8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9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20325" y="438150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267950" y="102870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182225" y="80581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6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7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2644" y="904875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8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182225" y="80581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15</xdr:col>
      <xdr:colOff>180975</xdr:colOff>
      <xdr:row>2</xdr:row>
      <xdr:rowOff>57150</xdr:rowOff>
    </xdr:from>
    <xdr:to>
      <xdr:col>17</xdr:col>
      <xdr:colOff>123825</xdr:colOff>
      <xdr:row>5</xdr:row>
      <xdr:rowOff>142875</xdr:rowOff>
    </xdr:to>
    <xdr:grpSp>
      <xdr:nvGrpSpPr>
        <xdr:cNvPr id="2051" name="Group 3"/>
        <xdr:cNvGrpSpPr>
          <a:grpSpLocks noChangeAspect="1"/>
        </xdr:cNvGrpSpPr>
      </xdr:nvGrpSpPr>
      <xdr:grpSpPr bwMode="auto">
        <a:xfrm>
          <a:off x="11251142" y="480483"/>
          <a:ext cx="1562100" cy="720725"/>
          <a:chOff x="1179" y="49"/>
          <a:chExt cx="164" cy="74"/>
        </a:xfrm>
      </xdr:grpSpPr>
      <xdr:sp macro="" textlink="">
        <xdr:nvSpPr>
          <xdr:cNvPr id="2050" name="AutoShape 2"/>
          <xdr:cNvSpPr>
            <a:spLocks noChangeAspect="1" noChangeArrowheads="1" noTextEdit="1"/>
          </xdr:cNvSpPr>
        </xdr:nvSpPr>
        <xdr:spPr bwMode="auto">
          <a:xfrm>
            <a:off x="1179" y="49"/>
            <a:ext cx="164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2" name="Rectangle 4"/>
          <xdr:cNvSpPr>
            <a:spLocks noChangeArrowheads="1"/>
          </xdr:cNvSpPr>
        </xdr:nvSpPr>
        <xdr:spPr bwMode="auto">
          <a:xfrm>
            <a:off x="1342" y="49"/>
            <a:ext cx="1" cy="74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3" name="Rectangle 5"/>
          <xdr:cNvSpPr>
            <a:spLocks noChangeArrowheads="1"/>
          </xdr:cNvSpPr>
        </xdr:nvSpPr>
        <xdr:spPr bwMode="auto">
          <a:xfrm>
            <a:off x="1179" y="122"/>
            <a:ext cx="16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4" name="Rectangle 6"/>
          <xdr:cNvSpPr>
            <a:spLocks noChangeArrowheads="1"/>
          </xdr:cNvSpPr>
        </xdr:nvSpPr>
        <xdr:spPr bwMode="auto">
          <a:xfrm>
            <a:off x="1179" y="49"/>
            <a:ext cx="1" cy="73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5" name="Rectangle 7"/>
          <xdr:cNvSpPr>
            <a:spLocks noChangeArrowheads="1"/>
          </xdr:cNvSpPr>
        </xdr:nvSpPr>
        <xdr:spPr bwMode="auto">
          <a:xfrm>
            <a:off x="1180" y="49"/>
            <a:ext cx="16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6" name="Rectangle 8"/>
          <xdr:cNvSpPr>
            <a:spLocks noChangeArrowheads="1"/>
          </xdr:cNvSpPr>
        </xdr:nvSpPr>
        <xdr:spPr bwMode="auto">
          <a:xfrm>
            <a:off x="1341" y="50"/>
            <a:ext cx="1" cy="7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7" name="Rectangle 9"/>
          <xdr:cNvSpPr>
            <a:spLocks noChangeArrowheads="1"/>
          </xdr:cNvSpPr>
        </xdr:nvSpPr>
        <xdr:spPr bwMode="auto">
          <a:xfrm>
            <a:off x="1180" y="121"/>
            <a:ext cx="16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8" name="Rectangle 10"/>
          <xdr:cNvSpPr>
            <a:spLocks noChangeArrowheads="1"/>
          </xdr:cNvSpPr>
        </xdr:nvSpPr>
        <xdr:spPr bwMode="auto">
          <a:xfrm>
            <a:off x="1180" y="50"/>
            <a:ext cx="1" cy="7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9" name="Rectangle 11"/>
          <xdr:cNvSpPr>
            <a:spLocks noChangeArrowheads="1"/>
          </xdr:cNvSpPr>
        </xdr:nvSpPr>
        <xdr:spPr bwMode="auto">
          <a:xfrm>
            <a:off x="1181" y="50"/>
            <a:ext cx="16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60" name="Rectangle 12"/>
          <xdr:cNvSpPr>
            <a:spLocks noChangeArrowheads="1"/>
          </xdr:cNvSpPr>
        </xdr:nvSpPr>
        <xdr:spPr bwMode="auto">
          <a:xfrm>
            <a:off x="1181" y="51"/>
            <a:ext cx="160" cy="70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61" name="Rectangle 13"/>
          <xdr:cNvSpPr>
            <a:spLocks noChangeArrowheads="1"/>
          </xdr:cNvSpPr>
        </xdr:nvSpPr>
        <xdr:spPr bwMode="auto">
          <a:xfrm>
            <a:off x="1182" y="53"/>
            <a:ext cx="158" cy="67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62" name="Rectangle 14"/>
          <xdr:cNvSpPr>
            <a:spLocks noChangeArrowheads="1"/>
          </xdr:cNvSpPr>
        </xdr:nvSpPr>
        <xdr:spPr bwMode="auto">
          <a:xfrm>
            <a:off x="1200" y="75"/>
            <a:ext cx="137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TW" altLang="en-US" sz="1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Check Flight Info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irport%20Common%20Drive/SDT/SDT/00%20-%20DO%20flight%20Inform/SDT%20daily%20flight%20sheet/2024/2024-0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25-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401"/>
      <sheetName val="0402"/>
      <sheetName val="0403"/>
      <sheetName val="0404"/>
      <sheetName val="0405"/>
      <sheetName val="0406"/>
      <sheetName val="0407"/>
      <sheetName val="0408"/>
      <sheetName val="0409"/>
      <sheetName val="0410"/>
      <sheetName val="0411"/>
      <sheetName val="0412"/>
      <sheetName val="0413"/>
      <sheetName val="0414"/>
      <sheetName val="0415"/>
      <sheetName val="0416"/>
      <sheetName val="0417"/>
      <sheetName val="0418"/>
      <sheetName val="0419"/>
      <sheetName val="0420"/>
      <sheetName val="0421"/>
      <sheetName val="0422"/>
      <sheetName val="0423"/>
      <sheetName val="0424"/>
      <sheetName val="0425"/>
      <sheetName val="0426"/>
      <sheetName val="0427"/>
      <sheetName val="0428"/>
      <sheetName val="0429"/>
      <sheetName val="0430"/>
      <sheetName val="2024-04"/>
    </sheetNames>
    <definedNames>
      <definedName name="UnWaive"/>
      <definedName name="Waiv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Sample"/>
      <sheetName val="Flight"/>
      <sheetName val="Shift"/>
      <sheetName val="Staf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1">
          <cell r="A1" t="str">
            <v>Flight No.</v>
          </cell>
          <cell r="B1" t="str">
            <v>STA</v>
          </cell>
          <cell r="C1" t="str">
            <v>From</v>
          </cell>
          <cell r="D1" t="str">
            <v>Port 1</v>
          </cell>
          <cell r="E1" t="str">
            <v>Port 2</v>
          </cell>
        </row>
        <row r="2">
          <cell r="A2" t="str">
            <v>5J112</v>
          </cell>
          <cell r="B2" t="str">
            <v>1800</v>
          </cell>
          <cell r="C2" t="str">
            <v>MNL</v>
          </cell>
          <cell r="D2"/>
          <cell r="E2"/>
        </row>
        <row r="3">
          <cell r="A3" t="str">
            <v>6E1707</v>
          </cell>
          <cell r="B3" t="str">
            <v>1310</v>
          </cell>
          <cell r="C3" t="str">
            <v>DEL</v>
          </cell>
          <cell r="D3"/>
          <cell r="E3"/>
        </row>
        <row r="4">
          <cell r="A4" t="str">
            <v>AI314</v>
          </cell>
          <cell r="B4" t="str">
            <v>0615</v>
          </cell>
          <cell r="C4" t="str">
            <v>DEL</v>
          </cell>
          <cell r="D4"/>
          <cell r="E4"/>
        </row>
        <row r="5">
          <cell r="A5" t="str">
            <v>AI2161</v>
          </cell>
          <cell r="B5" t="str">
            <v>0615</v>
          </cell>
          <cell r="C5" t="str">
            <v>DEL</v>
          </cell>
          <cell r="D5"/>
          <cell r="E5"/>
        </row>
        <row r="6">
          <cell r="A6" t="str">
            <v>AK130</v>
          </cell>
          <cell r="B6" t="str">
            <v>2030</v>
          </cell>
          <cell r="C6" t="str">
            <v>KUL</v>
          </cell>
          <cell r="D6"/>
          <cell r="E6"/>
        </row>
        <row r="7">
          <cell r="A7" t="str">
            <v>AK136</v>
          </cell>
          <cell r="B7" t="str">
            <v>1730</v>
          </cell>
          <cell r="C7" t="str">
            <v>KUL</v>
          </cell>
          <cell r="D7"/>
          <cell r="E7"/>
        </row>
        <row r="8">
          <cell r="A8" t="str">
            <v>AK138</v>
          </cell>
          <cell r="B8" t="str">
            <v>1115</v>
          </cell>
          <cell r="C8" t="str">
            <v>KUL</v>
          </cell>
          <cell r="D8"/>
          <cell r="E8"/>
        </row>
        <row r="9">
          <cell r="A9" t="str">
            <v>CX624</v>
          </cell>
          <cell r="B9" t="str">
            <v>0930</v>
          </cell>
          <cell r="C9" t="str">
            <v>BLR</v>
          </cell>
          <cell r="D9"/>
          <cell r="E9"/>
        </row>
        <row r="10">
          <cell r="A10" t="str">
            <v>CX632</v>
          </cell>
          <cell r="B10" t="str">
            <v>0935</v>
          </cell>
          <cell r="C10" t="str">
            <v>MAA</v>
          </cell>
          <cell r="D10"/>
          <cell r="E10"/>
        </row>
        <row r="11">
          <cell r="A11" t="str">
            <v>CX658</v>
          </cell>
          <cell r="B11" t="str">
            <v>1400</v>
          </cell>
          <cell r="C11" t="str">
            <v>SIN</v>
          </cell>
          <cell r="D11"/>
          <cell r="E11"/>
        </row>
        <row r="12">
          <cell r="A12" t="str">
            <v>CX660</v>
          </cell>
          <cell r="B12" t="str">
            <v>0935</v>
          </cell>
          <cell r="C12" t="str">
            <v>BOM</v>
          </cell>
          <cell r="D12"/>
          <cell r="E12"/>
        </row>
        <row r="13">
          <cell r="A13" t="str">
            <v>CX694</v>
          </cell>
          <cell r="B13" t="str">
            <v>0910</v>
          </cell>
          <cell r="C13" t="str">
            <v>DEL</v>
          </cell>
          <cell r="D13"/>
          <cell r="E13"/>
        </row>
        <row r="14">
          <cell r="A14" t="str">
            <v>CX696</v>
          </cell>
          <cell r="B14" t="str">
            <v>0700</v>
          </cell>
          <cell r="C14" t="str">
            <v>BOM</v>
          </cell>
          <cell r="D14"/>
          <cell r="E14"/>
        </row>
        <row r="15">
          <cell r="A15" t="str">
            <v>CX698</v>
          </cell>
          <cell r="B15" t="str">
            <v>0615</v>
          </cell>
          <cell r="C15" t="str">
            <v>DEL</v>
          </cell>
          <cell r="D15"/>
          <cell r="E15"/>
        </row>
        <row r="16">
          <cell r="A16" t="str">
            <v>CX776</v>
          </cell>
          <cell r="B16" t="str">
            <v>2025</v>
          </cell>
          <cell r="C16" t="str">
            <v>CGK</v>
          </cell>
          <cell r="D16"/>
          <cell r="E16"/>
        </row>
        <row r="17">
          <cell r="A17" t="str">
            <v>EK384</v>
          </cell>
          <cell r="B17" t="str">
            <v>1740</v>
          </cell>
          <cell r="C17" t="str">
            <v>DXB</v>
          </cell>
          <cell r="D17" t="str">
            <v>BKK</v>
          </cell>
          <cell r="E17"/>
        </row>
        <row r="18">
          <cell r="A18" t="str">
            <v>ET608</v>
          </cell>
          <cell r="B18" t="str">
            <v>1805</v>
          </cell>
          <cell r="C18" t="str">
            <v>ADD</v>
          </cell>
          <cell r="D18" t="str">
            <v>BKK</v>
          </cell>
          <cell r="E18"/>
        </row>
        <row r="19">
          <cell r="A19" t="str">
            <v>ET644</v>
          </cell>
          <cell r="B19" t="str">
            <v>1425</v>
          </cell>
          <cell r="C19" t="str">
            <v>ADD</v>
          </cell>
          <cell r="D19"/>
          <cell r="E19"/>
        </row>
        <row r="20">
          <cell r="A20" t="str">
            <v>FD500</v>
          </cell>
          <cell r="B20">
            <v>1435</v>
          </cell>
          <cell r="C20" t="str">
            <v>DMK</v>
          </cell>
          <cell r="D20"/>
          <cell r="E20"/>
        </row>
        <row r="21">
          <cell r="A21" t="str">
            <v>FD502</v>
          </cell>
          <cell r="B21">
            <v>2140</v>
          </cell>
          <cell r="C21" t="str">
            <v>DMK</v>
          </cell>
          <cell r="D21"/>
          <cell r="E21"/>
        </row>
        <row r="22">
          <cell r="A22" t="str">
            <v>FD504</v>
          </cell>
          <cell r="B22" t="str">
            <v>1915</v>
          </cell>
          <cell r="C22" t="str">
            <v>DMK</v>
          </cell>
          <cell r="D22"/>
          <cell r="E22"/>
        </row>
        <row r="23">
          <cell r="A23" t="str">
            <v>FD508</v>
          </cell>
          <cell r="B23" t="str">
            <v>0950</v>
          </cell>
          <cell r="C23" t="str">
            <v>DMK</v>
          </cell>
          <cell r="D23"/>
          <cell r="E23"/>
        </row>
        <row r="24">
          <cell r="A24" t="str">
            <v>FD515</v>
          </cell>
          <cell r="B24" t="str">
            <v>0930</v>
          </cell>
          <cell r="C24" t="str">
            <v>CNX</v>
          </cell>
          <cell r="D24"/>
          <cell r="E24"/>
        </row>
        <row r="25">
          <cell r="A25" t="str">
            <v>GA860</v>
          </cell>
          <cell r="B25" t="str">
            <v>1315</v>
          </cell>
          <cell r="C25" t="str">
            <v>CGK</v>
          </cell>
          <cell r="D25"/>
          <cell r="E25"/>
        </row>
        <row r="26">
          <cell r="A26" t="str">
            <v>HB282</v>
          </cell>
          <cell r="B26" t="str">
            <v>1550</v>
          </cell>
          <cell r="C26" t="str">
            <v>BKK</v>
          </cell>
          <cell r="D26"/>
          <cell r="E26"/>
        </row>
        <row r="27">
          <cell r="A27" t="str">
            <v>HB284</v>
          </cell>
          <cell r="B27" t="str">
            <v>0050</v>
          </cell>
          <cell r="C27" t="str">
            <v>BKK</v>
          </cell>
          <cell r="D27"/>
          <cell r="E27"/>
        </row>
        <row r="28">
          <cell r="A28" t="str">
            <v>HB298</v>
          </cell>
          <cell r="B28" t="str">
            <v>0700</v>
          </cell>
          <cell r="C28" t="str">
            <v>BKK</v>
          </cell>
          <cell r="D28"/>
          <cell r="E28"/>
        </row>
        <row r="29">
          <cell r="A29" t="str">
            <v>HX760</v>
          </cell>
          <cell r="B29" t="str">
            <v>0705</v>
          </cell>
          <cell r="C29" t="str">
            <v>BKK</v>
          </cell>
          <cell r="D29"/>
          <cell r="E29"/>
        </row>
        <row r="30">
          <cell r="A30" t="str">
            <v>HX762</v>
          </cell>
          <cell r="B30" t="str">
            <v>0800</v>
          </cell>
          <cell r="C30" t="str">
            <v>BKK</v>
          </cell>
          <cell r="D30"/>
          <cell r="E30"/>
        </row>
        <row r="31">
          <cell r="A31" t="str">
            <v>HX766</v>
          </cell>
          <cell r="B31" t="str">
            <v>2345</v>
          </cell>
          <cell r="C31" t="str">
            <v>BKK</v>
          </cell>
          <cell r="D31"/>
          <cell r="E31"/>
        </row>
        <row r="32">
          <cell r="A32" t="str">
            <v>HX776</v>
          </cell>
          <cell r="B32" t="str">
            <v>1940</v>
          </cell>
          <cell r="C32" t="str">
            <v>BKK</v>
          </cell>
          <cell r="D32"/>
          <cell r="E32"/>
        </row>
        <row r="33">
          <cell r="A33" t="str">
            <v>HX780</v>
          </cell>
          <cell r="B33" t="str">
            <v>0555</v>
          </cell>
          <cell r="C33" t="str">
            <v>BKK</v>
          </cell>
          <cell r="D33"/>
          <cell r="E33"/>
        </row>
        <row r="34">
          <cell r="A34" t="str">
            <v>OD605</v>
          </cell>
          <cell r="B34" t="str">
            <v>1410</v>
          </cell>
          <cell r="C34" t="str">
            <v>KUL</v>
          </cell>
          <cell r="D34"/>
          <cell r="E34"/>
        </row>
        <row r="35">
          <cell r="A35" t="str">
            <v>PR300</v>
          </cell>
          <cell r="B35" t="str">
            <v>1015</v>
          </cell>
          <cell r="C35" t="str">
            <v>MNL</v>
          </cell>
          <cell r="D35"/>
          <cell r="E35"/>
        </row>
        <row r="36">
          <cell r="A36" t="str">
            <v>PR306</v>
          </cell>
          <cell r="B36" t="str">
            <v>1755</v>
          </cell>
          <cell r="C36" t="str">
            <v>MNL</v>
          </cell>
          <cell r="D36"/>
          <cell r="E36"/>
        </row>
        <row r="37">
          <cell r="A37" t="str">
            <v>QR816</v>
          </cell>
          <cell r="B37" t="str">
            <v>2130</v>
          </cell>
          <cell r="C37" t="str">
            <v>DOH</v>
          </cell>
          <cell r="D37"/>
          <cell r="E37"/>
        </row>
        <row r="38">
          <cell r="A38" t="str">
            <v>QR818</v>
          </cell>
          <cell r="B38" t="str">
            <v>1500</v>
          </cell>
          <cell r="C38" t="str">
            <v>DOH</v>
          </cell>
          <cell r="D38"/>
          <cell r="E38"/>
        </row>
        <row r="39">
          <cell r="A39" t="str">
            <v>SL360</v>
          </cell>
          <cell r="B39" t="str">
            <v>1305</v>
          </cell>
          <cell r="C39" t="str">
            <v>DMK</v>
          </cell>
          <cell r="D39"/>
          <cell r="E39"/>
        </row>
        <row r="40">
          <cell r="A40" t="str">
            <v>TG600</v>
          </cell>
          <cell r="B40" t="str">
            <v>1145</v>
          </cell>
          <cell r="C40" t="str">
            <v>BKK</v>
          </cell>
          <cell r="D40"/>
          <cell r="E40"/>
        </row>
        <row r="41">
          <cell r="A41" t="str">
            <v>TG606</v>
          </cell>
          <cell r="B41">
            <v>1420</v>
          </cell>
          <cell r="C41" t="str">
            <v>BKK</v>
          </cell>
          <cell r="D41"/>
          <cell r="E41"/>
        </row>
        <row r="42">
          <cell r="A42" t="str">
            <v>TG628</v>
          </cell>
          <cell r="B42" t="str">
            <v>1420</v>
          </cell>
          <cell r="C42" t="str">
            <v>BKK</v>
          </cell>
          <cell r="D42"/>
          <cell r="E42"/>
        </row>
        <row r="43">
          <cell r="A43" t="str">
            <v>TG638</v>
          </cell>
          <cell r="B43" t="str">
            <v>1745</v>
          </cell>
          <cell r="C43" t="str">
            <v>BKK</v>
          </cell>
          <cell r="D43"/>
          <cell r="E43"/>
        </row>
        <row r="44">
          <cell r="A44" t="str">
            <v>TK070</v>
          </cell>
          <cell r="B44">
            <v>1705</v>
          </cell>
          <cell r="C44" t="str">
            <v>IST</v>
          </cell>
          <cell r="D44"/>
          <cell r="E44"/>
        </row>
        <row r="45">
          <cell r="A45" t="str">
            <v>TR972</v>
          </cell>
          <cell r="B45" t="str">
            <v>1955</v>
          </cell>
          <cell r="C45" t="str">
            <v>SIN</v>
          </cell>
          <cell r="D45"/>
          <cell r="E45"/>
        </row>
        <row r="46">
          <cell r="A46" t="str">
            <v>TR976</v>
          </cell>
          <cell r="B46" t="str">
            <v>2000</v>
          </cell>
          <cell r="C46" t="str">
            <v>SIN</v>
          </cell>
          <cell r="D46"/>
          <cell r="E46"/>
        </row>
        <row r="47">
          <cell r="A47" t="str">
            <v>TR978</v>
          </cell>
          <cell r="B47" t="str">
            <v>1005</v>
          </cell>
          <cell r="C47" t="str">
            <v>SIN</v>
          </cell>
          <cell r="D47"/>
          <cell r="E47"/>
        </row>
        <row r="48">
          <cell r="A48" t="str">
            <v>TR980</v>
          </cell>
          <cell r="B48">
            <v>2010</v>
          </cell>
          <cell r="C48" t="str">
            <v>SIN</v>
          </cell>
          <cell r="D48"/>
          <cell r="E48"/>
        </row>
        <row r="49">
          <cell r="A49" t="str">
            <v>Z21264</v>
          </cell>
          <cell r="B49" t="str">
            <v>1055</v>
          </cell>
          <cell r="C49" t="str">
            <v>MNL</v>
          </cell>
          <cell r="D49"/>
          <cell r="E49"/>
        </row>
        <row r="50">
          <cell r="A50"/>
          <cell r="B50"/>
          <cell r="C50"/>
          <cell r="D50"/>
          <cell r="E50"/>
        </row>
        <row r="51">
          <cell r="A51"/>
          <cell r="B51"/>
          <cell r="C51"/>
          <cell r="D51"/>
          <cell r="E51"/>
        </row>
        <row r="52">
          <cell r="A52"/>
          <cell r="B52"/>
          <cell r="C52"/>
          <cell r="D52"/>
          <cell r="E52"/>
        </row>
        <row r="53">
          <cell r="A53" t="str">
            <v>內地船</v>
          </cell>
          <cell r="B53"/>
          <cell r="C53"/>
          <cell r="D53"/>
          <cell r="E53"/>
        </row>
        <row r="54">
          <cell r="A54" t="str">
            <v>3A031</v>
          </cell>
          <cell r="B54" t="str">
            <v>0930</v>
          </cell>
          <cell r="C54" t="str">
            <v>ZTI</v>
          </cell>
          <cell r="D54"/>
          <cell r="E54"/>
        </row>
        <row r="55">
          <cell r="A55" t="str">
            <v>3A003</v>
          </cell>
          <cell r="B55">
            <v>1030</v>
          </cell>
          <cell r="C55" t="str">
            <v>ZYK</v>
          </cell>
          <cell r="D55"/>
          <cell r="E55"/>
        </row>
        <row r="56">
          <cell r="A56" t="str">
            <v>3A005</v>
          </cell>
          <cell r="B56">
            <v>1230</v>
          </cell>
          <cell r="C56" t="str">
            <v>HKM</v>
          </cell>
          <cell r="D56"/>
          <cell r="E56"/>
        </row>
        <row r="57">
          <cell r="A57" t="str">
            <v>3A007</v>
          </cell>
          <cell r="B57">
            <v>1400</v>
          </cell>
          <cell r="C57" t="str">
            <v>ZYK</v>
          </cell>
          <cell r="D57"/>
          <cell r="E57"/>
        </row>
        <row r="58">
          <cell r="A58" t="str">
            <v>3A008</v>
          </cell>
          <cell r="B58">
            <v>1530</v>
          </cell>
          <cell r="C58" t="str">
            <v>ZYK</v>
          </cell>
          <cell r="D58"/>
          <cell r="E58"/>
        </row>
        <row r="59">
          <cell r="A59" t="str">
            <v>3A009</v>
          </cell>
          <cell r="B59">
            <v>1630</v>
          </cell>
          <cell r="C59" t="str">
            <v>ZYK</v>
          </cell>
          <cell r="D59"/>
          <cell r="E59"/>
        </row>
        <row r="60">
          <cell r="A60" t="str">
            <v>3A010</v>
          </cell>
          <cell r="B60">
            <v>1630</v>
          </cell>
          <cell r="C60" t="str">
            <v>ZYK</v>
          </cell>
          <cell r="D60"/>
          <cell r="E60"/>
        </row>
        <row r="61">
          <cell r="A61"/>
          <cell r="B61"/>
          <cell r="C61"/>
          <cell r="D61"/>
          <cell r="E61"/>
        </row>
        <row r="62">
          <cell r="A62" t="str">
            <v>澳門車</v>
          </cell>
          <cell r="B62"/>
          <cell r="C62"/>
          <cell r="D62"/>
          <cell r="E62"/>
        </row>
        <row r="63">
          <cell r="A63" t="str">
            <v>8S7121</v>
          </cell>
          <cell r="B63" t="str">
            <v>0945</v>
          </cell>
          <cell r="C63" t="str">
            <v>HKM</v>
          </cell>
          <cell r="D63"/>
          <cell r="E63"/>
        </row>
        <row r="64">
          <cell r="A64" t="str">
            <v>8S7108</v>
          </cell>
          <cell r="B64">
            <v>1245</v>
          </cell>
          <cell r="C64" t="str">
            <v>ZYK</v>
          </cell>
          <cell r="D64"/>
          <cell r="E64"/>
        </row>
        <row r="65">
          <cell r="A65" t="str">
            <v>8S7111</v>
          </cell>
          <cell r="B65">
            <v>1615</v>
          </cell>
          <cell r="C65" t="str">
            <v>ZYK</v>
          </cell>
          <cell r="D65"/>
          <cell r="E65"/>
        </row>
        <row r="66">
          <cell r="A66" t="str">
            <v>8S7131</v>
          </cell>
          <cell r="B66">
            <v>1400</v>
          </cell>
          <cell r="C66" t="str">
            <v>?</v>
          </cell>
          <cell r="D66"/>
          <cell r="E66"/>
        </row>
        <row r="67">
          <cell r="A67" t="str">
            <v>8S7119</v>
          </cell>
          <cell r="B67">
            <v>1530</v>
          </cell>
          <cell r="C67" t="str">
            <v>HKM</v>
          </cell>
          <cell r="D67"/>
          <cell r="E67"/>
        </row>
        <row r="68">
          <cell r="A68" t="str">
            <v>8S7126</v>
          </cell>
          <cell r="B68">
            <v>1045</v>
          </cell>
          <cell r="C68" t="str">
            <v>HKM</v>
          </cell>
          <cell r="D68"/>
          <cell r="E68"/>
        </row>
        <row r="69">
          <cell r="A69" t="str">
            <v>8S7128</v>
          </cell>
          <cell r="B69">
            <v>1645</v>
          </cell>
          <cell r="C69" t="str">
            <v>HKM</v>
          </cell>
          <cell r="D69"/>
          <cell r="E69"/>
        </row>
        <row r="70">
          <cell r="A70" t="str">
            <v>3A8010</v>
          </cell>
          <cell r="B70">
            <v>1045</v>
          </cell>
          <cell r="C70" t="str">
            <v>HZI</v>
          </cell>
          <cell r="D70"/>
          <cell r="E70"/>
        </row>
        <row r="71">
          <cell r="A71" t="str">
            <v>3A8015</v>
          </cell>
          <cell r="B71">
            <v>1530</v>
          </cell>
          <cell r="C71" t="str">
            <v>?</v>
          </cell>
          <cell r="D71"/>
          <cell r="E71"/>
        </row>
        <row r="72">
          <cell r="A72" t="str">
            <v>3A8016</v>
          </cell>
          <cell r="B72">
            <v>1645</v>
          </cell>
          <cell r="C72" t="str">
            <v>HZI</v>
          </cell>
          <cell r="D72"/>
          <cell r="E72"/>
        </row>
        <row r="73">
          <cell r="A73"/>
          <cell r="B73"/>
          <cell r="C73"/>
          <cell r="D73"/>
          <cell r="E73"/>
        </row>
        <row r="74">
          <cell r="A74"/>
          <cell r="B74"/>
          <cell r="C74"/>
          <cell r="D74"/>
          <cell r="E74"/>
        </row>
        <row r="75">
          <cell r="A75" t="str">
            <v xml:space="preserve">Last </v>
          </cell>
          <cell r="B75" t="str">
            <v>one</v>
          </cell>
          <cell r="C75" t="str">
            <v>↑</v>
          </cell>
          <cell r="D75"/>
          <cell r="E75"/>
        </row>
      </sheetData>
      <sheetData sheetId="30"/>
      <sheetData sheetId="3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4"/>
  <sheetViews>
    <sheetView view="pageBreakPreview" zoomScale="80" zoomScaleNormal="100" zoomScaleSheetLayoutView="80" workbookViewId="0">
      <selection activeCell="A38" sqref="A38"/>
    </sheetView>
  </sheetViews>
  <sheetFormatPr defaultRowHeight="15.75"/>
  <cols>
    <col min="1" max="1" width="9.125" style="211" customWidth="1"/>
    <col min="2" max="2" width="10.25" style="211" customWidth="1"/>
    <col min="3" max="3" width="9.75" style="211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02" customWidth="1"/>
    <col min="9" max="9" width="9" style="54" customWidth="1"/>
    <col min="10" max="10" width="9.125" style="54" customWidth="1"/>
    <col min="11" max="13" width="9.125" style="211" customWidth="1"/>
    <col min="14" max="14" width="9" style="211"/>
    <col min="15" max="15" width="10.75" style="112" bestFit="1" customWidth="1"/>
    <col min="16" max="16" width="12.25" style="211" bestFit="1" customWidth="1"/>
    <col min="17" max="16384" width="9" style="211"/>
  </cols>
  <sheetData>
    <row r="1" spans="1:16">
      <c r="A1" s="201"/>
      <c r="B1" s="201"/>
      <c r="C1" s="108" t="s">
        <v>20</v>
      </c>
      <c r="D1" s="355">
        <v>45748</v>
      </c>
      <c r="E1" s="355"/>
      <c r="F1" s="203" t="s">
        <v>23</v>
      </c>
      <c r="G1" s="110">
        <f>D1</f>
        <v>45748</v>
      </c>
      <c r="H1" s="210" t="s">
        <v>24</v>
      </c>
      <c r="I1" s="206"/>
      <c r="J1" s="206"/>
      <c r="K1" s="201"/>
      <c r="L1" s="201"/>
      <c r="M1" s="47"/>
    </row>
    <row r="2" spans="1:16" ht="17.25" customHeight="1" thickBot="1">
      <c r="A2" s="201"/>
      <c r="B2" s="201"/>
      <c r="C2" s="201"/>
      <c r="D2" s="356"/>
      <c r="E2" s="356"/>
      <c r="F2" s="206"/>
      <c r="G2" s="357"/>
      <c r="H2" s="357"/>
      <c r="I2" s="357"/>
      <c r="J2" s="206"/>
      <c r="K2" s="201"/>
      <c r="L2" s="201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S5(6) </v>
      </c>
      <c r="C4" s="367"/>
      <c r="D4" s="366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 &lt;S3(7)&gt;  S4(6) </v>
      </c>
      <c r="E4" s="367"/>
      <c r="F4" s="366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S1(7) </v>
      </c>
      <c r="G4" s="367"/>
      <c r="H4" s="366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S2(6) </v>
      </c>
      <c r="I4" s="367"/>
      <c r="J4" s="366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S9(7)  &lt;S10(6)&gt;  S12(6) </v>
      </c>
      <c r="K4" s="367"/>
      <c r="L4" s="366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S11(7)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08" t="s">
        <v>52</v>
      </c>
      <c r="C7" s="208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s="249" customFormat="1">
      <c r="A8" s="9">
        <v>1</v>
      </c>
      <c r="B8" s="9" t="s">
        <v>467</v>
      </c>
      <c r="C8" s="257" t="s">
        <v>602</v>
      </c>
      <c r="D8" s="9" t="s">
        <v>468</v>
      </c>
      <c r="E8" s="256" t="s">
        <v>469</v>
      </c>
      <c r="F8" s="44"/>
      <c r="G8" s="44"/>
      <c r="H8" s="44" t="s">
        <v>522</v>
      </c>
      <c r="I8" s="44"/>
      <c r="J8" s="44"/>
      <c r="K8" s="354" t="s">
        <v>495</v>
      </c>
      <c r="L8" s="354"/>
      <c r="M8" s="354"/>
      <c r="O8" s="112"/>
    </row>
    <row r="9" spans="1:16" ht="16.5" customHeight="1">
      <c r="A9" s="9">
        <f>IF($F9="Wavied","-",IF($D9=0,"",ROW($A9)-ROW($A$8)+1-COUNTIF($A$8:$A8,"@")-COUNTIF($A$8:$A8,"-")))</f>
        <v>2</v>
      </c>
      <c r="B9" s="9" t="str">
        <f>IF($E9&lt;&gt;"",IF($E9-715&lt;0,VLOOKUP($B$3,$E$60:$J$71,6,FALSE),IF(AND($E9-2130&gt;0,_xlfn.IFNA(MATCH($D9,$D$104:$D$114,0)&lt;20,"")=TRUE),VLOOKUP($L$3,$E$60:$J$71,6,FALSE),"-")),"")</f>
        <v>S5</v>
      </c>
      <c r="C9" s="257" t="s">
        <v>602</v>
      </c>
      <c r="D9" s="165" t="s">
        <v>470</v>
      </c>
      <c r="E9" s="172">
        <v>545</v>
      </c>
      <c r="F9" s="43"/>
      <c r="G9" s="43" t="str">
        <f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IF($D9&gt;0,IF(VLOOKUP($D9,Flight!$A$1:$E$91,4,FALSE)&gt;1,VLOOKUP($D9,Flight!$A$1:$E91,4,FALSE),""),"")</f>
        <v/>
      </c>
      <c r="J9" s="44" t="str">
        <f>IF($D9&gt;0,IF(VLOOKUP($D9,Flight!$A$1:$E$91,5,FALSE)&gt;1,VLOOKUP($D9,Flight!$A$1:$E$91,5,FALSE),""),"")</f>
        <v/>
      </c>
      <c r="K9" s="166" t="str">
        <f t="shared" ref="K9:K20" si="0">IF($D9=0,"",IF(OR(ISNUMBER(SEARCH("S",$B9)),_xlfn.IFNA(MATCH($D9,$D$104:$D$114,0)&lt;20,"")=TRUE),"&lt;   Hall Operation   &gt;",""))</f>
        <v>&lt;   Hall Operation   &gt;</v>
      </c>
      <c r="L9" s="166"/>
      <c r="M9" s="166"/>
      <c r="N9" s="173"/>
    </row>
    <row r="10" spans="1:16" ht="16.5" customHeight="1">
      <c r="A10" s="9">
        <f>IF($F10="Wavied","-",IF($D10=0,"",ROW($A10)-ROW($A$8)+1-COUNTIF($A$8:$A9,"@")-COUNTIF($A$8:$A9,"-")))</f>
        <v>3</v>
      </c>
      <c r="B10" s="9" t="str">
        <f>IF($E10&lt;&gt;"",IF($E10-715&lt;0,VLOOKUP($B$3,$E$60:$J$71,6,FALSE),IF(AND($E10-2130&gt;0,_xlfn.IFNA(MATCH($D10,$D$104:$D$114,0)&lt;20,"")=TRUE),VLOOKUP($L$3,$E$60:$J$71,6,FALSE),"-")),"")</f>
        <v>S5</v>
      </c>
      <c r="C10" s="257" t="s">
        <v>602</v>
      </c>
      <c r="D10" s="10" t="s">
        <v>471</v>
      </c>
      <c r="E10" s="172">
        <v>555</v>
      </c>
      <c r="F10" s="45"/>
      <c r="G10" s="43" t="str">
        <f t="shared" ref="G10:G40" si="1">IF(A10="@",IF(H10="ZYK","Berth 3",IF(H10="HKM","Bay 7","")),"")</f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0"/>
        <v>&lt;   Hall Operation   &gt;</v>
      </c>
      <c r="L10" s="166"/>
      <c r="M10" s="166"/>
    </row>
    <row r="11" spans="1:16">
      <c r="A11" s="9">
        <f>IF($F11="Wavied","-",IF($D11=0,"",ROW($A11)-ROW($A$8)+1-COUNTIF($A$8:$A10,"@")-COUNTIF($A$8:$A10,"-")))</f>
        <v>4</v>
      </c>
      <c r="B11" s="9" t="str">
        <f>IF($E11&lt;&gt;"",IF($E11-715&lt;0,VLOOKUP($B$3,$E$60:$J$71,6,FALSE),IF(AND($E11-2130&gt;0,_xlfn.IFNA(MATCH($D11,$D$104:$D$114,0)&lt;20,"")=TRUE),VLOOKUP($L$3,$E$60:$J$71,6,FALSE),"-")),"")</f>
        <v>S5</v>
      </c>
      <c r="C11" s="257" t="s">
        <v>602</v>
      </c>
      <c r="D11" s="213" t="s">
        <v>472</v>
      </c>
      <c r="E11" s="172" t="str">
        <f>IF($D11&gt;0,VLOOKUP($D11,Flight!$A$1:$E$91,2,FALSE),"")</f>
        <v>0615</v>
      </c>
      <c r="F11" s="45"/>
      <c r="G11" s="43" t="str">
        <f t="shared" si="1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0"/>
        <v>&lt;   Hall Operation   &gt;</v>
      </c>
      <c r="L11" s="166"/>
      <c r="M11" s="166"/>
    </row>
    <row r="12" spans="1:16">
      <c r="A12" s="9">
        <f>IF($F12="Wavied","-",IF($D12=0,"",ROW($A12)-ROW($A$8)+1-COUNTIF($A$8:$A11,"@")-COUNTIF($A$8:$A11,"-")))</f>
        <v>5</v>
      </c>
      <c r="B12" s="9" t="str">
        <f>IF($E12&lt;&gt;"",IF($E12-715&lt;0,VLOOKUP($B$3,$E$60:$J$71,6,FALSE),IF(AND($E12-2130&gt;0,_xlfn.IFNA(MATCH($D12,$D$104:$D$114,0)&lt;20,"")=TRUE),VLOOKUP($L$3,$E$60:$J$71,6,FALSE),"-")),"")</f>
        <v>S5</v>
      </c>
      <c r="C12" s="257" t="s">
        <v>602</v>
      </c>
      <c r="D12" s="213" t="s">
        <v>473</v>
      </c>
      <c r="E12" s="172">
        <v>640</v>
      </c>
      <c r="F12" s="43"/>
      <c r="G12" s="43" t="str">
        <f t="shared" si="1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0"/>
        <v>&lt;   Hall Operation   &gt;</v>
      </c>
      <c r="L12" s="166"/>
      <c r="M12" s="166"/>
    </row>
    <row r="13" spans="1:16">
      <c r="A13" s="9">
        <f>IF($F13="Wavied","-",IF($D13=0,"",ROW($A13)-ROW($A$8)+1-COUNTIF($A$8:$A12,"@")-COUNTIF($A$8:$A12,"-")))</f>
        <v>6</v>
      </c>
      <c r="B13" s="9" t="s">
        <v>496</v>
      </c>
      <c r="C13" s="257" t="s">
        <v>602</v>
      </c>
      <c r="D13" s="213" t="s">
        <v>474</v>
      </c>
      <c r="E13" s="172">
        <v>905</v>
      </c>
      <c r="F13" s="45"/>
      <c r="G13" s="43" t="str">
        <f t="shared" si="1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0"/>
        <v>&lt;   Hall Operation   &gt;</v>
      </c>
      <c r="L13" s="166"/>
      <c r="M13" s="166"/>
    </row>
    <row r="14" spans="1:16">
      <c r="A14" s="9">
        <f>IF($F14="Wavied","-",IF($D14=0,"",ROW($A14)-ROW($A$8)+1-COUNTIF($A$8:$A13,"@")-COUNTIF($A$8:$A13,"-")))</f>
        <v>7</v>
      </c>
      <c r="B14" s="9" t="s">
        <v>496</v>
      </c>
      <c r="C14" s="257" t="s">
        <v>602</v>
      </c>
      <c r="D14" s="213" t="s">
        <v>475</v>
      </c>
      <c r="E14" s="172">
        <v>935</v>
      </c>
      <c r="F14" s="46"/>
      <c r="G14" s="43" t="str">
        <f t="shared" si="1"/>
        <v/>
      </c>
      <c r="H14" s="44" t="str">
        <f>IF($D14&gt;0,VLOOKUP($D14,Flight!$A$1:$E$91,3,FALSE),"")</f>
        <v>BLR</v>
      </c>
      <c r="I14" s="44" t="str">
        <f>IF($D14&gt;0,IF(VLOOKUP($D14,Flight!$A$1:$E$91,4,FALSE)&gt;1,VLOOKUP($D14,Flight!$A$1:$E96,4,FALSE),""),"")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0"/>
        <v>&lt;   Hall Operation   &gt;</v>
      </c>
      <c r="L14" s="166"/>
      <c r="M14" s="166"/>
      <c r="P14" s="87"/>
    </row>
    <row r="15" spans="1:16">
      <c r="A15" s="9">
        <f>IF($F15="Wavied","-",IF($D15=0,"",ROW($A15)-ROW($A$8)+1-COUNTIF($A$8:$A14,"@")-COUNTIF($A$8:$A14,"-")))</f>
        <v>8</v>
      </c>
      <c r="B15" s="9" t="s">
        <v>497</v>
      </c>
      <c r="C15" s="257" t="s">
        <v>602</v>
      </c>
      <c r="D15" s="213" t="s">
        <v>476</v>
      </c>
      <c r="E15" s="172">
        <v>955</v>
      </c>
      <c r="F15" s="46"/>
      <c r="G15" s="43" t="str">
        <f t="shared" si="1"/>
        <v/>
      </c>
      <c r="H15" s="44" t="str">
        <f>IF($D15&gt;0,VLOOKUP($D15,Flight!$A$1:$E$91,3,FALSE),"")</f>
        <v>BOM</v>
      </c>
      <c r="I15" s="44" t="str">
        <f>IF($D15&gt;0,IF(VLOOKUP($D15,Flight!$A$1:$E$91,4,FALSE)&gt;1,VLOOKUP($D15,Flight!$A$1:$E97,4,FALSE),""),"")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0"/>
        <v>&lt;   Hall Operation   &gt;</v>
      </c>
      <c r="L15" s="166"/>
      <c r="M15" s="166"/>
    </row>
    <row r="16" spans="1:16">
      <c r="A16" s="9">
        <f>IF($F16="Wavied","-",IF($D16=0,"",ROW($A16)-ROW($A$8)+1-COUNTIF($A$8:$A15,"@")-COUNTIF($A$8:$A15,"-")))</f>
        <v>9</v>
      </c>
      <c r="B16" s="257" t="s">
        <v>602</v>
      </c>
      <c r="C16" s="9" t="s">
        <v>86</v>
      </c>
      <c r="D16" s="10" t="s">
        <v>477</v>
      </c>
      <c r="E16" s="172">
        <v>1000</v>
      </c>
      <c r="F16" s="45" t="s">
        <v>728</v>
      </c>
      <c r="G16" s="43" t="s">
        <v>729</v>
      </c>
      <c r="H16" s="44" t="str">
        <f>IF($D16&gt;0,VLOOKUP($D16,Flight!$A$1:$E$91,3,FALSE),"")</f>
        <v>DMK</v>
      </c>
      <c r="I16" s="44" t="str">
        <f>IF($D16&gt;0,IF(VLOOKUP($D16,Flight!$A$1:$E$91,4,FALSE)&gt;1,VLOOKUP($D16,Flight!$A$1:$E98,4,FALSE),""),"")</f>
        <v/>
      </c>
      <c r="J16" s="44" t="str">
        <f>IF($D16&gt;0,IF(VLOOKUP($D16,Flight!$A$1:$E$91,5,FALSE)&gt;1,VLOOKUP($D16,Flight!$A$1:$E$91,5,FALSE),""),"")</f>
        <v/>
      </c>
      <c r="K16" s="166">
        <v>1</v>
      </c>
      <c r="L16" s="166">
        <v>1</v>
      </c>
      <c r="M16" s="166">
        <v>5</v>
      </c>
      <c r="O16" s="114"/>
    </row>
    <row r="17" spans="1:15">
      <c r="A17" s="9">
        <f>IF($F17="Wavied","-",IF($D17=0,"",ROW($A17)-ROW($A$8)+1-COUNTIF($A$8:$A16,"@")-COUNTIF($A$8:$A16,"-")))</f>
        <v>10</v>
      </c>
      <c r="B17" s="257" t="s">
        <v>602</v>
      </c>
      <c r="C17" s="9" t="s">
        <v>497</v>
      </c>
      <c r="D17" s="27" t="s">
        <v>478</v>
      </c>
      <c r="E17" s="172">
        <v>1010</v>
      </c>
      <c r="F17" s="45" t="s">
        <v>726</v>
      </c>
      <c r="G17" s="43" t="s">
        <v>727</v>
      </c>
      <c r="H17" s="44" t="str">
        <f>IF($D17&gt;0,VLOOKUP($D17,Flight!$A$1:$E$91,3,FALSE),"")</f>
        <v>MNL</v>
      </c>
      <c r="I17" s="44" t="str">
        <f>IF($D17&gt;0,IF(VLOOKUP($D17,Flight!$A$1:$E$91,4,FALSE)&gt;1,VLOOKUP($D17,Flight!$A$1:$E99,4,FALSE),""),"")</f>
        <v/>
      </c>
      <c r="J17" s="44" t="str">
        <f>IF($D17&gt;0,IF(VLOOKUP($D17,Flight!$A$1:$E$91,5,FALSE)&gt;1,VLOOKUP($D17,Flight!$A$1:$E$91,5,FALSE),""),"")</f>
        <v/>
      </c>
      <c r="K17" s="166">
        <v>0</v>
      </c>
      <c r="L17" s="166">
        <v>0</v>
      </c>
      <c r="M17" s="166">
        <v>3</v>
      </c>
      <c r="O17" s="114"/>
    </row>
    <row r="18" spans="1:15" ht="16.5" customHeight="1">
      <c r="A18" s="9">
        <f>IF($F18="Wavied","-",IF($D18=0,"",ROW($A18)-ROW($A$8)+1-COUNTIF($A$8:$A17,"@")-COUNTIF($A$8:$A17,"-")))</f>
        <v>11</v>
      </c>
      <c r="B18" s="257" t="s">
        <v>142</v>
      </c>
      <c r="C18" s="257" t="s">
        <v>464</v>
      </c>
      <c r="D18" s="27" t="s">
        <v>374</v>
      </c>
      <c r="E18" s="172" t="str">
        <f>IF($D18&gt;0,VLOOKUP($D18,Flight!$A$1:$E$91,2,FALSE),"")</f>
        <v>1115</v>
      </c>
      <c r="F18" s="45"/>
      <c r="G18" s="43" t="str">
        <f t="shared" si="1"/>
        <v/>
      </c>
      <c r="H18" s="44" t="str">
        <f>IF($D18&gt;0,VLOOKUP($D18,Flight!$A$1:$E$91,3,FALSE),"")</f>
        <v>KUL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0"/>
        <v>&lt;   Hall Operation   &gt;</v>
      </c>
      <c r="L18" s="166"/>
      <c r="M18" s="166"/>
      <c r="O18" s="114"/>
    </row>
    <row r="19" spans="1:15">
      <c r="A19" s="9">
        <f>IF($F19="Wavied","-",IF($D19=0,"",ROW($A19)-ROW($A$8)+1-COUNTIF($A$8:$A18,"@")-COUNTIF($A$8:$A18,"-")))</f>
        <v>12</v>
      </c>
      <c r="B19" s="257" t="s">
        <v>602</v>
      </c>
      <c r="C19" s="9" t="s">
        <v>497</v>
      </c>
      <c r="D19" s="27" t="s">
        <v>375</v>
      </c>
      <c r="E19" s="172" t="str">
        <f>IF($D19&gt;0,VLOOKUP($D19,Flight!$A$1:$E$91,2,FALSE),"")</f>
        <v>1145</v>
      </c>
      <c r="F19" s="45">
        <v>1144</v>
      </c>
      <c r="G19" s="43" t="s">
        <v>730</v>
      </c>
      <c r="H19" s="44" t="str">
        <f>IF($D19&gt;0,VLOOKUP($D19,Flight!$A$1:$E$91,3,FALSE),"")</f>
        <v>BKK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>
        <v>1</v>
      </c>
      <c r="L19" s="166">
        <v>0</v>
      </c>
      <c r="M19" s="166">
        <v>1</v>
      </c>
      <c r="O19" s="114"/>
    </row>
    <row r="20" spans="1:15">
      <c r="A20" s="9">
        <f>IF($F20="Wavied","-",IF($D20=0,"",ROW($A20)-ROW($A$8)+1-COUNTIF($A$8:$A19,"@")-COUNTIF($A$8:$A19,"-")))</f>
        <v>13</v>
      </c>
      <c r="B20" s="257" t="s">
        <v>85</v>
      </c>
      <c r="C20" s="9"/>
      <c r="D20" s="27" t="s">
        <v>479</v>
      </c>
      <c r="E20" s="172">
        <v>1210</v>
      </c>
      <c r="F20" s="45"/>
      <c r="G20" s="43"/>
      <c r="H20" s="44" t="s">
        <v>480</v>
      </c>
      <c r="I20" s="44"/>
      <c r="J20" s="44"/>
      <c r="K20" s="166" t="str">
        <f t="shared" si="0"/>
        <v>&lt;   Hall Operation   &gt;</v>
      </c>
      <c r="L20" s="166"/>
      <c r="M20" s="166"/>
      <c r="O20" s="114"/>
    </row>
    <row r="21" spans="1:15">
      <c r="A21" s="9">
        <f>IF($F21="Wavied","-",IF($D21=0,"",ROW($A21)-ROW($A$8)+1-COUNTIF($A$8:$A20,"@")-COUNTIF($A$8:$A20,"-")))</f>
        <v>14</v>
      </c>
      <c r="B21" s="257" t="s">
        <v>602</v>
      </c>
      <c r="C21" s="9" t="s">
        <v>498</v>
      </c>
      <c r="D21" s="10" t="s">
        <v>376</v>
      </c>
      <c r="E21" s="172" t="str">
        <f>IF($D21&gt;0,VLOOKUP($D21,Flight!$A$1:$E$91,2,FALSE),"")</f>
        <v>1305</v>
      </c>
      <c r="F21" s="45">
        <v>1259</v>
      </c>
      <c r="G21" s="43" t="s">
        <v>731</v>
      </c>
      <c r="H21" s="44" t="str">
        <f>IF($D21&gt;0,VLOOKUP($D21,Flight!$A$1:$E$91,3,FALSE),"")</f>
        <v>DMK</v>
      </c>
      <c r="I21" s="44" t="str">
        <f>IF($D21&gt;0,IF(VLOOKUP($D21,Flight!$A$1:$E$91,4,FALSE)&gt;1,VLOOKUP($D21,Flight!$A$1:$E103,4,FALSE),""),"")</f>
        <v/>
      </c>
      <c r="J21" s="44" t="str">
        <f>IF($D21&gt;0,IF(VLOOKUP($D21,Flight!$A$1:$E$91,5,FALSE)&gt;1,VLOOKUP($D21,Flight!$A$1:$E$91,5,FALSE),""),"")</f>
        <v/>
      </c>
      <c r="K21" s="166">
        <v>1</v>
      </c>
      <c r="L21" s="166">
        <v>1</v>
      </c>
      <c r="M21" s="166">
        <v>5</v>
      </c>
      <c r="O21" s="114"/>
    </row>
    <row r="22" spans="1:15" ht="15.75" customHeight="1">
      <c r="A22" s="9">
        <f>IF($F22="Wavied","-",IF($D22=0,"",ROW($A22)-ROW($A$8)+1-COUNTIF($A$8:$A21,"@")-COUNTIF($A$8:$A21,"-")))</f>
        <v>15</v>
      </c>
      <c r="B22" s="9" t="s">
        <v>497</v>
      </c>
      <c r="C22" s="257" t="s">
        <v>602</v>
      </c>
      <c r="D22" s="214" t="s">
        <v>377</v>
      </c>
      <c r="E22" s="172" t="str">
        <f>IF($D22&gt;0,VLOOKUP($D22,Flight!$A$1:$E$91,2,FALSE),"")</f>
        <v>1310</v>
      </c>
      <c r="F22" s="44"/>
      <c r="G22" s="43"/>
      <c r="H22" s="44" t="str">
        <f>IF($D22&gt;0,VLOOKUP($D22,Flight!$A$1:$E$91,3,FALSE),"")</f>
        <v>DEL</v>
      </c>
      <c r="I22" s="44" t="str">
        <f>IF($D22&gt;0,IF(VLOOKUP($D22,Flight!$A$1:$E$91,4,FALSE)&gt;1,VLOOKUP($D22,Flight!$A$1:$E104,4,FALSE),""),"")</f>
        <v/>
      </c>
      <c r="J22" s="44" t="str">
        <f>IF($D22&gt;0,IF(VLOOKUP($D22,Flight!$A$1:$E$91,5,FALSE)&gt;1,VLOOKUP($D22,Flight!$A$1:$E$91,5,FALSE),""),"")</f>
        <v/>
      </c>
      <c r="K22" s="166" t="str">
        <f>IF($D22=0,"",IF(OR(ISNUMBER(SEARCH("S",$B22)),_xlfn.IFNA(MATCH($D22,$D$104:$D$114,0)&lt;20,"")=TRUE),"&lt;   Hall Operation   &gt;",""))</f>
        <v>&lt;   Hall Operation   &gt;</v>
      </c>
      <c r="L22" s="166"/>
      <c r="M22" s="166"/>
      <c r="O22" s="114"/>
    </row>
    <row r="23" spans="1:15">
      <c r="A23" s="9">
        <f>IF($F23="Wavied","-",IF($D23=0,"",ROW($A23)-ROW($A$8)+1-COUNTIF($A$8:$A22,"@")-COUNTIF($A$8:$A22,"-")))</f>
        <v>16</v>
      </c>
      <c r="B23" s="257" t="s">
        <v>142</v>
      </c>
      <c r="C23" s="257" t="s">
        <v>464</v>
      </c>
      <c r="D23" s="9" t="s">
        <v>378</v>
      </c>
      <c r="E23" s="172">
        <v>1415</v>
      </c>
      <c r="F23" s="44"/>
      <c r="G23" s="43" t="str">
        <f t="shared" si="1"/>
        <v/>
      </c>
      <c r="H23" s="44" t="str">
        <f>IF($D23&gt;0,VLOOKUP($D23,Flight!$A$1:$E$91,3,FALSE),"")</f>
        <v>KUL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 t="str">
        <f>IF($D23=0,"",IF(OR(ISNUMBER(SEARCH("S",$B23)),_xlfn.IFNA(MATCH($D23,$D$104:$D$114,0)&lt;20,"")=TRUE),"&lt;   Hall Operation   &gt;",""))</f>
        <v>&lt;   Hall Operation   &gt;</v>
      </c>
      <c r="L23" s="166"/>
      <c r="M23" s="166"/>
      <c r="O23" s="114"/>
    </row>
    <row r="24" spans="1:15">
      <c r="A24" s="9">
        <f>IF($F24="Wavied","-",IF($D24=0,"",ROW($A24)-ROW($A$8)+1-COUNTIF($A$8:$A23,"@")-COUNTIF($A$8:$A23,"-")))</f>
        <v>17</v>
      </c>
      <c r="B24" s="257" t="s">
        <v>602</v>
      </c>
      <c r="C24" s="9" t="s">
        <v>497</v>
      </c>
      <c r="D24" s="9" t="s">
        <v>379</v>
      </c>
      <c r="E24" s="172" t="str">
        <f>IF($D24&gt;0,VLOOKUP($D24,Flight!$A$1:$E$91,2,FALSE),"")</f>
        <v>1420</v>
      </c>
      <c r="F24" s="44">
        <v>1403</v>
      </c>
      <c r="G24" s="43" t="s">
        <v>732</v>
      </c>
      <c r="H24" s="44" t="str">
        <f>IF($D24&gt;0,VLOOKUP($D24,Flight!$A$1:$E$91,3,FALSE),"")</f>
        <v>BKK</v>
      </c>
      <c r="I24" s="44" t="str">
        <f>IF($D24&gt;0,IF(VLOOKUP($D24,Flight!$A$1:$E$91,4,FALSE)&gt;1,VLOOKUP($D24,Flight!$A$1:$E106,4,FALSE),""),"")</f>
        <v/>
      </c>
      <c r="J24" s="44" t="str">
        <f>IF($D24&gt;0,IF(VLOOKUP($D24,Flight!$A$1:$E$91,5,FALSE)&gt;1,VLOOKUP($D24,Flight!$A$1:$E$91,5,FALSE),""),"")</f>
        <v/>
      </c>
      <c r="K24" s="166">
        <v>1</v>
      </c>
      <c r="L24" s="166">
        <v>0</v>
      </c>
      <c r="M24" s="166">
        <v>1</v>
      </c>
      <c r="O24" s="114"/>
    </row>
    <row r="25" spans="1:15">
      <c r="A25" s="9">
        <f>IF($F25="Wavied","-",IF($D25=0,"",ROW($A25)-ROW($A$8)+1-COUNTIF($A$8:$A24,"@")-COUNTIF($A$8:$A24,"-")))</f>
        <v>18</v>
      </c>
      <c r="B25" s="257" t="s">
        <v>602</v>
      </c>
      <c r="C25" s="9" t="s">
        <v>498</v>
      </c>
      <c r="D25" s="9" t="s">
        <v>481</v>
      </c>
      <c r="E25" s="172">
        <v>1450</v>
      </c>
      <c r="F25" s="44"/>
      <c r="G25" s="43"/>
      <c r="H25" s="44" t="s">
        <v>480</v>
      </c>
      <c r="I25" s="44"/>
      <c r="J25" s="44"/>
      <c r="K25" s="166">
        <v>1</v>
      </c>
      <c r="L25" s="166">
        <v>1</v>
      </c>
      <c r="M25" s="166">
        <v>5</v>
      </c>
      <c r="O25" s="114"/>
    </row>
    <row r="26" spans="1:15">
      <c r="A26" s="9">
        <f>IF($F26="Wavied","-",IF($D26=0,"",ROW($A26)-ROW($A$8)+1-COUNTIF($A$8:$A25,"@")-COUNTIF($A$8:$A25,"-")))</f>
        <v>19</v>
      </c>
      <c r="B26" s="257" t="s">
        <v>85</v>
      </c>
      <c r="C26" s="9" t="s">
        <v>464</v>
      </c>
      <c r="D26" s="27" t="s">
        <v>380</v>
      </c>
      <c r="E26" s="172">
        <v>1455</v>
      </c>
      <c r="F26" s="45"/>
      <c r="G26" s="43" t="str">
        <f t="shared" si="1"/>
        <v/>
      </c>
      <c r="H26" s="44" t="str">
        <f>IF($D26&gt;0,VLOOKUP($D26,Flight!$A$1:$E$91,3,FALSE),"")</f>
        <v>ADD</v>
      </c>
      <c r="I26" s="44" t="str">
        <f>IF($D26&gt;0,IF(VLOOKUP($D26,Flight!$A$1:$E$91,4,FALSE)&gt;1,VLOOKUP($D26,Flight!$A$1:$E107,4,FALSE),""),"")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ref="K26:K40" si="2">IF($D26=0,"",IF(OR(ISNUMBER(SEARCH("S",$B26)),_xlfn.IFNA(MATCH($D26,$D$104:$D$114,0)&lt;20,"")=TRUE),"&lt;   Hall Operation   &gt;",""))</f>
        <v>&lt;   Hall Operation   &gt;</v>
      </c>
      <c r="L26" s="166"/>
      <c r="M26" s="166"/>
      <c r="O26" s="114"/>
    </row>
    <row r="27" spans="1:15">
      <c r="A27" s="9">
        <f>IF($F27="Wavied","-",IF($D27=0,"",ROW($A27)-ROW($A$8)+1-COUNTIF($A$8:$A26,"@")-COUNTIF($A$8:$A26,"-")))</f>
        <v>20</v>
      </c>
      <c r="B27" s="257" t="s">
        <v>164</v>
      </c>
      <c r="C27" s="257" t="s">
        <v>464</v>
      </c>
      <c r="D27" s="27" t="s">
        <v>381</v>
      </c>
      <c r="E27" s="172">
        <v>1510</v>
      </c>
      <c r="F27" s="45"/>
      <c r="G27" s="43" t="str">
        <f t="shared" si="1"/>
        <v/>
      </c>
      <c r="H27" s="44" t="str">
        <f>IF($D27&gt;0,VLOOKUP($D27,Flight!$A$1:$E$91,3,FALSE),"")</f>
        <v>DOH</v>
      </c>
      <c r="I27" s="44" t="str">
        <f>IF($D27&gt;0,IF(VLOOKUP($D27,Flight!$A$1:$E$91,4,FALSE)&gt;1,VLOOKUP($D27,Flight!$A$1:$E108,4,FALSE),""),"")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>&lt;   Hall Operation   &gt;</v>
      </c>
      <c r="L27" s="166"/>
      <c r="M27" s="166"/>
      <c r="O27" s="114"/>
    </row>
    <row r="28" spans="1:15">
      <c r="A28" s="9">
        <f>IF($F28="Wavied","-",IF($D28=0,"",ROW($A28)-ROW($A$8)+1-COUNTIF($A$8:$A27,"@")-COUNTIF($A$8:$A27,"-")))</f>
        <v>21</v>
      </c>
      <c r="B28" s="257" t="s">
        <v>85</v>
      </c>
      <c r="C28" s="9"/>
      <c r="D28" s="27" t="s">
        <v>382</v>
      </c>
      <c r="E28" s="172">
        <v>1715</v>
      </c>
      <c r="F28" s="44"/>
      <c r="G28" s="43" t="str">
        <f t="shared" si="1"/>
        <v/>
      </c>
      <c r="H28" s="44" t="str">
        <f>IF($D28&gt;0,VLOOKUP($D28,Flight!$A$1:$E$91,3,FALSE),"")</f>
        <v>IST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>&lt;   Hall Operation   &gt;</v>
      </c>
      <c r="L28" s="166"/>
      <c r="M28" s="166"/>
      <c r="O28" s="114"/>
    </row>
    <row r="29" spans="1:15" s="249" customFormat="1">
      <c r="A29" s="9">
        <f>IF($F29="Wavied","-",IF($D29=0,"",ROW($A29)-ROW($A$8)+1-COUNTIF($A$8:$A28,"@")-COUNTIF($A$8:$A28,"-")))</f>
        <v>22</v>
      </c>
      <c r="B29" s="257" t="s">
        <v>163</v>
      </c>
      <c r="C29" s="9" t="s">
        <v>464</v>
      </c>
      <c r="D29" s="27" t="s">
        <v>482</v>
      </c>
      <c r="E29" s="172">
        <v>1720</v>
      </c>
      <c r="F29" s="44"/>
      <c r="G29" s="43"/>
      <c r="H29" s="44" t="s">
        <v>483</v>
      </c>
      <c r="I29" s="44"/>
      <c r="J29" s="44"/>
      <c r="K29" s="166" t="str">
        <f t="shared" si="2"/>
        <v>&lt;   Hall Operation   &gt;</v>
      </c>
      <c r="L29" s="166"/>
      <c r="M29" s="166"/>
      <c r="O29" s="114"/>
    </row>
    <row r="30" spans="1:15">
      <c r="A30" s="9">
        <f>IF($F30="Wavied","-",IF($D30=0,"",ROW($A30)-ROW($A$8)+1-COUNTIF($A$8:$A29,"@")-COUNTIF($A$8:$A29,"-")))</f>
        <v>23</v>
      </c>
      <c r="B30" s="257" t="s">
        <v>166</v>
      </c>
      <c r="C30" s="9" t="s">
        <v>464</v>
      </c>
      <c r="D30" s="27" t="s">
        <v>383</v>
      </c>
      <c r="E30" s="172">
        <v>1755</v>
      </c>
      <c r="F30" s="45"/>
      <c r="G30" s="43" t="str">
        <f t="shared" si="1"/>
        <v/>
      </c>
      <c r="H30" s="44" t="str">
        <f>IF($D30&gt;0,VLOOKUP($D30,Flight!$A$1:$E$91,3,FALSE),"")</f>
        <v>KUL</v>
      </c>
      <c r="I30" s="44" t="str">
        <f>IF($D30&gt;0,IF(VLOOKUP($D30,Flight!$A$1:$E$91,4,FALSE)&gt;1,VLOOKUP($D30,Flight!$A$1:$E110,4,FALSE),""),"")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>&lt;   Hall Operation   &gt;</v>
      </c>
      <c r="L30" s="166"/>
      <c r="M30" s="166"/>
    </row>
    <row r="31" spans="1:15">
      <c r="A31" s="9">
        <f>IF($F31="Wavied","-",IF($D31=0,"",ROW($A31)-ROW($A$8)+1-COUNTIF($A$8:$A30,"@")-COUNTIF($A$8:$A30,"-")))</f>
        <v>24</v>
      </c>
      <c r="B31" s="257" t="s">
        <v>602</v>
      </c>
      <c r="C31" s="9" t="s">
        <v>603</v>
      </c>
      <c r="D31" s="27" t="s">
        <v>384</v>
      </c>
      <c r="E31" s="172">
        <v>1805</v>
      </c>
      <c r="F31" s="45"/>
      <c r="G31" s="43" t="str">
        <f t="shared" si="1"/>
        <v/>
      </c>
      <c r="H31" s="44" t="str">
        <f>IF($D31&gt;0,VLOOKUP($D31,Flight!$A$1:$E$91,3,FALSE),"")</f>
        <v>DXB</v>
      </c>
      <c r="I31" s="44" t="str">
        <f>IF($D31&gt;0,IF(VLOOKUP($D31,Flight!$A$1:$E$91,4,FALSE)&gt;1,VLOOKUP($D31,Flight!$A$1:$E111,4,FALSE),""),"")</f>
        <v>BKK</v>
      </c>
      <c r="J31" s="44" t="str">
        <f>IF($D31&gt;0,IF(VLOOKUP($D31,Flight!$A$1:$E$91,5,FALSE)&gt;1,VLOOKUP($D31,Flight!$A$1:$E$91,5,FALSE),""),"")</f>
        <v/>
      </c>
      <c r="K31" s="166">
        <v>1</v>
      </c>
      <c r="L31" s="166">
        <v>1</v>
      </c>
      <c r="M31" s="166">
        <v>5</v>
      </c>
    </row>
    <row r="32" spans="1:15">
      <c r="A32" s="9">
        <f>IF($F32="Wavied","-",IF($D32=0,"",ROW($A32)-ROW($A$8)+1-COUNTIF($A$8:$A31,"@")-COUNTIF($A$8:$A31,"-")))</f>
        <v>25</v>
      </c>
      <c r="B32" s="257" t="s">
        <v>164</v>
      </c>
      <c r="C32" s="257" t="s">
        <v>464</v>
      </c>
      <c r="D32" s="27" t="s">
        <v>385</v>
      </c>
      <c r="E32" s="172">
        <v>1810</v>
      </c>
      <c r="F32" s="49"/>
      <c r="G32" s="43" t="str">
        <f t="shared" si="1"/>
        <v/>
      </c>
      <c r="H32" s="44" t="str">
        <f>IF($D32&gt;0,VLOOKUP($D32,Flight!$A$1:$E$91,3,FALSE),"")</f>
        <v>MNL</v>
      </c>
      <c r="I32" s="44" t="str">
        <f>IF($D32&gt;0,IF(VLOOKUP($D32,Flight!$A$1:$E$91,4,FALSE)&gt;1,VLOOKUP($D32,Flight!$A$1:$E112,4,FALSE),""),"")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2"/>
        <v>&lt;   Hall Operation   &gt;</v>
      </c>
      <c r="L32" s="166"/>
      <c r="M32" s="166"/>
    </row>
    <row r="33" spans="1:18" s="249" customFormat="1">
      <c r="A33" s="9">
        <f>IF($F33="Wavied","-",IF($D33=0,"",ROW($A33)-ROW($A$8)+1-COUNTIF($A$8:$A32,"@")-COUNTIF($A$8:$A32,"-")))</f>
        <v>26</v>
      </c>
      <c r="B33" s="257" t="s">
        <v>163</v>
      </c>
      <c r="C33" s="9" t="s">
        <v>464</v>
      </c>
      <c r="D33" s="27" t="s">
        <v>484</v>
      </c>
      <c r="E33" s="172">
        <v>1820</v>
      </c>
      <c r="F33" s="49"/>
      <c r="G33" s="43"/>
      <c r="H33" s="44" t="s">
        <v>485</v>
      </c>
      <c r="I33" s="44"/>
      <c r="J33" s="44"/>
      <c r="K33" s="166" t="str">
        <f t="shared" si="2"/>
        <v>&lt;   Hall Operation   &gt;</v>
      </c>
      <c r="L33" s="166"/>
      <c r="M33" s="166"/>
      <c r="O33" s="112"/>
    </row>
    <row r="34" spans="1:18">
      <c r="A34" s="9">
        <f>IF($F34="Wavied","-",IF($D34=0,"",ROW($A34)-ROW($A$8)+1-COUNTIF($A$8:$A33,"@")-COUNTIF($A$8:$A33,"-")))</f>
        <v>27</v>
      </c>
      <c r="B34" s="257" t="s">
        <v>166</v>
      </c>
      <c r="C34" s="9" t="s">
        <v>464</v>
      </c>
      <c r="D34" s="27" t="s">
        <v>387</v>
      </c>
      <c r="E34" s="172">
        <v>1920</v>
      </c>
      <c r="F34" s="45"/>
      <c r="G34" s="43" t="str">
        <f t="shared" si="1"/>
        <v/>
      </c>
      <c r="H34" s="44" t="str">
        <f>IF($D34&gt;0,VLOOKUP($D34,Flight!$A$1:$E$91,3,FALSE),"")</f>
        <v>DMK</v>
      </c>
      <c r="I34" s="44" t="str">
        <f>IF($D34&gt;0,IF(VLOOKUP($D34,Flight!$A$1:$E$91,4,FALSE)&gt;1,VLOOKUP($D34,Flight!$A$1:$E114,4,FALSE),""),"")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2"/>
        <v>&lt;   Hall Operation   &gt;</v>
      </c>
      <c r="L34" s="166"/>
      <c r="M34" s="166"/>
    </row>
    <row r="35" spans="1:18">
      <c r="A35" s="9">
        <f>IF($F35="Wavied","-",IF($D35=0,"",ROW($A35)-ROW($A$8)+1-COUNTIF($A$8:$A34,"@")-COUNTIF($A$8:$A34,"-")))</f>
        <v>28</v>
      </c>
      <c r="B35" s="257" t="s">
        <v>164</v>
      </c>
      <c r="C35" s="257" t="s">
        <v>464</v>
      </c>
      <c r="D35" s="27" t="s">
        <v>388</v>
      </c>
      <c r="E35" s="172">
        <v>1950</v>
      </c>
      <c r="F35" s="46"/>
      <c r="G35" s="43" t="str">
        <f t="shared" si="1"/>
        <v/>
      </c>
      <c r="H35" s="44" t="str">
        <f>IF($D35&gt;0,VLOOKUP($D35,Flight!$A$1:$E$91,3,FALSE),"")</f>
        <v>BKK</v>
      </c>
      <c r="I35" s="44" t="str">
        <f>IF($D35&gt;0,IF(VLOOKUP($D35,Flight!$A$1:$E$91,4,FALSE)&gt;1,VLOOKUP($D35,Flight!$A$1:$E115,4,FALSE),""),"")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2"/>
        <v>&lt;   Hall Operation   &gt;</v>
      </c>
      <c r="L35" s="166"/>
      <c r="M35" s="166"/>
    </row>
    <row r="36" spans="1:18">
      <c r="A36" s="9">
        <f>IF($F36="Wavied","-",IF($D36=0,"",ROW($A36)-ROW($A$8)+1-COUNTIF($A$8:$A35,"@")-COUNTIF($A$8:$A35,"-")))</f>
        <v>29</v>
      </c>
      <c r="B36" s="257" t="s">
        <v>163</v>
      </c>
      <c r="C36" s="9" t="s">
        <v>464</v>
      </c>
      <c r="D36" s="27" t="s">
        <v>389</v>
      </c>
      <c r="E36" s="172">
        <v>2030</v>
      </c>
      <c r="F36" s="45"/>
      <c r="G36" s="43" t="str">
        <f t="shared" si="1"/>
        <v/>
      </c>
      <c r="H36" s="44" t="str">
        <f>IF($D36&gt;0,VLOOKUP($D36,Flight!$A$1:$E$91,3,FALSE),"")</f>
        <v>CGK</v>
      </c>
      <c r="I36" s="44" t="str">
        <f>IF($D36&gt;0,IF(VLOOKUP($D36,Flight!$A$1:$E$91,4,FALSE)&gt;1,VLOOKUP($D36,Flight!$A$1:$E116,4,FALSE),""),"")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2"/>
        <v>&lt;   Hall Operation   &gt;</v>
      </c>
      <c r="L36" s="166"/>
      <c r="M36" s="166"/>
    </row>
    <row r="37" spans="1:18" s="249" customFormat="1" ht="16.5">
      <c r="A37" s="9" t="s">
        <v>897</v>
      </c>
      <c r="B37" s="251" t="str">
        <f t="shared" ref="B37:B40" si="3">IF($E37&lt;&gt;"",IF($E37-715&lt;0,VLOOKUP($B$3,$E$60:$J$71,6,FALSE),IF(AND($E37-2130&gt;0,_xlfn.IFNA(MATCH($D37,$D$104:$D$114,0)&lt;20,"")=TRUE),VLOOKUP($L$3,$E$60:$J$71,6,FALSE),"-")),"")</f>
        <v>-</v>
      </c>
      <c r="C37" s="251" t="str">
        <f t="shared" ref="C37:C40" si="4">IF($E37&lt;&gt;"",IF(ISNUMBER(SEARCH("Hall Operation",$K37)),"-",IF($E37-715&lt;0,VLOOKUP($B$3,$E$60:$J$71,6,FALSE),IF($E37-2129&gt;0,VLOOKUP($L$3,$E$60:$J$71,6,FALSE),""))),"")</f>
        <v/>
      </c>
      <c r="D37" s="252" t="s">
        <v>486</v>
      </c>
      <c r="E37" s="253">
        <v>2120</v>
      </c>
      <c r="F37" s="404" t="s">
        <v>524</v>
      </c>
      <c r="G37" s="405"/>
      <c r="H37" s="254" t="s">
        <v>487</v>
      </c>
      <c r="I37" s="254"/>
      <c r="J37" s="254"/>
      <c r="K37" s="402" t="s">
        <v>523</v>
      </c>
      <c r="L37" s="402"/>
      <c r="M37" s="403"/>
      <c r="O37" s="112"/>
    </row>
    <row r="38" spans="1:18">
      <c r="A38" s="9">
        <f>IF($F38="Wavied","-",IF($D38=0,"",ROW($A38)-ROW($A$8)+1-COUNTIF($A$8:$A37,"@")-COUNTIF($A$8:$A37,"-")))</f>
        <v>30</v>
      </c>
      <c r="B38" s="257" t="s">
        <v>602</v>
      </c>
      <c r="C38" s="9" t="str">
        <f t="shared" si="4"/>
        <v>S11</v>
      </c>
      <c r="D38" s="27" t="s">
        <v>390</v>
      </c>
      <c r="E38" s="172">
        <v>2155</v>
      </c>
      <c r="F38" s="45">
        <v>2103</v>
      </c>
      <c r="G38" s="43" t="s">
        <v>750</v>
      </c>
      <c r="H38" s="44" t="str">
        <f>IF($D38&gt;0,VLOOKUP($D38,Flight!$A$1:$E$91,3,FALSE),"")</f>
        <v>DOH</v>
      </c>
      <c r="I38" s="44" t="str">
        <f>IF($D38&gt;0,IF(VLOOKUP($D38,Flight!$A$1:$E$91,4,FALSE)&gt;1,VLOOKUP($D38,Flight!$A$1:$E118,4,FALSE),""),"")</f>
        <v/>
      </c>
      <c r="J38" s="44" t="str">
        <f>IF($D38&gt;0,IF(VLOOKUP($D38,Flight!$A$1:$E$91,5,FALSE)&gt;1,VLOOKUP($D38,Flight!$A$1:$E$91,5,FALSE),""),"")</f>
        <v/>
      </c>
      <c r="K38" s="166">
        <v>1</v>
      </c>
      <c r="L38" s="166">
        <v>1</v>
      </c>
      <c r="M38" s="167">
        <v>5</v>
      </c>
      <c r="O38" s="115"/>
      <c r="P38" s="87"/>
    </row>
    <row r="39" spans="1:18" ht="16.5">
      <c r="A39" s="9">
        <f>IF($F39="Wavied","-",IF($D39=0,"",ROW($A39)-ROW($A$8)+1-COUNTIF($A$8:$A38,"@")-COUNTIF($A$8:$A38,"-")))</f>
        <v>31</v>
      </c>
      <c r="B39" s="257" t="s">
        <v>165</v>
      </c>
      <c r="C39" s="9" t="str">
        <f t="shared" si="4"/>
        <v>-</v>
      </c>
      <c r="D39" s="27" t="s">
        <v>77</v>
      </c>
      <c r="E39" s="172">
        <v>2320</v>
      </c>
      <c r="F39" s="45"/>
      <c r="G39" s="43" t="str">
        <f t="shared" si="1"/>
        <v/>
      </c>
      <c r="H39" s="44" t="str">
        <f>IF($D39&gt;0,VLOOKUP($D39,Flight!$A$1:$E$91,3,FALSE),"")</f>
        <v>BKK</v>
      </c>
      <c r="I39" s="44" t="str">
        <f>IF($D39&gt;0,IF(VLOOKUP($D39,Flight!$A$1:$E$91,4,FALSE)&gt;1,VLOOKUP($D39,Flight!$A$1:$E119,4,FALSE),""),"")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2"/>
        <v>&lt;   Hall Operation   &gt;</v>
      </c>
      <c r="L39" s="166"/>
      <c r="M39" s="167"/>
      <c r="O39" s="4"/>
      <c r="P39" s="88"/>
      <c r="Q39" s="4"/>
      <c r="R39" s="4"/>
    </row>
    <row r="40" spans="1:18">
      <c r="A40" s="9" t="str">
        <f>IF($A38="S/N",1,IF($F40="Wavied","-",IF($D40=0,"",ROW($A40)-ROW($A$7)-COUNTIF($A$7:$A$9,"@")-COUNTIF($A$7:$A$9,"-"))))</f>
        <v/>
      </c>
      <c r="B40" s="9" t="str">
        <f t="shared" si="3"/>
        <v/>
      </c>
      <c r="C40" s="9" t="str">
        <f t="shared" si="4"/>
        <v/>
      </c>
      <c r="D40" s="27"/>
      <c r="E40" s="172" t="str">
        <f>IF($D40&gt;0,VLOOKUP($D40,Flight!$A$1:$E$91,2,FALSE),"")</f>
        <v/>
      </c>
      <c r="F40" s="45"/>
      <c r="G40" s="43" t="str">
        <f t="shared" si="1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IF($D40&gt;0,IF(VLOOKUP($D40,Flight!$A$1:$E$91,4,FALSE)&gt;1,VLOOKUP($D40,Flight!$A$1:$E120,4,FALSE),""),"")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2"/>
        <v/>
      </c>
      <c r="L40" s="166"/>
      <c r="M40" s="167"/>
      <c r="O40" s="4"/>
      <c r="P40" s="4"/>
      <c r="Q40" s="4"/>
      <c r="R40" s="4"/>
    </row>
    <row r="41" spans="1:18">
      <c r="A41" s="376" t="s">
        <v>5</v>
      </c>
      <c r="B41" s="376"/>
      <c r="C41" s="376"/>
      <c r="D41" s="376"/>
      <c r="E41" s="376"/>
      <c r="F41" s="376"/>
      <c r="G41" s="50"/>
      <c r="H41" s="207" t="s">
        <v>40</v>
      </c>
      <c r="I41" s="377"/>
      <c r="J41" s="377"/>
      <c r="K41" s="377"/>
      <c r="L41" s="377"/>
      <c r="M41" s="377"/>
      <c r="N41" s="5"/>
    </row>
    <row r="42" spans="1:18">
      <c r="A42" s="379" t="s">
        <v>35</v>
      </c>
      <c r="B42" s="379"/>
      <c r="C42" s="379" t="s">
        <v>31</v>
      </c>
      <c r="D42" s="379"/>
      <c r="E42" s="379"/>
      <c r="F42" s="379"/>
      <c r="G42" s="379"/>
      <c r="H42" s="379"/>
      <c r="I42" s="378"/>
      <c r="J42" s="378"/>
      <c r="K42" s="378"/>
      <c r="L42" s="378"/>
      <c r="M42" s="378"/>
    </row>
    <row r="43" spans="1:18">
      <c r="A43" s="379"/>
      <c r="B43" s="379"/>
      <c r="C43" s="379"/>
      <c r="D43" s="379"/>
      <c r="E43" s="379"/>
      <c r="F43" s="379"/>
      <c r="G43" s="379"/>
      <c r="H43" s="379"/>
      <c r="I43" s="51"/>
      <c r="J43" s="51"/>
      <c r="K43" s="6"/>
      <c r="L43" s="6"/>
      <c r="M43" s="6"/>
    </row>
    <row r="44" spans="1:18">
      <c r="A44" s="389" t="s">
        <v>216</v>
      </c>
      <c r="B44" s="389"/>
      <c r="C44" s="212" t="str">
        <f>VLOOKUP($D$44,Staff!$B$2:$D$41,2,FALSE)</f>
        <v>CIA</v>
      </c>
      <c r="D44" s="375" t="str">
        <f>VLOOKUP(VLOOKUP($E$56,$E$60:$J$71,6,FALSE),Staff!$A$2:$D$13,2,FALSE)</f>
        <v>WO LO</v>
      </c>
      <c r="E44" s="375"/>
      <c r="F44" s="204" t="s">
        <v>215</v>
      </c>
      <c r="G44" s="390" t="str">
        <f>VLOOKUP($D$44,Staff!$B$2:$D$39,3,FALSE)</f>
        <v>9425 1098</v>
      </c>
      <c r="H44" s="390"/>
      <c r="I44" s="391" t="s">
        <v>223</v>
      </c>
      <c r="J44" s="391"/>
      <c r="K44" s="375" t="s">
        <v>488</v>
      </c>
      <c r="L44" s="375"/>
      <c r="M44" s="375"/>
    </row>
    <row r="45" spans="1:18">
      <c r="A45" s="389" t="s">
        <v>217</v>
      </c>
      <c r="B45" s="389"/>
      <c r="C45" s="212" t="str">
        <f>VLOOKUP($D$45,Staff!$B$2:$D$41,2,FALSE)</f>
        <v>CIA</v>
      </c>
      <c r="D45" s="375" t="s">
        <v>415</v>
      </c>
      <c r="E45" s="375"/>
      <c r="F45" s="204" t="s">
        <v>215</v>
      </c>
      <c r="G45" s="390" t="str">
        <f>VLOOKUP($D$45,Staff!$B$2:$D$39,3,FALSE)</f>
        <v>9850 0581</v>
      </c>
      <c r="H45" s="390"/>
      <c r="I45" s="391" t="s">
        <v>224</v>
      </c>
      <c r="J45" s="391"/>
      <c r="K45" s="375" t="s">
        <v>489</v>
      </c>
      <c r="L45" s="375"/>
      <c r="M45" s="375"/>
    </row>
    <row r="46" spans="1:18">
      <c r="A46" s="200"/>
      <c r="B46" s="200"/>
      <c r="C46" s="209"/>
      <c r="D46" s="395"/>
      <c r="E46" s="395"/>
      <c r="F46" s="206"/>
      <c r="G46" s="396"/>
      <c r="H46" s="396"/>
      <c r="I46" s="390"/>
      <c r="J46" s="390"/>
      <c r="K46" s="143"/>
      <c r="L46" s="143"/>
      <c r="M46" s="143"/>
    </row>
    <row r="47" spans="1:18" s="112" customFormat="1">
      <c r="A47" s="397" t="s">
        <v>4</v>
      </c>
      <c r="B47" s="397"/>
      <c r="C47" s="396" t="s">
        <v>218</v>
      </c>
      <c r="D47" s="396"/>
      <c r="E47" s="396"/>
      <c r="F47" s="154" t="s">
        <v>213</v>
      </c>
      <c r="G47" s="398" t="s">
        <v>490</v>
      </c>
      <c r="H47" s="398"/>
      <c r="I47" s="398"/>
      <c r="J47" s="203" t="s">
        <v>209</v>
      </c>
      <c r="K47" s="390" t="str">
        <f>VLOOKUP(VLOOKUP($B$3,$E$60:$J$71,6,FALSE),Staff!$F$22:$G$47,2,FALSE)</f>
        <v>AU, NELSON</v>
      </c>
      <c r="L47" s="390"/>
      <c r="M47" s="390"/>
      <c r="N47" s="12"/>
      <c r="P47" s="211"/>
      <c r="Q47" s="211"/>
      <c r="R47" s="211"/>
    </row>
    <row r="48" spans="1:18" s="112" customFormat="1">
      <c r="A48" s="155"/>
      <c r="B48" s="155"/>
      <c r="C48" s="396" t="s">
        <v>219</v>
      </c>
      <c r="D48" s="396"/>
      <c r="E48" s="396"/>
      <c r="F48" s="154" t="s">
        <v>214</v>
      </c>
      <c r="G48" s="375" t="str">
        <f>IF(COUNTIF($E$60:$E$63,$E$57)&gt;0,Staff!$G$14,"")&amp;IF(COUNTIF($E$64:$E$67,$E$57)&gt;0,Staff!$G$13,"")&amp;IF(COUNTIF($E$68:$E$71,$E$57)&gt;0,Staff!$G$12,"")</f>
        <v>CHONG, MAN LOK</v>
      </c>
      <c r="H48" s="375"/>
      <c r="I48" s="375"/>
      <c r="J48" s="203" t="s">
        <v>208</v>
      </c>
      <c r="K48" s="390" t="s">
        <v>491</v>
      </c>
      <c r="L48" s="390"/>
      <c r="M48" s="390"/>
      <c r="N48" s="211"/>
      <c r="P48" s="211"/>
      <c r="Q48" s="211"/>
      <c r="R48" s="211"/>
    </row>
    <row r="49" spans="1:18" s="112" customFormat="1">
      <c r="A49" s="201"/>
      <c r="B49" s="201"/>
      <c r="C49" s="209"/>
      <c r="D49" s="401"/>
      <c r="E49" s="401"/>
      <c r="F49" s="401"/>
      <c r="G49" s="401"/>
      <c r="H49" s="401"/>
      <c r="I49" s="401"/>
      <c r="J49" s="203" t="s">
        <v>210</v>
      </c>
      <c r="K49" s="390" t="s">
        <v>492</v>
      </c>
      <c r="L49" s="390"/>
      <c r="M49" s="390"/>
      <c r="N49" s="211"/>
      <c r="P49" s="211"/>
      <c r="Q49" s="211"/>
      <c r="R49" s="211"/>
    </row>
    <row r="50" spans="1:18" s="112" customFormat="1">
      <c r="A50" s="392" t="s">
        <v>3</v>
      </c>
      <c r="B50" s="393"/>
      <c r="C50" s="394" t="s">
        <v>220</v>
      </c>
      <c r="D50" s="394"/>
      <c r="E50" s="394"/>
      <c r="F50" s="397" t="s">
        <v>408</v>
      </c>
      <c r="G50" s="397"/>
      <c r="H50" s="397"/>
      <c r="I50" s="397"/>
      <c r="J50" s="203" t="s">
        <v>211</v>
      </c>
      <c r="K50" s="390" t="s">
        <v>493</v>
      </c>
      <c r="L50" s="390"/>
      <c r="M50" s="390"/>
      <c r="N50" s="211"/>
      <c r="P50" s="211"/>
      <c r="Q50" s="211"/>
      <c r="R50" s="211"/>
    </row>
    <row r="51" spans="1:18" s="112" customFormat="1">
      <c r="A51" s="393" t="s">
        <v>2</v>
      </c>
      <c r="B51" s="393"/>
      <c r="C51" s="411" t="s">
        <v>221</v>
      </c>
      <c r="D51" s="411"/>
      <c r="E51" s="411"/>
      <c r="F51" s="412" t="s">
        <v>1</v>
      </c>
      <c r="G51" s="412"/>
      <c r="H51" s="400" t="s">
        <v>409</v>
      </c>
      <c r="I51" s="400"/>
      <c r="J51" s="203" t="s">
        <v>212</v>
      </c>
      <c r="K51" s="390" t="s">
        <v>494</v>
      </c>
      <c r="L51" s="390"/>
      <c r="M51" s="390"/>
      <c r="N51" s="211"/>
      <c r="P51" s="211"/>
      <c r="Q51" s="211"/>
      <c r="R51" s="211"/>
    </row>
    <row r="52" spans="1:18" s="112" customFormat="1">
      <c r="A52" s="155"/>
      <c r="B52" s="155"/>
      <c r="C52" s="201"/>
      <c r="D52" s="399"/>
      <c r="E52" s="399"/>
      <c r="F52" s="391"/>
      <c r="G52" s="391"/>
      <c r="H52" s="400" t="s">
        <v>410</v>
      </c>
      <c r="I52" s="400"/>
      <c r="J52" s="199"/>
      <c r="K52" s="200"/>
      <c r="L52" s="200"/>
      <c r="M52" s="47"/>
      <c r="N52" s="211"/>
      <c r="P52" s="211"/>
      <c r="Q52" s="211"/>
      <c r="R52" s="211"/>
    </row>
    <row r="53" spans="1:18" s="112" customFormat="1" ht="16.5" customHeight="1">
      <c r="A53" s="392" t="s">
        <v>0</v>
      </c>
      <c r="B53" s="392"/>
      <c r="C53" s="407" t="s">
        <v>222</v>
      </c>
      <c r="D53" s="407"/>
      <c r="E53" s="407"/>
      <c r="F53" s="218"/>
      <c r="G53" s="219"/>
      <c r="H53" s="394" t="s">
        <v>411</v>
      </c>
      <c r="I53" s="394"/>
      <c r="J53" s="205"/>
      <c r="K53" s="200"/>
      <c r="L53" s="200"/>
      <c r="M53" s="47"/>
      <c r="N53" s="211"/>
      <c r="P53" s="211"/>
      <c r="Q53" s="211"/>
      <c r="R53" s="211"/>
    </row>
    <row r="54" spans="1:18" s="112" customFormat="1">
      <c r="A54" s="211"/>
      <c r="B54" s="211"/>
      <c r="C54" s="408"/>
      <c r="D54" s="408"/>
      <c r="E54" s="408"/>
      <c r="F54" s="408"/>
      <c r="G54" s="408"/>
      <c r="H54" s="408"/>
      <c r="I54" s="54"/>
      <c r="J54" s="53"/>
      <c r="M54" s="211"/>
      <c r="N54" s="211"/>
      <c r="P54" s="211"/>
      <c r="Q54" s="211"/>
      <c r="R54" s="211"/>
    </row>
    <row r="55" spans="1:18" s="112" customFormat="1" ht="16.5" thickBot="1">
      <c r="A55" s="3"/>
      <c r="B55" s="3"/>
      <c r="C55" s="3"/>
      <c r="D55" s="2"/>
      <c r="E55" s="39"/>
      <c r="F55" s="202"/>
      <c r="G55" s="202"/>
      <c r="H55" s="202"/>
      <c r="I55" s="409"/>
      <c r="J55" s="409"/>
      <c r="M55" s="211"/>
      <c r="N55" s="211"/>
      <c r="P55" s="211"/>
      <c r="Q55" s="211"/>
      <c r="R55" s="211"/>
    </row>
    <row r="56" spans="1:18" s="112" customFormat="1">
      <c r="A56" s="211"/>
      <c r="B56" s="211"/>
      <c r="C56" s="211"/>
      <c r="D56" s="211"/>
      <c r="E56" s="90" t="s">
        <v>133</v>
      </c>
      <c r="F56" s="91" t="s">
        <v>135</v>
      </c>
      <c r="G56" s="91"/>
      <c r="H56" s="92"/>
      <c r="I56" s="211"/>
      <c r="J56" s="211"/>
      <c r="K56" s="211"/>
      <c r="L56" s="211"/>
      <c r="M56" s="211"/>
      <c r="N56" s="211"/>
      <c r="P56" s="211"/>
      <c r="Q56" s="211"/>
      <c r="R56" s="211"/>
    </row>
    <row r="57" spans="1:18" s="112" customFormat="1" ht="16.5" thickBot="1">
      <c r="A57" s="211"/>
      <c r="B57" s="211"/>
      <c r="C57" s="211"/>
      <c r="D57" s="211"/>
      <c r="E57" s="93" t="s">
        <v>134</v>
      </c>
      <c r="F57" s="94" t="s">
        <v>136</v>
      </c>
      <c r="G57" s="94"/>
      <c r="H57" s="95"/>
      <c r="I57" s="211"/>
      <c r="J57" s="211"/>
      <c r="K57" s="211"/>
      <c r="L57" s="211"/>
      <c r="M57" s="211"/>
      <c r="N57" s="211"/>
      <c r="P57" s="211"/>
      <c r="Q57" s="211"/>
      <c r="R57" s="211"/>
    </row>
    <row r="58" spans="1:18" s="112" customFormat="1">
      <c r="A58" s="211"/>
      <c r="B58" s="211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P58" s="211"/>
      <c r="Q58" s="211"/>
      <c r="R58" s="211"/>
    </row>
    <row r="59" spans="1:18" s="112" customFormat="1" ht="16.5" thickBot="1">
      <c r="A59" s="211"/>
      <c r="B59" s="211"/>
      <c r="C59" s="211"/>
      <c r="D59" s="85" t="s">
        <v>132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98</v>
      </c>
      <c r="J59" s="211"/>
      <c r="K59" s="96" t="s">
        <v>302</v>
      </c>
      <c r="L59" s="96" t="s">
        <v>303</v>
      </c>
      <c r="M59" s="96"/>
      <c r="N59" s="211"/>
      <c r="P59" s="211"/>
      <c r="Q59" s="211"/>
      <c r="R59" s="211"/>
    </row>
    <row r="60" spans="1:18" s="112" customFormat="1">
      <c r="A60" s="211"/>
      <c r="B60" s="211"/>
      <c r="C60" s="211"/>
      <c r="D60" s="97" t="s">
        <v>86</v>
      </c>
      <c r="E60" s="98" t="str">
        <f>_xlfn.IFNA(VLOOKUP(MOD((($D$1-WEEKDAY($D$1,2)+1)-45523)/7+21,24),Shift!$A$2:$H$25,WEEKDAY($D$1,2)+1),VLOOKUP(24,Shift!$A$2:$H$25,WEEKDAY($D$1,2)+1))</f>
        <v>M1</v>
      </c>
      <c r="F60" s="98">
        <v>1</v>
      </c>
      <c r="G60" s="98">
        <v>1</v>
      </c>
      <c r="H60" s="98">
        <v>5</v>
      </c>
      <c r="I60" s="99">
        <f t="shared" ref="I60:I71" si="5">IF(OR($E60="L",$E60="L#"),0,SUM($F60:$H60))</f>
        <v>7</v>
      </c>
      <c r="J60" s="136" t="s">
        <v>86</v>
      </c>
      <c r="K60" s="112" t="str">
        <f>IF(AND($F60&gt;1,$F60&lt;&gt;"?"),$F60-1,"")</f>
        <v/>
      </c>
      <c r="L60" s="112" t="str">
        <f>IF(AND($G60&gt;1,$G60&lt;&gt;"?"),$G60-1,"")</f>
        <v/>
      </c>
      <c r="N60" s="211"/>
      <c r="P60" s="211"/>
      <c r="Q60" s="211"/>
      <c r="R60" s="211"/>
    </row>
    <row r="61" spans="1:18" s="112" customFormat="1">
      <c r="A61" s="211"/>
      <c r="B61" s="211"/>
      <c r="C61" s="211"/>
      <c r="D61" s="100" t="s">
        <v>85</v>
      </c>
      <c r="E61" s="101" t="str">
        <f>_xlfn.IFNA(VLOOKUP(MOD((($D$1-WEEKDAY($D$1,2)+1)-45523)/7+3,24),Shift!$A$2:$H$25,WEEKDAY($D$1,2)+1),VLOOKUP(24,Shift!$A$2:$H$25,WEEKDAY($D$1,2)+1))</f>
        <v>G1</v>
      </c>
      <c r="F61" s="101">
        <v>1</v>
      </c>
      <c r="G61" s="101">
        <v>1</v>
      </c>
      <c r="H61" s="101">
        <v>4</v>
      </c>
      <c r="I61" s="102">
        <f t="shared" si="5"/>
        <v>6</v>
      </c>
      <c r="J61" s="137" t="s">
        <v>85</v>
      </c>
      <c r="K61" s="112" t="str">
        <f t="shared" ref="K61:K71" si="6">IF(AND($F61&gt;1,$F61&lt;&gt;"?"),$F61-1,"")</f>
        <v/>
      </c>
      <c r="L61" s="112" t="str">
        <f t="shared" ref="L61:L71" si="7">IF(AND($G61&gt;1,$G61&lt;&gt;"?"),$G61-1,"")</f>
        <v/>
      </c>
      <c r="N61" s="211"/>
      <c r="P61" s="211"/>
      <c r="Q61" s="211"/>
      <c r="R61" s="211"/>
    </row>
    <row r="62" spans="1:18" s="112" customFormat="1">
      <c r="A62" s="211"/>
      <c r="B62" s="211"/>
      <c r="C62" s="211"/>
      <c r="D62" s="100" t="s">
        <v>99</v>
      </c>
      <c r="E62" s="101" t="str">
        <f>_xlfn.IFNA(VLOOKUP(MOD((($D$1-WEEKDAY($D$1,2)+1)-45523)/7+9,24),Shift!$A$2:$H$25,WEEKDAY($D$1,2)+1),VLOOKUP(24,Shift!$A$2:$H$25,WEEKDAY($D$1,2)+1))</f>
        <v>M @</v>
      </c>
      <c r="F62" s="101">
        <v>1</v>
      </c>
      <c r="G62" s="101">
        <v>1</v>
      </c>
      <c r="H62" s="101">
        <v>5</v>
      </c>
      <c r="I62" s="102">
        <f t="shared" si="5"/>
        <v>7</v>
      </c>
      <c r="J62" s="137" t="s">
        <v>99</v>
      </c>
      <c r="K62" s="112" t="str">
        <f t="shared" si="6"/>
        <v/>
      </c>
      <c r="L62" s="112" t="str">
        <f t="shared" si="7"/>
        <v/>
      </c>
      <c r="N62" s="211"/>
      <c r="P62" s="211"/>
      <c r="Q62" s="211"/>
      <c r="R62" s="211"/>
    </row>
    <row r="63" spans="1:18" ht="16.5" thickBot="1">
      <c r="D63" s="103" t="s">
        <v>100</v>
      </c>
      <c r="E63" s="104" t="str">
        <f>_xlfn.IFNA(VLOOKUP(MOD((($D$1-WEEKDAY($D$1,2)+1)-45523)/7+15,24),Shift!$A$2:$H$25,WEEKDAY($D$1,2)+1),VLOOKUP(24,Shift!$A$2:$H$25,WEEKDAY($D$1,2)+1))</f>
        <v>M</v>
      </c>
      <c r="F63" s="104">
        <v>1</v>
      </c>
      <c r="G63" s="104">
        <v>0</v>
      </c>
      <c r="H63" s="104">
        <v>5</v>
      </c>
      <c r="I63" s="105">
        <f t="shared" si="5"/>
        <v>6</v>
      </c>
      <c r="J63" s="138" t="s">
        <v>100</v>
      </c>
      <c r="K63" s="112" t="str">
        <f t="shared" si="6"/>
        <v/>
      </c>
      <c r="L63" s="112" t="str">
        <f t="shared" si="7"/>
        <v/>
      </c>
      <c r="M63" s="112"/>
    </row>
    <row r="64" spans="1:18">
      <c r="D64" s="97" t="s">
        <v>101</v>
      </c>
      <c r="E64" s="98" t="str">
        <f>_xlfn.IFNA(VLOOKUP(MOD((($D$1-WEEKDAY($D$1,2)+1)-45523)/7+19,24),Shift!$A$2:$H$25,WEEKDAY($D$1,2)+1),VLOOKUP(24,Shift!$A$2:$H$25,WEEKDAY($D$1,2)+1))</f>
        <v>A</v>
      </c>
      <c r="F64" s="98">
        <v>1</v>
      </c>
      <c r="G64" s="98">
        <v>0</v>
      </c>
      <c r="H64" s="98">
        <v>5</v>
      </c>
      <c r="I64" s="99">
        <f t="shared" si="5"/>
        <v>6</v>
      </c>
      <c r="J64" s="136" t="s">
        <v>101</v>
      </c>
      <c r="K64" s="112" t="str">
        <f t="shared" si="6"/>
        <v/>
      </c>
      <c r="L64" s="112" t="str">
        <f t="shared" si="7"/>
        <v/>
      </c>
      <c r="M64" s="112"/>
    </row>
    <row r="65" spans="4:13">
      <c r="D65" s="100" t="s">
        <v>102</v>
      </c>
      <c r="E65" s="101" t="str">
        <f>_xlfn.IFNA(VLOOKUP(MOD((($D$1-WEEKDAY($D$1,2)+1)-45523)/7+1,24),Shift!$A$2:$H$25,WEEKDAY($D$1,2)+1),VLOOKUP(24,Shift!$A$2:$H$25,WEEKDAY($D$1,2)+1))</f>
        <v>L</v>
      </c>
      <c r="F65" s="101">
        <f t="shared" ref="F65:H67" si="8">IF(OR($E65="L",$E65="L#"),0,"?")</f>
        <v>0</v>
      </c>
      <c r="G65" s="101">
        <f t="shared" si="8"/>
        <v>0</v>
      </c>
      <c r="H65" s="101">
        <f t="shared" si="8"/>
        <v>0</v>
      </c>
      <c r="I65" s="102">
        <f t="shared" si="5"/>
        <v>0</v>
      </c>
      <c r="J65" s="137" t="s">
        <v>102</v>
      </c>
      <c r="K65" s="112" t="str">
        <f t="shared" si="6"/>
        <v/>
      </c>
      <c r="L65" s="112" t="str">
        <f t="shared" si="7"/>
        <v/>
      </c>
      <c r="M65" s="112"/>
    </row>
    <row r="66" spans="4:13">
      <c r="D66" s="100" t="s">
        <v>103</v>
      </c>
      <c r="E66" s="101" t="str">
        <f>_xlfn.IFNA(VLOOKUP(MOD((($D$1-WEEKDAY($D$1,2)+1)-45523)/7+7,24),Shift!$A$2:$H$25,WEEKDAY($D$1,2)+1),VLOOKUP(24,Shift!$A$2:$H$25,WEEKDAY($D$1,2)+1))</f>
        <v>L</v>
      </c>
      <c r="F66" s="101">
        <f t="shared" si="8"/>
        <v>0</v>
      </c>
      <c r="G66" s="101">
        <f t="shared" si="8"/>
        <v>0</v>
      </c>
      <c r="H66" s="101">
        <f t="shared" si="8"/>
        <v>0</v>
      </c>
      <c r="I66" s="102">
        <f t="shared" si="5"/>
        <v>0</v>
      </c>
      <c r="J66" s="137" t="s">
        <v>103</v>
      </c>
      <c r="K66" s="112" t="str">
        <f t="shared" si="6"/>
        <v/>
      </c>
      <c r="L66" s="112" t="str">
        <f t="shared" si="7"/>
        <v/>
      </c>
      <c r="M66" s="112"/>
    </row>
    <row r="67" spans="4:13" ht="16.5" thickBot="1">
      <c r="D67" s="103" t="s">
        <v>104</v>
      </c>
      <c r="E67" s="104" t="str">
        <f>_xlfn.IFNA(VLOOKUP(MOD((($D$1-WEEKDAY($D$1,2)+1)-45523)/7+13,24),Shift!$A$2:$H$25,WEEKDAY($D$1,2)+1),VLOOKUP(24,Shift!$A$2:$H$25,WEEKDAY($D$1,2)+1))</f>
        <v>L</v>
      </c>
      <c r="F67" s="104">
        <f t="shared" si="8"/>
        <v>0</v>
      </c>
      <c r="G67" s="104">
        <f t="shared" si="8"/>
        <v>0</v>
      </c>
      <c r="H67" s="104">
        <f t="shared" si="8"/>
        <v>0</v>
      </c>
      <c r="I67" s="105">
        <f t="shared" si="5"/>
        <v>0</v>
      </c>
      <c r="J67" s="138" t="s">
        <v>104</v>
      </c>
      <c r="K67" s="112" t="str">
        <f t="shared" si="6"/>
        <v/>
      </c>
      <c r="L67" s="112" t="str">
        <f t="shared" si="7"/>
        <v/>
      </c>
      <c r="M67" s="112"/>
    </row>
    <row r="68" spans="4:13">
      <c r="D68" s="97" t="s">
        <v>105</v>
      </c>
      <c r="E68" s="98" t="str">
        <f>_xlfn.IFNA(VLOOKUP(MOD((($D$1-WEEKDAY($D$1,2)+1)-45523)/7+17,24),Shift!$A$2:$H$25,WEEKDAY($D$1,2)+1),VLOOKUP(24,Shift!$A$2:$H$25,WEEKDAY($D$1,2)+1))</f>
        <v>P1</v>
      </c>
      <c r="F68" s="98">
        <v>1</v>
      </c>
      <c r="G68" s="98">
        <v>1</v>
      </c>
      <c r="H68" s="98">
        <v>5</v>
      </c>
      <c r="I68" s="99">
        <f t="shared" si="5"/>
        <v>7</v>
      </c>
      <c r="J68" s="136" t="s">
        <v>105</v>
      </c>
      <c r="K68" s="112" t="str">
        <f t="shared" si="6"/>
        <v/>
      </c>
      <c r="L68" s="112" t="str">
        <f t="shared" si="7"/>
        <v/>
      </c>
      <c r="M68" s="112"/>
    </row>
    <row r="69" spans="4:13">
      <c r="D69" s="100" t="s">
        <v>106</v>
      </c>
      <c r="E69" s="101" t="str">
        <f>_xlfn.IFNA(VLOOKUP(MOD((($D$1-WEEKDAY($D$1,2)+1)-45523)/7+23,24),Shift!$A$2:$H$25,WEEKDAY($D$1,2)+1),VLOOKUP(24,Shift!$A$2:$H$25,WEEKDAY($D$1,2)+1))</f>
        <v>P1 @</v>
      </c>
      <c r="F69" s="101">
        <v>1</v>
      </c>
      <c r="G69" s="101">
        <v>1</v>
      </c>
      <c r="H69" s="101">
        <v>4</v>
      </c>
      <c r="I69" s="102">
        <f t="shared" si="5"/>
        <v>6</v>
      </c>
      <c r="J69" s="137" t="s">
        <v>106</v>
      </c>
      <c r="K69" s="112" t="str">
        <f t="shared" si="6"/>
        <v/>
      </c>
      <c r="L69" s="112" t="str">
        <f t="shared" si="7"/>
        <v/>
      </c>
      <c r="M69" s="112"/>
    </row>
    <row r="70" spans="4:13">
      <c r="D70" s="100" t="s">
        <v>107</v>
      </c>
      <c r="E70" s="101" t="str">
        <f>_xlfn.IFNA(VLOOKUP(MOD((($D$1-WEEKDAY($D$1,2)+1)-45523)/7+5,24),Shift!$A$2:$H$25,WEEKDAY($D$1,2)+1),VLOOKUP(24,Shift!$A$2:$H$25,WEEKDAY($D$1,2)+1))</f>
        <v>P4</v>
      </c>
      <c r="F70" s="101">
        <v>1</v>
      </c>
      <c r="G70" s="101">
        <v>1</v>
      </c>
      <c r="H70" s="101">
        <v>5</v>
      </c>
      <c r="I70" s="102">
        <f t="shared" si="5"/>
        <v>7</v>
      </c>
      <c r="J70" s="137" t="s">
        <v>107</v>
      </c>
      <c r="K70" s="112" t="str">
        <f t="shared" si="6"/>
        <v/>
      </c>
      <c r="L70" s="112" t="str">
        <f t="shared" si="7"/>
        <v/>
      </c>
      <c r="M70" s="112"/>
    </row>
    <row r="71" spans="4:13" ht="16.5" thickBot="1">
      <c r="D71" s="103" t="s">
        <v>108</v>
      </c>
      <c r="E71" s="104" t="str">
        <f>_xlfn.IFNA(VLOOKUP(MOD((($D$1-WEEKDAY($D$1,2)+1)-45523)/7+11,24),Shift!$A$2:$H$25,WEEKDAY($D$1,2)+1),VLOOKUP(24,Shift!$A$2:$H$25,WEEKDAY($D$1,2)+1))</f>
        <v>P1</v>
      </c>
      <c r="F71" s="104">
        <v>1</v>
      </c>
      <c r="G71" s="104">
        <v>1</v>
      </c>
      <c r="H71" s="104">
        <v>4</v>
      </c>
      <c r="I71" s="105">
        <f t="shared" si="5"/>
        <v>6</v>
      </c>
      <c r="J71" s="138" t="s">
        <v>108</v>
      </c>
      <c r="K71" s="112" t="str">
        <f t="shared" si="6"/>
        <v/>
      </c>
      <c r="L71" s="112" t="str">
        <f t="shared" si="7"/>
        <v/>
      </c>
      <c r="M71" s="112"/>
    </row>
    <row r="72" spans="4:13">
      <c r="D72" s="144" t="s">
        <v>86</v>
      </c>
      <c r="E72" s="98" t="s">
        <v>127</v>
      </c>
      <c r="F72" s="98"/>
      <c r="G72" s="98"/>
      <c r="H72" s="98"/>
      <c r="I72" s="99">
        <f>IF(OR($E72="L",$E72="L#",$E72="?"),0,SUM($F72:$H72))</f>
        <v>0</v>
      </c>
      <c r="J72" s="211"/>
    </row>
    <row r="73" spans="4:13">
      <c r="D73" s="145" t="s">
        <v>137</v>
      </c>
      <c r="E73" s="101" t="s">
        <v>127</v>
      </c>
      <c r="F73" s="101"/>
      <c r="G73" s="101"/>
      <c r="H73" s="101"/>
      <c r="I73" s="102">
        <f>IF(OR($E73="L",$E73="L#",$E73="?"),0,SUM($F73:$H73))</f>
        <v>0</v>
      </c>
      <c r="J73" s="211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211"/>
    </row>
    <row r="75" spans="4:13" ht="16.5" thickBot="1">
      <c r="D75" s="146" t="s">
        <v>137</v>
      </c>
      <c r="E75" s="104" t="s">
        <v>127</v>
      </c>
      <c r="F75" s="106"/>
      <c r="G75" s="106"/>
      <c r="H75" s="106"/>
      <c r="I75" s="105">
        <f>IF(OR($E75="L",$E75="L#",$E75="?"),0,SUM($F75:$H75))</f>
        <v>0</v>
      </c>
      <c r="J75" s="211"/>
    </row>
    <row r="76" spans="4:13">
      <c r="D76" s="211"/>
      <c r="E76" s="96" t="s">
        <v>98</v>
      </c>
      <c r="F76" s="96" t="str">
        <f>SUM($F$60:$F$75)&amp;IF(SUM($F$60:$H$75)&gt;$I$76,"?","")</f>
        <v>9</v>
      </c>
      <c r="G76" s="96" t="str">
        <f>SUM($G$60:$G$75)&amp;IF(SUM($F$60:$H$75)&gt;$I$76,"?","")</f>
        <v>7</v>
      </c>
      <c r="H76" s="96" t="str">
        <f>SUM($H$60:$H$75)&amp;IF(SUM($F$60:$H$75)&gt;$I$76,"?","")</f>
        <v>42</v>
      </c>
      <c r="I76" s="96">
        <f>SUM(I60:I75)</f>
        <v>58</v>
      </c>
      <c r="J76" s="211"/>
    </row>
    <row r="77" spans="4:13">
      <c r="D77" s="211"/>
      <c r="E77" s="211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211"/>
      <c r="J77" s="211"/>
    </row>
    <row r="79" spans="4:13">
      <c r="D79" s="410" t="s">
        <v>281</v>
      </c>
      <c r="E79" s="410"/>
      <c r="F79" s="410"/>
    </row>
    <row r="80" spans="4:13">
      <c r="D80" s="49" t="str">
        <f>IF(Flight!$A$68=0,"",Flight!$A$68)</f>
        <v/>
      </c>
      <c r="E80" s="163"/>
      <c r="F80" s="164" t="str">
        <f>IF(D80="","",VLOOKUP(D80,Flight!$A$68:$C$91,3,FALSE))</f>
        <v/>
      </c>
    </row>
    <row r="81" spans="4:6">
      <c r="D81" s="49" t="str">
        <f>IF(Flight!$A69=0,"",Flight!$A69)</f>
        <v/>
      </c>
      <c r="F81" s="164" t="str">
        <f>IF(D81="","",VLOOKUP(D81,Flight!$A$68:$C$91,3,FALSE))</f>
        <v/>
      </c>
    </row>
    <row r="82" spans="4:6">
      <c r="D82" s="49" t="str">
        <f>IF(Flight!$A71=0,"",Flight!$A71)</f>
        <v>3A031</v>
      </c>
      <c r="F82" s="164" t="str">
        <f>IF(D82="","",VLOOKUP(D82,Flight!$A$68:$C$91,3,FALSE))</f>
        <v>ZTI</v>
      </c>
    </row>
    <row r="83" spans="4:6">
      <c r="D83" s="49" t="str">
        <f>IF(Flight!$A72=0,"",Flight!$A72)</f>
        <v>3A003</v>
      </c>
      <c r="F83" s="164" t="str">
        <f>IF(D83="","",VLOOKUP(D83,Flight!$A$68:$C$91,3,FALSE))</f>
        <v>ZYK</v>
      </c>
    </row>
    <row r="84" spans="4:6">
      <c r="D84" s="49" t="str">
        <f>IF(Flight!$A73=0,"",Flight!$A73)</f>
        <v>3A005</v>
      </c>
      <c r="F84" s="164" t="str">
        <f>IF(D84="","",VLOOKUP(D84,Flight!$A$68:$C$91,3,FALSE))</f>
        <v>HKM</v>
      </c>
    </row>
    <row r="85" spans="4:6">
      <c r="D85" s="49" t="str">
        <f>IF(Flight!$A74=0,"",Flight!$A74)</f>
        <v>3A007</v>
      </c>
      <c r="F85" s="164" t="str">
        <f>IF(D85="","",VLOOKUP(D85,Flight!$A$68:$C$91,3,FALSE))</f>
        <v>ZYK</v>
      </c>
    </row>
    <row r="86" spans="4:6">
      <c r="D86" s="49" t="str">
        <f>IF(Flight!$A75=0,"",Flight!$A75)</f>
        <v>3A008</v>
      </c>
      <c r="F86" s="164" t="str">
        <f>IF(D86="","",VLOOKUP(D86,Flight!$A$68:$C$91,3,FALSE))</f>
        <v>ZYK</v>
      </c>
    </row>
    <row r="87" spans="4:6">
      <c r="D87" s="49" t="str">
        <f>IF(Flight!$A76=0,"",Flight!$A76)</f>
        <v>3A009</v>
      </c>
      <c r="F87" s="164" t="str">
        <f>IF(D87="","",VLOOKUP(D87,Flight!$A$68:$C$91,3,FALSE))</f>
        <v>ZYK</v>
      </c>
    </row>
    <row r="88" spans="4:6">
      <c r="D88" s="49" t="str">
        <f>IF(Flight!$A77=0,"",Flight!$A77)</f>
        <v>3A010</v>
      </c>
      <c r="F88" s="164" t="str">
        <f>IF(D88="","",VLOOKUP(D88,Flight!$A$68:$C$91,3,FALSE))</f>
        <v>ZYK</v>
      </c>
    </row>
    <row r="89" spans="4:6">
      <c r="D89" s="49" t="str">
        <f>IF(Flight!$A78=0,"",Flight!$A78)</f>
        <v/>
      </c>
      <c r="F89" s="164" t="str">
        <f>IF(D89="","",VLOOKUP(D89,Flight!$A$68:$C$91,3,FALSE))</f>
        <v/>
      </c>
    </row>
    <row r="90" spans="4:6">
      <c r="D90" s="49" t="str">
        <f>IF(Flight!$A80=0,"",Flight!$A80)</f>
        <v>8S7121</v>
      </c>
      <c r="F90" s="164" t="str">
        <f>IF(D90="","",VLOOKUP(D90,Flight!$A$68:$C$91,3,FALSE))</f>
        <v>HKM</v>
      </c>
    </row>
    <row r="91" spans="4:6">
      <c r="D91" s="49" t="str">
        <f>IF(Flight!$A81=0,"",Flight!$A81)</f>
        <v>8S7108</v>
      </c>
      <c r="F91" s="164" t="str">
        <f>IF(D91="","",VLOOKUP(D91,Flight!$A$68:$C$91,3,FALSE))</f>
        <v>ZYK</v>
      </c>
    </row>
    <row r="92" spans="4:6">
      <c r="D92" s="49" t="str">
        <f>IF(Flight!$A82=0,"",Flight!$A82)</f>
        <v>8S7111</v>
      </c>
      <c r="F92" s="164" t="str">
        <f>IF(D92="","",VLOOKUP(D92,Flight!$A$68:$C$91,3,FALSE))</f>
        <v>ZYK</v>
      </c>
    </row>
    <row r="93" spans="4:6">
      <c r="D93" s="49" t="str">
        <f>IF(Flight!$A83=0,"",Flight!$A83)</f>
        <v>8S7131</v>
      </c>
      <c r="F93" s="164" t="str">
        <f>IF(D93="","",VLOOKUP(D93,Flight!$A$68:$C$91,3,FALSE))</f>
        <v>?</v>
      </c>
    </row>
    <row r="94" spans="4:6">
      <c r="D94" s="49" t="str">
        <f>IF(Flight!$A84=0,"",Flight!$A84)</f>
        <v>8S7119</v>
      </c>
      <c r="F94" s="164" t="str">
        <f>IF(D94="","",VLOOKUP(D94,Flight!$A$68:$C$91,3,FALSE))</f>
        <v>HKM</v>
      </c>
    </row>
    <row r="95" spans="4:6">
      <c r="D95" s="49" t="str">
        <f>IF(Flight!$A85=0,"",Flight!$A85)</f>
        <v>8S7126</v>
      </c>
      <c r="F95" s="164" t="str">
        <f>IF(D95="","",VLOOKUP(D95,Flight!$A$68:$C$91,3,FALSE))</f>
        <v>HKM</v>
      </c>
    </row>
    <row r="96" spans="4:6">
      <c r="D96" s="49" t="str">
        <f>IF(Flight!$A86=0,"",Flight!$A86)</f>
        <v>8S7128</v>
      </c>
      <c r="F96" s="164" t="str">
        <f>IF(D96="","",VLOOKUP(D96,Flight!$A$68:$C$91,3,FALSE))</f>
        <v>HKM</v>
      </c>
    </row>
    <row r="97" spans="4:6">
      <c r="D97" s="49" t="str">
        <f>IF(Flight!$A87=0,"",Flight!$A87)</f>
        <v>3A8010</v>
      </c>
      <c r="F97" s="164" t="str">
        <f>IF(D97="","",VLOOKUP(D97,Flight!$A$68:$C$91,3,FALSE))</f>
        <v>HZI</v>
      </c>
    </row>
    <row r="98" spans="4:6">
      <c r="D98" s="49" t="str">
        <f>IF(Flight!$A88=0,"",Flight!$A88)</f>
        <v>3A8015</v>
      </c>
      <c r="F98" s="164" t="str">
        <f>IF(D98="","",VLOOKUP(D98,Flight!$A$68:$C$91,3,FALSE))</f>
        <v>?</v>
      </c>
    </row>
    <row r="99" spans="4:6">
      <c r="D99" s="49" t="str">
        <f>IF(Flight!$A89=0,"",Flight!$A89)</f>
        <v>3A8016</v>
      </c>
      <c r="F99" s="164" t="str">
        <f>IF(D99="","",VLOOKUP(D99,Flight!$A$68:$C$91,3,FALSE))</f>
        <v>HZI</v>
      </c>
    </row>
    <row r="100" spans="4:6">
      <c r="D100" s="49" t="str">
        <f>IF(Flight!$A91=0,"",Flight!$A91)</f>
        <v xml:space="preserve">Last </v>
      </c>
      <c r="F100" s="164" t="str">
        <f>IF(D100="","",VLOOKUP(D100,Flight!$A$68:$C$91,3,FALSE))</f>
        <v>↑</v>
      </c>
    </row>
    <row r="101" spans="4:6">
      <c r="D101" s="49" t="str">
        <f>IF(Flight!$A92=0,"",Flight!$A92)</f>
        <v/>
      </c>
      <c r="F101" s="164" t="str">
        <f>IF(D101="","",VLOOKUP(D101,Flight!$A$68:$C$91,3,FALSE))</f>
        <v/>
      </c>
    </row>
    <row r="102" spans="4:6">
      <c r="D102" s="186"/>
      <c r="F102" s="187"/>
    </row>
    <row r="103" spans="4:6">
      <c r="D103" s="406" t="str">
        <f>IF(Flight!$A$93=0,"",Flight!$A$93)</f>
        <v>Target Flight</v>
      </c>
      <c r="E103" s="406"/>
      <c r="F103" s="406"/>
    </row>
    <row r="104" spans="4:6">
      <c r="D104" s="27" t="s">
        <v>59</v>
      </c>
      <c r="E104" s="158"/>
      <c r="F104" s="10" t="s">
        <v>38</v>
      </c>
    </row>
    <row r="105" spans="4:6">
      <c r="D105" s="27" t="s">
        <v>89</v>
      </c>
      <c r="E105" s="158"/>
      <c r="F105" s="10" t="s">
        <v>38</v>
      </c>
    </row>
    <row r="106" spans="4:6">
      <c r="D106" s="27" t="s">
        <v>254</v>
      </c>
      <c r="E106" s="158"/>
      <c r="F106" s="10" t="s">
        <v>38</v>
      </c>
    </row>
    <row r="107" spans="4:6">
      <c r="D107" s="27" t="s">
        <v>57</v>
      </c>
      <c r="E107" s="158"/>
      <c r="F107" s="10" t="s">
        <v>58</v>
      </c>
    </row>
    <row r="108" spans="4:6">
      <c r="D108" s="27" t="s">
        <v>198</v>
      </c>
      <c r="E108" s="158"/>
      <c r="F108" s="10" t="s">
        <v>199</v>
      </c>
    </row>
    <row r="109" spans="4:6">
      <c r="D109" s="27" t="s">
        <v>55</v>
      </c>
      <c r="E109" s="158"/>
      <c r="F109" s="10" t="s">
        <v>54</v>
      </c>
    </row>
    <row r="110" spans="4:6">
      <c r="D110" s="27" t="s">
        <v>39</v>
      </c>
      <c r="E110" s="158"/>
      <c r="F110" s="10" t="s">
        <v>38</v>
      </c>
    </row>
    <row r="111" spans="4:6">
      <c r="D111" s="27" t="s">
        <v>200</v>
      </c>
      <c r="E111" s="158"/>
      <c r="F111" s="10" t="s">
        <v>54</v>
      </c>
    </row>
    <row r="112" spans="4:6">
      <c r="D112" s="27" t="s">
        <v>201</v>
      </c>
      <c r="E112" s="158"/>
      <c r="F112" s="10" t="s">
        <v>38</v>
      </c>
    </row>
    <row r="113" spans="4:6">
      <c r="D113" s="161" t="s">
        <v>538</v>
      </c>
      <c r="E113" s="158"/>
      <c r="F113" s="159" t="s">
        <v>566</v>
      </c>
    </row>
    <row r="114" spans="4:6">
      <c r="D114" s="161"/>
      <c r="E114" s="158"/>
      <c r="F114" s="159"/>
    </row>
  </sheetData>
  <mergeCells count="79">
    <mergeCell ref="K37:M37"/>
    <mergeCell ref="F37:G37"/>
    <mergeCell ref="D103:F103"/>
    <mergeCell ref="A53:B53"/>
    <mergeCell ref="C53:E53"/>
    <mergeCell ref="H53:I53"/>
    <mergeCell ref="C54:H54"/>
    <mergeCell ref="I55:J55"/>
    <mergeCell ref="D79:F79"/>
    <mergeCell ref="A51:B51"/>
    <mergeCell ref="C51:E51"/>
    <mergeCell ref="F51:G51"/>
    <mergeCell ref="H51:I51"/>
    <mergeCell ref="K51:M51"/>
    <mergeCell ref="K47:M47"/>
    <mergeCell ref="C48:E48"/>
    <mergeCell ref="G48:I48"/>
    <mergeCell ref="K48:M48"/>
    <mergeCell ref="D52:E52"/>
    <mergeCell ref="F52:G52"/>
    <mergeCell ref="H52:I52"/>
    <mergeCell ref="D49:I49"/>
    <mergeCell ref="K49:M49"/>
    <mergeCell ref="F50:I50"/>
    <mergeCell ref="K50:M50"/>
    <mergeCell ref="A44:B44"/>
    <mergeCell ref="D44:E44"/>
    <mergeCell ref="G44:H44"/>
    <mergeCell ref="I44:J44"/>
    <mergeCell ref="A50:B50"/>
    <mergeCell ref="C50:E50"/>
    <mergeCell ref="D46:E46"/>
    <mergeCell ref="G46:H46"/>
    <mergeCell ref="I46:J46"/>
    <mergeCell ref="A45:B45"/>
    <mergeCell ref="D45:E45"/>
    <mergeCell ref="G45:H45"/>
    <mergeCell ref="I45:J45"/>
    <mergeCell ref="A47:B47"/>
    <mergeCell ref="C47:E47"/>
    <mergeCell ref="G47:I47"/>
    <mergeCell ref="K45:M45"/>
    <mergeCell ref="A41:F41"/>
    <mergeCell ref="I41:M42"/>
    <mergeCell ref="A42:H42"/>
    <mergeCell ref="A6:A7"/>
    <mergeCell ref="B6:C6"/>
    <mergeCell ref="D6:D7"/>
    <mergeCell ref="E6:E7"/>
    <mergeCell ref="F6:F7"/>
    <mergeCell ref="G6:G7"/>
    <mergeCell ref="K44:M44"/>
    <mergeCell ref="H6:H7"/>
    <mergeCell ref="I6:I7"/>
    <mergeCell ref="J6:J7"/>
    <mergeCell ref="K6:M6"/>
    <mergeCell ref="A43:H43"/>
    <mergeCell ref="L4:M4"/>
    <mergeCell ref="B5:C5"/>
    <mergeCell ref="D5:E5"/>
    <mergeCell ref="F5:G5"/>
    <mergeCell ref="H5:I5"/>
    <mergeCell ref="J5:K5"/>
    <mergeCell ref="K8:M8"/>
    <mergeCell ref="D1:E1"/>
    <mergeCell ref="D2:E2"/>
    <mergeCell ref="G2:I2"/>
    <mergeCell ref="B3:C3"/>
    <mergeCell ref="D3:E3"/>
    <mergeCell ref="F3:G3"/>
    <mergeCell ref="H3:I3"/>
    <mergeCell ref="L5:M5"/>
    <mergeCell ref="J3:K3"/>
    <mergeCell ref="L3:M3"/>
    <mergeCell ref="B4:C4"/>
    <mergeCell ref="D4:E4"/>
    <mergeCell ref="F4:G4"/>
    <mergeCell ref="H4:I4"/>
    <mergeCell ref="J4:K4"/>
  </mergeCells>
  <phoneticPr fontId="2" type="noConversion"/>
  <conditionalFormatting sqref="H9:H40 E9:E40">
    <cfRule type="cellIs" dxfId="182" priority="5" operator="equal">
      <formula>""</formula>
    </cfRule>
  </conditionalFormatting>
  <conditionalFormatting sqref="F60:H77">
    <cfRule type="cellIs" dxfId="181" priority="4" operator="equal">
      <formula>"?"</formula>
    </cfRule>
  </conditionalFormatting>
  <conditionalFormatting sqref="D40:D112 D114:D997">
    <cfRule type="duplicateValues" dxfId="180" priority="48"/>
  </conditionalFormatting>
  <conditionalFormatting sqref="D9:D39">
    <cfRule type="duplicateValues" dxfId="179" priority="96"/>
  </conditionalFormatting>
  <conditionalFormatting sqref="D113">
    <cfRule type="duplicateValues" dxfId="178" priority="1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Staff!$B$15:$B$39</xm:f>
          </x14:formula1>
          <xm:sqref>D44:E44</xm:sqref>
        </x14:dataValidation>
        <x14:dataValidation type="list" errorStyle="warning" allowBlank="1" showInputMessage="1">
          <x14:formula1>
            <xm:f>Staff!$B$15:$B$39</xm:f>
          </x14:formula1>
          <xm:sqref>D45:E45</xm:sqref>
        </x14:dataValidation>
        <x14:dataValidation type="list" allowBlank="1" showInputMessage="1" showErrorMessage="1">
          <x14:formula1>
            <xm:f>Staff!$G$23:$G$52</xm:f>
          </x14:formula1>
          <xm:sqref>K47:M51</xm:sqref>
        </x14:dataValidation>
        <x14:dataValidation type="list" allowBlank="1" showInputMessage="1">
          <x14:formula1>
            <xm:f>Staff!$G$12:$G$52</xm:f>
          </x14:formula1>
          <xm:sqref>G47:I48</xm:sqref>
        </x14:dataValidation>
        <x14:dataValidation type="list" allowBlank="1" showInputMessage="1">
          <x14:formula1>
            <xm:f>Staff!$G$2:$G$9</xm:f>
          </x14:formula1>
          <xm:sqref>K44:M45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5"/>
  <sheetViews>
    <sheetView view="pageBreakPreview" topLeftCell="A6" zoomScale="80" zoomScaleNormal="100" zoomScaleSheetLayoutView="80" workbookViewId="0">
      <selection activeCell="A9" sqref="A9"/>
    </sheetView>
  </sheetViews>
  <sheetFormatPr defaultRowHeight="15.75"/>
  <cols>
    <col min="1" max="1" width="9.125" style="211" customWidth="1"/>
    <col min="2" max="2" width="10.25" style="211" customWidth="1"/>
    <col min="3" max="3" width="9.75" style="211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02" customWidth="1"/>
    <col min="9" max="9" width="9" style="54" customWidth="1"/>
    <col min="10" max="10" width="9.125" style="54" customWidth="1"/>
    <col min="11" max="13" width="9.125" style="211" customWidth="1"/>
    <col min="14" max="14" width="9" style="211"/>
    <col min="15" max="15" width="10.75" style="112" bestFit="1" customWidth="1"/>
    <col min="16" max="16" width="12.25" style="211" bestFit="1" customWidth="1"/>
    <col min="17" max="16384" width="9" style="211"/>
  </cols>
  <sheetData>
    <row r="1" spans="1:16">
      <c r="A1" s="201"/>
      <c r="B1" s="201"/>
      <c r="C1" s="108" t="s">
        <v>20</v>
      </c>
      <c r="D1" s="355">
        <v>45749</v>
      </c>
      <c r="E1" s="355"/>
      <c r="F1" s="203" t="s">
        <v>23</v>
      </c>
      <c r="G1" s="110">
        <f>D1</f>
        <v>45749</v>
      </c>
      <c r="H1" s="210" t="s">
        <v>24</v>
      </c>
      <c r="I1" s="206"/>
      <c r="J1" s="206"/>
      <c r="K1" s="201"/>
      <c r="L1" s="201"/>
      <c r="M1" s="47"/>
    </row>
    <row r="2" spans="1:16" ht="17.25" customHeight="1" thickBot="1">
      <c r="A2" s="201"/>
      <c r="B2" s="201"/>
      <c r="C2" s="201"/>
      <c r="D2" s="356"/>
      <c r="E2" s="356"/>
      <c r="F2" s="206"/>
      <c r="G2" s="357"/>
      <c r="H2" s="357"/>
      <c r="I2" s="357"/>
      <c r="J2" s="206"/>
      <c r="K2" s="201"/>
      <c r="L2" s="201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S11(7) </v>
      </c>
      <c r="C4" s="367"/>
      <c r="D4" s="366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S3(7)  &lt;S4(6)&gt;  </v>
      </c>
      <c r="E4" s="367"/>
      <c r="F4" s="366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 xml:space="preserve">S2(7) </v>
      </c>
      <c r="G4" s="367"/>
      <c r="H4" s="366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S1(6) </v>
      </c>
      <c r="I4" s="367"/>
      <c r="J4" s="366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S7(8)  &lt;S8(7)&gt;  </v>
      </c>
      <c r="K4" s="367"/>
      <c r="L4" s="366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S6(7)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08" t="s">
        <v>52</v>
      </c>
      <c r="C7" s="208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>IF($E8&lt;&gt;"",IF($E8-715&lt;0,VLOOKUP($B$3,$E$61:$J$72,6,FALSE),IF(AND($E8-2130&gt;0,_xlfn.IFNA(MATCH($D8,$D$105:$D$115,0)&lt;20,"")=TRUE),VLOOKUP($L$3,$E$61:$J$72,6,FALSE),"-")),"")</f>
        <v>S11</v>
      </c>
      <c r="C8" s="9" t="str">
        <f t="shared" ref="C8:C16" si="0">IF($E8&lt;&gt;"",IF(ISNUMBER(SEARCH("Hall Operation",$K8)),"-",IF($E8-715&lt;0,VLOOKUP($B$3,$E$61:$J$72,6,FALSE),IF($E8-2129&gt;0,VLOOKUP($L$3,$E$61:$J$72,6,FALSE),""))),"")</f>
        <v>-</v>
      </c>
      <c r="D8" s="27" t="s">
        <v>499</v>
      </c>
      <c r="E8" s="172">
        <v>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16" si="1">IF($D8=0,"",IF(OR(ISNUMBER(SEARCH("S",$B8)),_xlfn.IFNA(MATCH($D8,$D$105:$D$115,0)&lt;20,"")=TRUE),"&lt;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>IF($F9="Wavied","-",IF($D9=0,"",ROW($A9)-ROW($A$8)+1-COUNTIF($A$8:$A8,"@")-COUNTIF($A$8:$A8,"-")))</f>
        <v>2</v>
      </c>
      <c r="B9" s="9" t="str">
        <f>IF($E9&lt;&gt;"",IF($E9-715&lt;0,VLOOKUP($B$3,$E$61:$J$72,6,FALSE),IF(AND($E9-2130&gt;0,_xlfn.IFNA(MATCH($D9,$D$105:$D$115,0)&lt;20,"")=TRUE),VLOOKUP($L$3,$E$61:$J$72,6,FALSE),"-")),"")</f>
        <v>S11</v>
      </c>
      <c r="C9" s="9" t="str">
        <f t="shared" si="0"/>
        <v>-</v>
      </c>
      <c r="D9" s="27" t="s">
        <v>500</v>
      </c>
      <c r="E9" s="172">
        <v>545</v>
      </c>
      <c r="F9" s="45"/>
      <c r="G9" s="43" t="str">
        <f t="shared" ref="G9:G41" si="2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1"/>
        <v>&lt;   Hall Operation   &gt;</v>
      </c>
      <c r="L9" s="166"/>
      <c r="M9" s="166"/>
    </row>
    <row r="10" spans="1:16">
      <c r="A10" s="9">
        <f>IF($F10="Wavied","-",IF($D10=0,"",ROW($A10)-ROW($A$8)+1-COUNTIF($A$8:$A9,"@")-COUNTIF($A$8:$A9,"-")))</f>
        <v>3</v>
      </c>
      <c r="B10" s="9" t="str">
        <f>IF($E10&lt;&gt;"",IF($E10-715&lt;0,VLOOKUP($B$3,$E$61:$J$72,6,FALSE),IF(AND($E10-2130&gt;0,_xlfn.IFNA(MATCH($D10,$D$105:$D$115,0)&lt;20,"")=TRUE),VLOOKUP($L$3,$E$61:$J$72,6,FALSE),"-")),"")</f>
        <v>S11</v>
      </c>
      <c r="C10" s="9" t="str">
        <f t="shared" si="0"/>
        <v>-</v>
      </c>
      <c r="D10" s="27" t="s">
        <v>501</v>
      </c>
      <c r="E10" s="172">
        <v>555</v>
      </c>
      <c r="F10" s="45"/>
      <c r="G10" s="43" t="str">
        <f t="shared" si="2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1"/>
        <v>&lt;   Hall Operation   &gt;</v>
      </c>
      <c r="L10" s="166"/>
      <c r="M10" s="166"/>
    </row>
    <row r="11" spans="1:16">
      <c r="A11" s="9">
        <f>IF($F11="Wavied","-",IF($D11=0,"",ROW($A11)-ROW($A$8)+1-COUNTIF($A$8:$A10,"@")-COUNTIF($A$8:$A10,"-")))</f>
        <v>4</v>
      </c>
      <c r="B11" s="9" t="str">
        <f>IF($E11&lt;&gt;"",IF($E11-715&lt;0,VLOOKUP($B$3,$E$61:$J$72,6,FALSE),IF(AND($E11-2130&gt;0,_xlfn.IFNA(MATCH($D11,$D$105:$D$115,0)&lt;20,"")=TRUE),VLOOKUP($L$3,$E$61:$J$72,6,FALSE),"-")),"")</f>
        <v>S11</v>
      </c>
      <c r="C11" s="9" t="str">
        <f t="shared" si="0"/>
        <v>-</v>
      </c>
      <c r="D11" s="27" t="s">
        <v>502</v>
      </c>
      <c r="E11" s="172">
        <v>615</v>
      </c>
      <c r="F11" s="43"/>
      <c r="G11" s="43" t="str">
        <f t="shared" si="2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1"/>
        <v>&lt;   Hall Operation   &gt;</v>
      </c>
      <c r="L11" s="166"/>
      <c r="M11" s="166"/>
    </row>
    <row r="12" spans="1:16">
      <c r="A12" s="9">
        <f>IF($F12="Wavied","-",IF($D12=0,"",ROW($A12)-ROW($A$8)+1-COUNTIF($A$8:$A11,"@")-COUNTIF($A$8:$A11,"-")))</f>
        <v>5</v>
      </c>
      <c r="B12" s="9" t="str">
        <f>IF($E12&lt;&gt;"",IF($E12-715&lt;0,VLOOKUP($B$3,$E$61:$J$72,6,FALSE),IF(AND($E12-2130&gt;0,_xlfn.IFNA(MATCH($D12,$D$105:$D$115,0)&lt;20,"")=TRUE),VLOOKUP($L$3,$E$61:$J$72,6,FALSE),"-")),"")</f>
        <v>S11</v>
      </c>
      <c r="C12" s="9" t="str">
        <f t="shared" si="0"/>
        <v>-</v>
      </c>
      <c r="D12" s="27" t="s">
        <v>503</v>
      </c>
      <c r="E12" s="172">
        <v>700</v>
      </c>
      <c r="F12" s="46"/>
      <c r="G12" s="43" t="str">
        <f t="shared" si="2"/>
        <v/>
      </c>
      <c r="H12" s="44" t="str">
        <f>IF($D12&gt;0,VLOOKUP($D12,Flight!$A$1:$E$91,3,FALSE),"")</f>
        <v>BOM</v>
      </c>
      <c r="I12" s="44" t="str">
        <f>IF($D12&gt;0,IF(VLOOKUP($D12,Flight!$A$1:$E$91,4,FALSE)&gt;1,VLOOKUP($D12,Flight!$A$1:$E96,4,FALSE),""),"")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1"/>
        <v>&lt;   Hall Operation   &gt;</v>
      </c>
      <c r="L12" s="166"/>
      <c r="M12" s="166"/>
      <c r="P12" s="87"/>
    </row>
    <row r="13" spans="1:16">
      <c r="A13" s="9">
        <f>IF($F13="Wavied","-",IF($D13=0,"",ROW($A13)-ROW($A$8)+1-COUNTIF($A$8:$A12,"@")-COUNTIF($A$8:$A12,"-")))</f>
        <v>6</v>
      </c>
      <c r="B13" s="9" t="s">
        <v>518</v>
      </c>
      <c r="C13" s="9" t="str">
        <f t="shared" si="0"/>
        <v>-</v>
      </c>
      <c r="D13" s="27" t="s">
        <v>369</v>
      </c>
      <c r="E13" s="172">
        <v>905</v>
      </c>
      <c r="F13" s="46"/>
      <c r="G13" s="43" t="str">
        <f t="shared" si="2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IF($D13&gt;0,IF(VLOOKUP($D13,Flight!$A$1:$E$91,4,FALSE)&gt;1,VLOOKUP($D13,Flight!$A$1:$E97,4,FALSE),""),"")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1"/>
        <v>&lt;   Hall Operation   &gt;</v>
      </c>
      <c r="L13" s="166"/>
      <c r="M13" s="166"/>
    </row>
    <row r="14" spans="1:16">
      <c r="A14" s="9">
        <f>IF($F14="Wavied","-",IF($D14=0,"",ROW($A14)-ROW($A$8)+1-COUNTIF($A$8:$A13,"@")-COUNTIF($A$8:$A13,"-")))</f>
        <v>7</v>
      </c>
      <c r="B14" s="9" t="s">
        <v>519</v>
      </c>
      <c r="C14" s="9" t="str">
        <f t="shared" si="0"/>
        <v>-</v>
      </c>
      <c r="D14" s="27" t="s">
        <v>370</v>
      </c>
      <c r="E14" s="172">
        <v>935</v>
      </c>
      <c r="F14" s="46"/>
      <c r="G14" s="43" t="str">
        <f t="shared" si="2"/>
        <v/>
      </c>
      <c r="H14" s="44" t="str">
        <f>IF($D14&gt;0,VLOOKUP($D14,Flight!$A$1:$E$91,3,FALSE),"")</f>
        <v>BLR</v>
      </c>
      <c r="I14" s="44" t="str">
        <f>IF($D14&gt;0,IF(VLOOKUP($D14,Flight!$A$1:$E$91,4,FALSE)&gt;1,VLOOKUP($D14,Flight!$A$1:$E98,4,FALSE),""),"")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1"/>
        <v>&lt;   Hall Operation   &gt;</v>
      </c>
      <c r="L14" s="166"/>
      <c r="M14" s="166"/>
      <c r="O14" s="114"/>
    </row>
    <row r="15" spans="1:16" ht="16.5" customHeight="1">
      <c r="A15" s="9">
        <f>IF($F15="Wavied","-",IF($D15=0,"",ROW($A15)-ROW($A$8)+1-COUNTIF($A$8:$A14,"@")-COUNTIF($A$8:$A14,"-")))</f>
        <v>8</v>
      </c>
      <c r="B15" s="9" t="s">
        <v>520</v>
      </c>
      <c r="C15" s="9" t="str">
        <f t="shared" si="0"/>
        <v>-</v>
      </c>
      <c r="D15" s="27" t="s">
        <v>394</v>
      </c>
      <c r="E15" s="172">
        <v>950</v>
      </c>
      <c r="F15" s="45"/>
      <c r="G15" s="43" t="str">
        <f t="shared" si="2"/>
        <v/>
      </c>
      <c r="H15" s="44" t="str">
        <f>IF($D15&gt;0,VLOOKUP($D15,Flight!$A$1:$E$91,3,FALSE),"")</f>
        <v>MAA</v>
      </c>
      <c r="I15" s="44" t="str">
        <f>IF($D15&gt;0,IF(VLOOKUP($D15,Flight!$A$1:$E$91,4,FALSE)&gt;1,VLOOKUP($D15,Flight!$A$1:$E100,4,FALSE),""),"")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1"/>
        <v>&lt;   Hall Operation   &gt;</v>
      </c>
      <c r="L15" s="166"/>
      <c r="M15" s="166"/>
      <c r="O15" s="114"/>
    </row>
    <row r="16" spans="1:16" s="250" customFormat="1" ht="16.5" customHeight="1">
      <c r="A16" s="9">
        <f>IF($F16="Wavied","-",IF($D16=0,"",ROW($A16)-ROW($A$8)+1-COUNTIF($A$8:$A15,"@")-COUNTIF($A$8:$A15,"-")))</f>
        <v>9</v>
      </c>
      <c r="B16" s="9" t="s">
        <v>518</v>
      </c>
      <c r="C16" s="9" t="str">
        <f t="shared" si="0"/>
        <v>-</v>
      </c>
      <c r="D16" s="27" t="s">
        <v>504</v>
      </c>
      <c r="E16" s="172">
        <v>955</v>
      </c>
      <c r="F16" s="45"/>
      <c r="G16" s="43"/>
      <c r="H16" s="44" t="s">
        <v>505</v>
      </c>
      <c r="I16" s="44"/>
      <c r="J16" s="44"/>
      <c r="K16" s="166" t="str">
        <f t="shared" si="1"/>
        <v>&lt;   Hall Operation   &gt;</v>
      </c>
      <c r="L16" s="166"/>
      <c r="M16" s="166"/>
      <c r="O16" s="114"/>
    </row>
    <row r="17" spans="1:15">
      <c r="A17" s="9">
        <f>IF($F17="Wavied","-",IF($D17=0,"",ROW($A17)-ROW($A$8)+1-COUNTIF($A$8:$A16,"@")-COUNTIF($A$8:$A16,"-")))</f>
        <v>10</v>
      </c>
      <c r="B17" s="9" t="str">
        <f>IF($E17&lt;&gt;"",IF($E17-715&lt;0,VLOOKUP($B$3,$E$61:$J$72,6,FALSE),IF(AND($E17-2130&gt;0,_xlfn.IFNA(MATCH($D17,$D$105:$D$115,0)&lt;20,"")=TRUE),VLOOKUP($L$3,$E$61:$J$72,6,FALSE),"-")),"")</f>
        <v>-</v>
      </c>
      <c r="C17" s="9" t="s">
        <v>519</v>
      </c>
      <c r="D17" s="27" t="s">
        <v>372</v>
      </c>
      <c r="E17" s="172">
        <v>1000</v>
      </c>
      <c r="F17" s="45" t="s">
        <v>758</v>
      </c>
      <c r="G17" s="43" t="s">
        <v>759</v>
      </c>
      <c r="H17" s="44" t="str">
        <f>IF($D17&gt;0,VLOOKUP($D17,Flight!$A$1:$E$91,3,FALSE),"")</f>
        <v>DMK</v>
      </c>
      <c r="I17" s="44" t="str">
        <f>IF($D17&gt;0,IF(VLOOKUP($D17,Flight!$A$1:$E$91,4,FALSE)&gt;1,VLOOKUP($D17,Flight!$A$1:$E101,4,FALSE),""),"")</f>
        <v/>
      </c>
      <c r="J17" s="44" t="str">
        <f>IF($D17&gt;0,IF(VLOOKUP($D17,Flight!$A$1:$E$91,5,FALSE)&gt;1,VLOOKUP($D17,Flight!$A$1:$E$91,5,FALSE),""),"")</f>
        <v/>
      </c>
      <c r="K17" s="166">
        <v>0</v>
      </c>
      <c r="L17" s="166">
        <v>1</v>
      </c>
      <c r="M17" s="166">
        <v>5</v>
      </c>
      <c r="O17" s="114"/>
    </row>
    <row r="18" spans="1:15">
      <c r="A18" s="9">
        <f>IF($F18="Wavied","-",IF($D18=0,"",ROW($A18)-ROW($A$8)+1-COUNTIF($A$8:$A17,"@")-COUNTIF($A$8:$A17,"-")))</f>
        <v>11</v>
      </c>
      <c r="B18" s="9" t="str">
        <f>IF($E18&lt;&gt;"",IF($E18-715&lt;0,VLOOKUP($B$3,$E$61:$J$72,6,FALSE),IF(AND($E18-2130&gt;0,_xlfn.IFNA(MATCH($D18,$D$105:$D$115,0)&lt;20,"")=TRUE),VLOOKUP($L$3,$E$61:$J$72,6,FALSE),"-")),"")</f>
        <v>-</v>
      </c>
      <c r="C18" s="9" t="s">
        <v>520</v>
      </c>
      <c r="D18" s="27" t="s">
        <v>373</v>
      </c>
      <c r="E18" s="172">
        <v>1010</v>
      </c>
      <c r="F18" s="45" t="s">
        <v>764</v>
      </c>
      <c r="G18" s="43" t="s">
        <v>765</v>
      </c>
      <c r="H18" s="44" t="str">
        <f>IF($D18&gt;0,VLOOKUP($D18,Flight!$A$1:$E$91,3,FALSE),"")</f>
        <v>MNL</v>
      </c>
      <c r="I18" s="44" t="str">
        <f>IF($D18&gt;0,IF(VLOOKUP($D18,Flight!$A$1:$E$91,4,FALSE)&gt;1,VLOOKUP($D18,Flight!$A$1:$E102,4,FALSE),""),"")</f>
        <v/>
      </c>
      <c r="J18" s="44" t="str">
        <f>IF($D18&gt;0,IF(VLOOKUP($D18,Flight!$A$1:$E$91,5,FALSE)&gt;1,VLOOKUP($D18,Flight!$A$1:$E$91,5,FALSE),""),"")</f>
        <v/>
      </c>
      <c r="K18" s="166">
        <v>0</v>
      </c>
      <c r="L18" s="166">
        <v>1</v>
      </c>
      <c r="M18" s="166">
        <v>4</v>
      </c>
      <c r="O18" s="114"/>
    </row>
    <row r="19" spans="1:15">
      <c r="A19" s="9">
        <f>IF($F19="Wavied","-",IF($D19=0,"",ROW($A19)-ROW($A$8)+1-COUNTIF($A$8:$A18,"@")-COUNTIF($A$8:$A18,"-")))</f>
        <v>12</v>
      </c>
      <c r="B19" s="9" t="str">
        <f>IF($E19&lt;&gt;"",IF($E19-715&lt;0,VLOOKUP($B$3,$E$61:$J$72,6,FALSE),IF(AND($E19-2130&gt;0,_xlfn.IFNA(MATCH($D19,$D$105:$D$115,0)&lt;20,"")=TRUE),VLOOKUP($L$3,$E$61:$J$72,6,FALSE),"-")),"")</f>
        <v>-</v>
      </c>
      <c r="C19" s="9" t="s">
        <v>521</v>
      </c>
      <c r="D19" s="9" t="s">
        <v>374</v>
      </c>
      <c r="E19" s="172" t="str">
        <f>IF($D19&gt;0,VLOOKUP($D19,Flight!$A$1:$E$91,2,FALSE),"")</f>
        <v>1115</v>
      </c>
      <c r="F19" s="45">
        <v>1052</v>
      </c>
      <c r="G19" s="43" t="s">
        <v>763</v>
      </c>
      <c r="H19" s="44" t="str">
        <f>IF($D19&gt;0,VLOOKUP($D19,Flight!$A$1:$E$91,3,FALSE),"")</f>
        <v>KUL</v>
      </c>
      <c r="I19" s="44" t="str">
        <f>IF($D19&gt;0,IF(VLOOKUP($D19,Flight!$A$1:$E$91,4,FALSE)&gt;1,VLOOKUP($D19,Flight!$A$1:$E103,4,FALSE),""),"")</f>
        <v/>
      </c>
      <c r="J19" s="44" t="str">
        <f>IF($D19&gt;0,IF(VLOOKUP($D19,Flight!$A$1:$E$91,5,FALSE)&gt;1,VLOOKUP($D19,Flight!$A$1:$E$91,5,FALSE),""),"")</f>
        <v/>
      </c>
      <c r="K19" s="166">
        <v>1</v>
      </c>
      <c r="L19" s="166">
        <v>1</v>
      </c>
      <c r="M19" s="166">
        <v>4</v>
      </c>
      <c r="O19" s="114"/>
    </row>
    <row r="20" spans="1:15" ht="15.75" customHeight="1">
      <c r="A20" s="9">
        <f>IF($F20="Wavied","-",IF($D20=0,"",ROW($A20)-ROW($A$8)+1-COUNTIF($A$8:$A19,"@")-COUNTIF($A$8:$A19,"-")))</f>
        <v>13</v>
      </c>
      <c r="B20" s="9" t="s">
        <v>766</v>
      </c>
      <c r="C20" s="9"/>
      <c r="D20" s="9" t="s">
        <v>375</v>
      </c>
      <c r="E20" s="172" t="str">
        <f>IF($D20&gt;0,VLOOKUP($D20,Flight!$A$1:$E$91,2,FALSE),"")</f>
        <v>1145</v>
      </c>
      <c r="F20" s="44"/>
      <c r="G20" s="43" t="str">
        <f t="shared" si="2"/>
        <v/>
      </c>
      <c r="H20" s="44" t="str">
        <f>IF($D20&gt;0,VLOOKUP($D20,Flight!$A$1:$E$91,3,FALSE),"")</f>
        <v>BKK</v>
      </c>
      <c r="I20" s="44" t="str">
        <f>IF($D20&gt;0,IF(VLOOKUP($D20,Flight!$A$1:$E$91,4,FALSE)&gt;1,VLOOKUP($D20,Flight!$A$1:$E104,4,FALSE),""),"")</f>
        <v/>
      </c>
      <c r="J20" s="44" t="str">
        <f>IF($D20&gt;0,IF(VLOOKUP($D20,Flight!$A$1:$E$91,5,FALSE)&gt;1,VLOOKUP($D20,Flight!$A$1:$E$91,5,FALSE),""),"")</f>
        <v/>
      </c>
      <c r="K20" s="166" t="s">
        <v>407</v>
      </c>
      <c r="L20" s="166"/>
      <c r="M20" s="166"/>
      <c r="O20" s="114"/>
    </row>
    <row r="21" spans="1:15" s="250" customFormat="1" ht="15.75" customHeight="1">
      <c r="A21" s="9">
        <f>IF($F21="Wavied","-",IF($D21=0,"",ROW($A21)-ROW($A$8)+1-COUNTIF($A$8:$A20,"@")-COUNTIF($A$8:$A20,"-")))</f>
        <v>14</v>
      </c>
      <c r="B21" s="9" t="s">
        <v>770</v>
      </c>
      <c r="C21" s="9" t="s">
        <v>464</v>
      </c>
      <c r="D21" s="9" t="s">
        <v>506</v>
      </c>
      <c r="E21" s="172">
        <v>1210</v>
      </c>
      <c r="F21" s="44"/>
      <c r="G21" s="43"/>
      <c r="H21" s="44" t="s">
        <v>507</v>
      </c>
      <c r="I21" s="44"/>
      <c r="J21" s="44"/>
      <c r="K21" s="166" t="s">
        <v>771</v>
      </c>
      <c r="L21" s="166"/>
      <c r="M21" s="166"/>
      <c r="O21" s="114"/>
    </row>
    <row r="22" spans="1:15">
      <c r="A22" s="9">
        <f>IF($F22="Wavied","-",IF($D22=0,"",ROW($A22)-ROW($A$8)+1-COUNTIF($A$8:$A21,"@")-COUNTIF($A$8:$A21,"-")))</f>
        <v>15</v>
      </c>
      <c r="B22" s="9" t="s">
        <v>767</v>
      </c>
      <c r="C22" s="9"/>
      <c r="D22" s="9" t="s">
        <v>376</v>
      </c>
      <c r="E22" s="172">
        <v>1305</v>
      </c>
      <c r="F22" s="44"/>
      <c r="G22" s="43" t="str">
        <f t="shared" si="2"/>
        <v/>
      </c>
      <c r="H22" s="44" t="str">
        <f>IF($D22&gt;0,VLOOKUP($D22,Flight!$A$1:$E$91,3,FALSE),"")</f>
        <v>DMK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>IF($D22=0,"",IF(OR(ISNUMBER(SEARCH("S",$B22)),_xlfn.IFNA(MATCH($D22,$D$105:$D$115,0)&lt;20,"")=TRUE),"&lt;   Hall Operation   &gt;",""))</f>
        <v>&lt;   Hall Operation   &gt;</v>
      </c>
      <c r="L22" s="166"/>
      <c r="M22" s="166"/>
      <c r="O22" s="114"/>
    </row>
    <row r="23" spans="1:15">
      <c r="A23" s="9">
        <f>IF($F23="Wavied","-",IF($D23=0,"",ROW($A23)-ROW($A$8)+1-COUNTIF($A$8:$A22,"@")-COUNTIF($A$8:$A22,"-")))</f>
        <v>16</v>
      </c>
      <c r="B23" s="9" t="s">
        <v>521</v>
      </c>
      <c r="C23" s="9" t="str">
        <f>IF($E23&lt;&gt;"",IF(ISNUMBER(SEARCH("Hall Operation",$K23)),"-",IF($E23-715&lt;0,VLOOKUP($B$3,$E$61:$J$72,6,FALSE),IF($E23-2129&gt;0,VLOOKUP($L$3,$E$61:$J$72,6,FALSE),""))),"")</f>
        <v>-</v>
      </c>
      <c r="D23" s="27" t="s">
        <v>377</v>
      </c>
      <c r="E23" s="172" t="str">
        <f>IF($D23&gt;0,VLOOKUP($D23,Flight!$A$1:$E$91,2,FALSE),"")</f>
        <v>1310</v>
      </c>
      <c r="F23" s="44"/>
      <c r="G23" s="43" t="str">
        <f t="shared" si="2"/>
        <v/>
      </c>
      <c r="H23" s="44" t="str">
        <f>IF($D23&gt;0,VLOOKUP($D23,Flight!$A$1:$E$91,3,FALSE),"")</f>
        <v>DEL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>IF($D23=0,"",IF(OR(ISNUMBER(SEARCH("S",$B23)),_xlfn.IFNA(MATCH($D23,$D$105:$D$115,0)&lt;20,"")=TRUE),"&lt;   Hall Operation   &gt;",""))</f>
        <v>&lt;   Hall Operation   &gt;</v>
      </c>
      <c r="L23" s="166"/>
      <c r="M23" s="166"/>
      <c r="O23" s="114"/>
    </row>
    <row r="24" spans="1:15">
      <c r="A24" s="9">
        <f>IF($F24="Wavied","-",IF($D24=0,"",ROW($A24)-ROW($A$8)+1-COUNTIF($A$8:$A23,"@")-COUNTIF($A$8:$A23,"-")))</f>
        <v>17</v>
      </c>
      <c r="B24" s="9" t="s">
        <v>769</v>
      </c>
      <c r="C24" s="9" t="s">
        <v>464</v>
      </c>
      <c r="D24" s="27" t="s">
        <v>378</v>
      </c>
      <c r="E24" s="172">
        <v>1415</v>
      </c>
      <c r="F24" s="45"/>
      <c r="G24" s="43" t="str">
        <f t="shared" si="2"/>
        <v/>
      </c>
      <c r="H24" s="44" t="str">
        <f>IF($D24&gt;0,VLOOKUP($D24,Flight!$A$1:$E$91,3,FALSE),"")</f>
        <v>KUL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>IF($D24=0,"",IF(OR(ISNUMBER(SEARCH("S",$B24)),_xlfn.IFNA(MATCH($D24,$D$105:$D$115,0)&lt;20,"")=TRUE),"&lt;   Hall Operation   &gt;",""))</f>
        <v>&lt;   Hall Operation   &gt;</v>
      </c>
      <c r="L24" s="166"/>
      <c r="M24" s="166"/>
      <c r="O24" s="114"/>
    </row>
    <row r="25" spans="1:15">
      <c r="A25" s="9">
        <f>IF($F25="Wavied","-",IF($D25=0,"",ROW($A25)-ROW($A$8)+1-COUNTIF($A$8:$A24,"@")-COUNTIF($A$8:$A24,"-")))</f>
        <v>18</v>
      </c>
      <c r="B25" s="9" t="s">
        <v>770</v>
      </c>
      <c r="C25" s="9" t="s">
        <v>464</v>
      </c>
      <c r="D25" s="27" t="s">
        <v>379</v>
      </c>
      <c r="E25" s="172" t="str">
        <f>IF($D25&gt;0,VLOOKUP($D25,Flight!$A$1:$E$91,2,FALSE),"")</f>
        <v>1420</v>
      </c>
      <c r="F25" s="45"/>
      <c r="G25" s="43" t="str">
        <f t="shared" si="2"/>
        <v/>
      </c>
      <c r="H25" s="44" t="str">
        <f>IF($D25&gt;0,VLOOKUP($D25,Flight!$A$1:$E$91,3,FALSE),"")</f>
        <v>BKK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>IF($D25=0,"",IF(OR(ISNUMBER(SEARCH("S",$B25)),_xlfn.IFNA(MATCH($D25,$D$105:$D$115,0)&lt;20,"")=TRUE),"&lt;   Hall Operation   &gt;",""))</f>
        <v>&lt;   Hall Operation   &gt;</v>
      </c>
      <c r="L25" s="166"/>
      <c r="M25" s="166"/>
      <c r="O25" s="114"/>
    </row>
    <row r="26" spans="1:15" s="250" customFormat="1">
      <c r="A26" s="9" t="s">
        <v>897</v>
      </c>
      <c r="B26" s="251" t="s">
        <v>31</v>
      </c>
      <c r="C26" s="251" t="s">
        <v>520</v>
      </c>
      <c r="D26" s="252" t="s">
        <v>508</v>
      </c>
      <c r="E26" s="253">
        <v>1450</v>
      </c>
      <c r="F26" s="418" t="s">
        <v>788</v>
      </c>
      <c r="G26" s="419"/>
      <c r="H26" s="254" t="s">
        <v>507</v>
      </c>
      <c r="I26" s="254"/>
      <c r="J26" s="279"/>
      <c r="K26" s="402" t="s">
        <v>781</v>
      </c>
      <c r="L26" s="402"/>
      <c r="M26" s="403"/>
      <c r="O26" s="114"/>
    </row>
    <row r="27" spans="1:15">
      <c r="A27" s="9">
        <f>IF($F27="Wavied","-",IF($D27=0,"",ROW($A27)-ROW($A$8)+1-COUNTIF($A$8:$A26,"@")-COUNTIF($A$8:$A26,"-")))</f>
        <v>19</v>
      </c>
      <c r="B27" s="9" t="str">
        <f>IF($E27&lt;&gt;"",IF($E27-715&lt;0,VLOOKUP($B$3,$E$61:$J$72,6,FALSE),IF(AND($E27-2130&gt;0,_xlfn.IFNA(MATCH($D27,$D$105:$D$115,0)&lt;20,"")=TRUE),VLOOKUP($L$3,$E$61:$J$72,6,FALSE),"-")),"")</f>
        <v>-</v>
      </c>
      <c r="C27" s="9" t="s">
        <v>521</v>
      </c>
      <c r="D27" s="27" t="s">
        <v>381</v>
      </c>
      <c r="E27" s="172">
        <v>1510</v>
      </c>
      <c r="F27" s="44">
        <v>1414</v>
      </c>
      <c r="G27" s="43" t="s">
        <v>773</v>
      </c>
      <c r="H27" s="44" t="str">
        <f>IF($D27&gt;0,VLOOKUP($D27,Flight!$A$1:$E$91,3,FALSE),"")</f>
        <v>DOH</v>
      </c>
      <c r="I27" s="44" t="str">
        <f>IF($D27&gt;0,IF(VLOOKUP($D27,Flight!$A$1:$E$91,4,FALSE)&gt;1,VLOOKUP($D27,Flight!$A$1:$E109,4,FALSE),""),"")</f>
        <v/>
      </c>
      <c r="J27" s="44" t="str">
        <f>IF($D27&gt;0,IF(VLOOKUP($D27,Flight!$A$1:$E$91,5,FALSE)&gt;1,VLOOKUP($D27,Flight!$A$1:$E$91,5,FALSE),""),"")</f>
        <v/>
      </c>
      <c r="K27" s="166">
        <v>1</v>
      </c>
      <c r="L27" s="166">
        <v>1</v>
      </c>
      <c r="M27" s="166">
        <v>4</v>
      </c>
      <c r="O27" s="114"/>
    </row>
    <row r="28" spans="1:15" s="261" customFormat="1">
      <c r="A28" s="263" t="s">
        <v>898</v>
      </c>
      <c r="B28" s="263" t="str">
        <f t="shared" ref="B28:B29" si="3">IF($E28&lt;&gt;"",IF($E28-715&lt;0,VLOOKUP($B$3,$E$61:$J$72,6,FALSE),IF(AND($E28-2130&gt;0,_xlfn.IFNA(MATCH($D28,$D$105:$D$115,0)&lt;20,"")=TRUE),VLOOKUP($L$3,$E$61:$J$72,6,FALSE),"-")),"")</f>
        <v>-</v>
      </c>
      <c r="C28" s="263" t="s">
        <v>161</v>
      </c>
      <c r="D28" s="264" t="s">
        <v>257</v>
      </c>
      <c r="E28" s="265">
        <f>IF($D28&gt;0,VLOOKUP($D28,[2]Flight!$A$1:$E$75,2,FALSE),"")</f>
        <v>1530</v>
      </c>
      <c r="F28" s="266">
        <v>1530</v>
      </c>
      <c r="G28" s="267" t="s">
        <v>778</v>
      </c>
      <c r="H28" s="266" t="str">
        <f>IF($D28&gt;0,VLOOKUP($D28,[2]Flight!$A$1:$E$75,3,FALSE),"")</f>
        <v>ZYK</v>
      </c>
      <c r="I28" s="266" t="str">
        <f>IF($D28&gt;0,IF(VLOOKUP($D28,[2]Flight!$A$1:$E$75,4,FALSE)&gt;1,VLOOKUP($D28,[2]Flight!$A$1:$E$75,4,FALSE),""),"")</f>
        <v/>
      </c>
      <c r="J28" s="266" t="str">
        <f>IF($D28&gt;0,IF(VLOOKUP($D28,[2]Flight!$A$1:$E$75,5,FALSE)&gt;1,VLOOKUP($D28,[2]Flight!$A$1:$E$75,5,FALSE),""),"")</f>
        <v/>
      </c>
      <c r="K28" s="278">
        <v>1</v>
      </c>
      <c r="L28" s="278">
        <v>1</v>
      </c>
      <c r="M28" s="278">
        <v>5</v>
      </c>
      <c r="O28" s="114"/>
    </row>
    <row r="29" spans="1:15" s="261" customFormat="1">
      <c r="A29" s="263" t="s">
        <v>898</v>
      </c>
      <c r="B29" s="263" t="str">
        <f t="shared" si="3"/>
        <v>-</v>
      </c>
      <c r="C29" s="263" t="s">
        <v>161</v>
      </c>
      <c r="D29" s="264" t="s">
        <v>271</v>
      </c>
      <c r="E29" s="265">
        <v>1545</v>
      </c>
      <c r="F29" s="268">
        <v>1545</v>
      </c>
      <c r="G29" s="267" t="s">
        <v>779</v>
      </c>
      <c r="H29" s="266" t="s">
        <v>270</v>
      </c>
      <c r="I29" s="266" t="str">
        <f>IF($D29&gt;0,IF(VLOOKUP($D29,[2]Flight!$A$1:$E$75,4,FALSE)&gt;1,VLOOKUP($D29,[2]Flight!$A$1:$E$75,4,FALSE),""),"")</f>
        <v/>
      </c>
      <c r="J29" s="266" t="str">
        <f>IF($D29&gt;0,IF(VLOOKUP($D29,[2]Flight!$A$1:$E$75,5,FALSE)&gt;1,VLOOKUP($D29,[2]Flight!$A$1:$E$75,5,FALSE),""),"")</f>
        <v/>
      </c>
      <c r="K29" s="278">
        <v>1</v>
      </c>
      <c r="L29" s="278">
        <v>1</v>
      </c>
      <c r="M29" s="278">
        <v>5</v>
      </c>
      <c r="O29" s="114"/>
    </row>
    <row r="30" spans="1:15">
      <c r="A30" s="9">
        <f>IF($F30="Wavied","-",IF($D30=0,"",ROW($A30)-ROW($A$8)+1-COUNTIF($A$8:$A29,"@")-COUNTIF($A$8:$A29,"-")))</f>
        <v>20</v>
      </c>
      <c r="B30" s="9" t="str">
        <f t="shared" ref="B30:C41" si="4">IF($E30&lt;&gt;"",IF($E30-715&lt;0,VLOOKUP($B$3,$E$61:$J$72,6,FALSE),IF(AND($E30-2130&gt;0,_xlfn.IFNA(MATCH($D30,$D$105:$D$115,0)&lt;20,"")=TRUE),VLOOKUP($L$3,$E$61:$J$72,6,FALSE),"-")),"")</f>
        <v>-</v>
      </c>
      <c r="C30" s="9" t="s">
        <v>689</v>
      </c>
      <c r="D30" s="27" t="s">
        <v>509</v>
      </c>
      <c r="E30" s="172">
        <v>1645</v>
      </c>
      <c r="F30" s="45">
        <v>1636</v>
      </c>
      <c r="G30" s="43" t="s">
        <v>775</v>
      </c>
      <c r="H30" s="44" t="str">
        <f>IF($D30&gt;0,VLOOKUP($D30,Flight!$A$1:$E$91,3,FALSE),"")</f>
        <v>ADD</v>
      </c>
      <c r="I30" s="44" t="str">
        <f>IF($D30&gt;0,IF(VLOOKUP($D30,Flight!$A$1:$E$91,4,FALSE)&gt;1,VLOOKUP($D30,Flight!$A$1:$E110,4,FALSE),""),"")</f>
        <v>BKK</v>
      </c>
      <c r="J30" s="44" t="str">
        <f>IF($D30&gt;0,IF(VLOOKUP($D30,Flight!$A$1:$E$91,5,FALSE)&gt;1,VLOOKUP($D30,Flight!$A$1:$E$91,5,FALSE),""),"")</f>
        <v/>
      </c>
      <c r="K30" s="166">
        <v>1</v>
      </c>
      <c r="L30" s="166">
        <v>1</v>
      </c>
      <c r="M30" s="166">
        <v>2</v>
      </c>
      <c r="O30" s="114"/>
    </row>
    <row r="31" spans="1:15">
      <c r="A31" s="9">
        <f>IF($F31="Wavied","-",IF($D31=0,"",ROW($A31)-ROW($A$8)+1-COUNTIF($A$8:$A30,"@")-COUNTIF($A$8:$A30,"-")))</f>
        <v>21</v>
      </c>
      <c r="B31" s="9" t="str">
        <f t="shared" si="4"/>
        <v>-</v>
      </c>
      <c r="C31" s="9" t="s">
        <v>688</v>
      </c>
      <c r="D31" s="27" t="s">
        <v>391</v>
      </c>
      <c r="E31" s="172">
        <v>1720</v>
      </c>
      <c r="F31" s="45">
        <v>1714</v>
      </c>
      <c r="G31" s="43" t="s">
        <v>772</v>
      </c>
      <c r="H31" s="44" t="str">
        <f>IF($D31&gt;0,VLOOKUP($D31,Flight!$A$1:$E$91,3,FALSE),"")</f>
        <v>MNL</v>
      </c>
      <c r="I31" s="44" t="str">
        <f>IF($D31&gt;0,IF(VLOOKUP($D31,Flight!$A$1:$E$91,4,FALSE)&gt;1,VLOOKUP($D31,Flight!$A$1:$E113,4,FALSE),""),"")</f>
        <v/>
      </c>
      <c r="J31" s="44" t="str">
        <f>IF($D31&gt;0,IF(VLOOKUP($D31,Flight!$A$1:$E$91,5,FALSE)&gt;1,VLOOKUP($D31,Flight!$A$1:$E$91,5,FALSE),""),"")</f>
        <v/>
      </c>
      <c r="K31" s="166">
        <v>0</v>
      </c>
      <c r="L31" s="166">
        <v>1</v>
      </c>
      <c r="M31" s="166">
        <v>4</v>
      </c>
    </row>
    <row r="32" spans="1:15">
      <c r="A32" s="9">
        <f>IF($F32="Wavied","-",IF($D32=0,"",ROW($A32)-ROW($A$8)+1-COUNTIF($A$8:$A31,"@")-COUNTIF($A$8:$A31,"-")))</f>
        <v>22</v>
      </c>
      <c r="B32" s="9" t="s">
        <v>768</v>
      </c>
      <c r="C32" s="9" t="s">
        <v>464</v>
      </c>
      <c r="D32" s="27" t="s">
        <v>510</v>
      </c>
      <c r="E32" s="172">
        <v>1755</v>
      </c>
      <c r="F32" s="45"/>
      <c r="G32" s="43" t="str">
        <f t="shared" si="2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IF($D32&gt;0,IF(VLOOKUP($D32,Flight!$A$1:$E$91,4,FALSE)&gt;1,VLOOKUP($D32,Flight!$A$1:$E114,4,FALSE),""),"")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ref="K32:K37" si="5">IF($D32=0,"",IF(OR(ISNUMBER(SEARCH("S",$B32)),_xlfn.IFNA(MATCH($D32,$D$105:$D$115,0)&lt;20,"")=TRUE),"&lt;   Hall Operation   &gt;",""))</f>
        <v>&lt;   Hall Operation   &gt;</v>
      </c>
      <c r="L32" s="166"/>
      <c r="M32" s="166"/>
    </row>
    <row r="33" spans="1:18">
      <c r="A33" s="9">
        <f>IF($F33="Wavied","-",IF($D33=0,"",ROW($A33)-ROW($A$8)+1-COUNTIF($A$8:$A32,"@")-COUNTIF($A$8:$A32,"-")))</f>
        <v>23</v>
      </c>
      <c r="B33" s="9" t="str">
        <f t="shared" si="4"/>
        <v>-</v>
      </c>
      <c r="C33" s="9" t="s">
        <v>689</v>
      </c>
      <c r="D33" s="27" t="s">
        <v>511</v>
      </c>
      <c r="E33" s="172">
        <v>1805</v>
      </c>
      <c r="F33" s="46">
        <v>1739</v>
      </c>
      <c r="G33" s="43" t="s">
        <v>776</v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IF($D33&gt;0,IF(VLOOKUP($D33,Flight!$A$1:$E$91,4,FALSE)&gt;1,VLOOKUP($D33,Flight!$A$1:$E115,4,FALSE),""),"")</f>
        <v>BKK</v>
      </c>
      <c r="J33" s="44" t="str">
        <f>IF($D33&gt;0,IF(VLOOKUP($D33,Flight!$A$1:$E$91,5,FALSE)&gt;1,VLOOKUP($D33,Flight!$A$1:$E$91,5,FALSE),""),"")</f>
        <v/>
      </c>
      <c r="K33" s="166">
        <v>1</v>
      </c>
      <c r="L33" s="166">
        <v>1</v>
      </c>
      <c r="M33" s="166">
        <v>5</v>
      </c>
    </row>
    <row r="34" spans="1:18">
      <c r="A34" s="9">
        <f>IF($F34="Wavied","-",IF($D34=0,"",ROW($A34)-ROW($A$8)+1-COUNTIF($A$8:$A33,"@")-COUNTIF($A$8:$A33,"-")))</f>
        <v>24</v>
      </c>
      <c r="B34" s="9" t="s">
        <v>768</v>
      </c>
      <c r="C34" s="9" t="s">
        <v>464</v>
      </c>
      <c r="D34" s="27" t="s">
        <v>512</v>
      </c>
      <c r="E34" s="172">
        <v>1810</v>
      </c>
      <c r="F34" s="45"/>
      <c r="G34" s="43" t="str">
        <f t="shared" si="2"/>
        <v/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IF($D34&gt;0,IF(VLOOKUP($D34,Flight!$A$1:$E$91,4,FALSE)&gt;1,VLOOKUP($D34,Flight!$A$1:$E116,4,FALSE),""),"")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5"/>
        <v>&lt;   Hall Operation   &gt;</v>
      </c>
      <c r="L34" s="166"/>
      <c r="M34" s="166"/>
    </row>
    <row r="35" spans="1:18">
      <c r="A35" s="9">
        <f>IF($F35="Wavied","-",IF($D35=0,"",ROW($A35)-ROW($A$8)+1-COUNTIF($A$8:$A34,"@")-COUNTIF($A$8:$A34,"-")))</f>
        <v>25</v>
      </c>
      <c r="B35" s="9" t="s">
        <v>777</v>
      </c>
      <c r="C35" s="9" t="s">
        <v>464</v>
      </c>
      <c r="D35" s="27" t="s">
        <v>513</v>
      </c>
      <c r="E35" s="172">
        <v>1820</v>
      </c>
      <c r="F35" s="45"/>
      <c r="G35" s="43" t="str">
        <f t="shared" si="2"/>
        <v/>
      </c>
      <c r="H35" s="44" t="str">
        <f>IF($D35&gt;0,VLOOKUP($D35,Flight!$A$1:$E$91,3,FALSE),"")</f>
        <v>SIN</v>
      </c>
      <c r="I35" s="44" t="str">
        <f>IF($D35&gt;0,IF(VLOOKUP($D35,Flight!$A$1:$E$91,4,FALSE)&gt;1,VLOOKUP($D35,Flight!$A$1:$E117,4,FALSE),""),"")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5"/>
        <v>&lt;   Hall Operation   &gt;</v>
      </c>
      <c r="L35" s="166"/>
      <c r="M35" s="167"/>
      <c r="P35" s="84"/>
    </row>
    <row r="36" spans="1:18">
      <c r="A36" s="9" t="s">
        <v>897</v>
      </c>
      <c r="B36" s="280" t="str">
        <f t="shared" si="4"/>
        <v>-</v>
      </c>
      <c r="C36" s="280" t="s">
        <v>207</v>
      </c>
      <c r="D36" s="281" t="s">
        <v>71</v>
      </c>
      <c r="E36" s="282">
        <v>1920</v>
      </c>
      <c r="F36" s="413" t="s">
        <v>788</v>
      </c>
      <c r="G36" s="414"/>
      <c r="H36" s="283" t="str">
        <f>IF($D36&gt;0,VLOOKUP($D36,Flight!$A$1:$E$91,3,FALSE),"")</f>
        <v>DMK</v>
      </c>
      <c r="I36" s="283" t="str">
        <f>IF($D36&gt;0,IF(VLOOKUP($D36,Flight!$A$1:$E$91,4,FALSE)&gt;1,VLOOKUP($D36,Flight!$A$1:$E118,4,FALSE),""),"")</f>
        <v/>
      </c>
      <c r="J36" s="283" t="str">
        <f>IF($D36&gt;0,IF(VLOOKUP($D36,Flight!$A$1:$E$91,5,FALSE)&gt;1,VLOOKUP($D36,Flight!$A$1:$E$91,5,FALSE),""),"")</f>
        <v/>
      </c>
      <c r="K36" s="415" t="s">
        <v>780</v>
      </c>
      <c r="L36" s="416"/>
      <c r="M36" s="417"/>
      <c r="O36" s="115"/>
      <c r="P36" s="87"/>
    </row>
    <row r="37" spans="1:18" s="250" customFormat="1">
      <c r="A37" s="9">
        <f>IF($F37="Wavied","-",IF($D37=0,"",ROW($A37)-ROW($A$8)+1-COUNTIF($A$8:$A36,"@")-COUNTIF($A$8:$A36,"-")))</f>
        <v>26</v>
      </c>
      <c r="B37" s="9" t="s">
        <v>162</v>
      </c>
      <c r="C37" s="9" t="s">
        <v>464</v>
      </c>
      <c r="D37" s="27" t="s">
        <v>514</v>
      </c>
      <c r="E37" s="172">
        <v>1950</v>
      </c>
      <c r="F37" s="45"/>
      <c r="G37" s="43"/>
      <c r="H37" s="44" t="s">
        <v>507</v>
      </c>
      <c r="I37" s="44"/>
      <c r="J37" s="44"/>
      <c r="K37" s="166" t="str">
        <f t="shared" si="5"/>
        <v>&lt;   Hall Operation   &gt;</v>
      </c>
      <c r="L37" s="166"/>
      <c r="M37" s="167"/>
      <c r="O37" s="115"/>
      <c r="P37" s="87"/>
    </row>
    <row r="38" spans="1:18" ht="16.5">
      <c r="A38" s="9">
        <f>IF($F38="Wavied","-",IF($D38=0,"",ROW($A38)-ROW($A$8)+1-COUNTIF($A$8:$A37,"@")-COUNTIF($A$8:$A37,"-")))</f>
        <v>27</v>
      </c>
      <c r="B38" s="9" t="str">
        <f t="shared" si="4"/>
        <v>-</v>
      </c>
      <c r="C38" s="9" t="s">
        <v>689</v>
      </c>
      <c r="D38" s="27" t="s">
        <v>389</v>
      </c>
      <c r="E38" s="172">
        <v>2030</v>
      </c>
      <c r="F38" s="45">
        <v>1950</v>
      </c>
      <c r="G38" s="43" t="s">
        <v>782</v>
      </c>
      <c r="H38" s="44" t="str">
        <f>IF($D38&gt;0,VLOOKUP($D38,Flight!$A$1:$E$91,3,FALSE),"")</f>
        <v>CGK</v>
      </c>
      <c r="I38" s="44" t="str">
        <f>IF($D38&gt;0,IF(VLOOKUP($D38,Flight!$A$1:$E$91,4,FALSE)&gt;1,VLOOKUP($D38,Flight!$A$1:$E119,4,FALSE),""),"")</f>
        <v/>
      </c>
      <c r="J38" s="44" t="str">
        <f>IF($D38&gt;0,IF(VLOOKUP($D38,Flight!$A$1:$E$91,5,FALSE)&gt;1,VLOOKUP($D38,Flight!$A$1:$E$91,5,FALSE),""),"")</f>
        <v/>
      </c>
      <c r="K38" s="166">
        <v>1</v>
      </c>
      <c r="L38" s="166">
        <v>1</v>
      </c>
      <c r="M38" s="166">
        <v>5</v>
      </c>
      <c r="O38" s="4"/>
      <c r="P38" s="88"/>
      <c r="Q38" s="4"/>
      <c r="R38" s="4"/>
    </row>
    <row r="39" spans="1:18" ht="16.5" customHeight="1">
      <c r="A39" s="9" t="s">
        <v>897</v>
      </c>
      <c r="B39" s="280" t="str">
        <f t="shared" si="4"/>
        <v>-</v>
      </c>
      <c r="C39" s="280" t="s">
        <v>687</v>
      </c>
      <c r="D39" s="281" t="s">
        <v>515</v>
      </c>
      <c r="E39" s="282">
        <v>2120</v>
      </c>
      <c r="F39" s="413" t="s">
        <v>788</v>
      </c>
      <c r="G39" s="414"/>
      <c r="H39" s="283" t="str">
        <f>IF($D39&gt;0,VLOOKUP($D39,Flight!$A$1:$E$91,3,FALSE),"")</f>
        <v>DEL</v>
      </c>
      <c r="I39" s="283" t="str">
        <f>IF($D39&gt;0,IF(VLOOKUP($D39,Flight!$A$1:$E$91,4,FALSE)&gt;1,VLOOKUP($D39,Flight!$A$1:$E120,4,FALSE),""),"")</f>
        <v/>
      </c>
      <c r="J39" s="283" t="str">
        <f>IF($D39&gt;0,IF(VLOOKUP($D39,Flight!$A$1:$E$91,5,FALSE)&gt;1,VLOOKUP($D39,Flight!$A$1:$E$91,5,FALSE),""),"")</f>
        <v/>
      </c>
      <c r="K39" s="415" t="s">
        <v>780</v>
      </c>
      <c r="L39" s="416"/>
      <c r="M39" s="417"/>
      <c r="O39" s="4"/>
      <c r="P39" s="4"/>
      <c r="Q39" s="4"/>
      <c r="R39" s="4"/>
    </row>
    <row r="40" spans="1:18" ht="16.5">
      <c r="A40" s="9">
        <f>IF($F40="Wavied","-",IF($D40=0,"",ROW($A40)-ROW($A$8)+1-COUNTIF($A$8:$A39,"@")-COUNTIF($A$8:$A39,"-")))</f>
        <v>28</v>
      </c>
      <c r="B40" s="9" t="s">
        <v>687</v>
      </c>
      <c r="C40" s="9" t="s">
        <v>464</v>
      </c>
      <c r="D40" s="27" t="s">
        <v>516</v>
      </c>
      <c r="E40" s="172">
        <v>2155</v>
      </c>
      <c r="F40" s="45">
        <v>2055</v>
      </c>
      <c r="G40" s="43" t="s">
        <v>783</v>
      </c>
      <c r="H40" s="44" t="str">
        <f>IF($D40&gt;0,VLOOKUP($D40,Flight!$A$1:$E$91,3,FALSE),"")</f>
        <v>DOH</v>
      </c>
      <c r="I40" s="44" t="str">
        <f>IF($D40&gt;0,IF(VLOOKUP($D40,Flight!$A$1:$E$91,4,FALSE)&gt;1,VLOOKUP($D40,Flight!$A$1:$E121,4,FALSE),""),"")</f>
        <v/>
      </c>
      <c r="J40" s="44" t="str">
        <f>IF($D40&gt;0,IF(VLOOKUP($D40,Flight!$A$1:$E$91,5,FALSE)&gt;1,VLOOKUP($D40,Flight!$A$1:$E$91,5,FALSE),""),"")</f>
        <v/>
      </c>
      <c r="K40" s="166" t="str">
        <f>IF($D40=0,"",IF(OR(ISNUMBER(SEARCH("S",B40)),_xlfn.IFNA(MATCH($D40,$D$105:$D$115,0)&lt;20,"")=TRUE),"&lt;   Hall Operation   &gt;",""))</f>
        <v>&lt;   Hall Operation   &gt;</v>
      </c>
      <c r="L40" s="166"/>
      <c r="M40" s="166"/>
      <c r="O40" s="4"/>
      <c r="P40" s="89"/>
      <c r="Q40" s="4"/>
      <c r="R40" s="4"/>
    </row>
    <row r="41" spans="1:18" ht="16.5">
      <c r="A41" s="9">
        <f>IF($F41="Wavied","-",IF($D41=0,"",ROW($A41)-ROW($A$8)+1-COUNTIF($A$8:$A40,"@")-COUNTIF($A$8:$A40,"-")))</f>
        <v>29</v>
      </c>
      <c r="B41" s="9" t="s">
        <v>784</v>
      </c>
      <c r="C41" s="9" t="str">
        <f t="shared" si="4"/>
        <v>-</v>
      </c>
      <c r="D41" s="27" t="s">
        <v>517</v>
      </c>
      <c r="E41" s="172" t="str">
        <f>IF($D41&gt;0,VLOOKUP($D41,Flight!$A$1:$E$91,2,FALSE),"")</f>
        <v>2320</v>
      </c>
      <c r="F41" s="45"/>
      <c r="G41" s="43" t="str">
        <f t="shared" si="2"/>
        <v/>
      </c>
      <c r="H41" s="44" t="str">
        <f>IF($D41&gt;0,VLOOKUP($D41,Flight!$A$1:$E$91,3,FALSE),"")</f>
        <v>BKK</v>
      </c>
      <c r="I41" s="44" t="str">
        <f>IF($D41&gt;0,IF(VLOOKUP($D41,Flight!$A$1:$E$91,4,FALSE)&gt;1,VLOOKUP($D41,Flight!$A$1:$E122,4,FALSE),""),"")</f>
        <v/>
      </c>
      <c r="J41" s="44" t="str">
        <f>IF($D41&gt;0,IF(VLOOKUP($D41,Flight!$A$1:$E$91,5,FALSE)&gt;1,VLOOKUP($D41,Flight!$A$1:$E$91,5,FALSE),""),"")</f>
        <v/>
      </c>
      <c r="K41" s="166" t="str">
        <f>IF($D41=0,"",IF(OR(ISNUMBER(SEARCH("S",$B41)),_xlfn.IFNA(MATCH($D41,$D$105:$D$115,0)&lt;20,"")=TRUE),"&lt;   Hall Operation   &gt;",""))</f>
        <v>&lt;   Hall Operation   &gt;</v>
      </c>
      <c r="L41" s="166"/>
      <c r="M41" s="166"/>
      <c r="O41" s="4"/>
      <c r="P41" s="89"/>
      <c r="Q41" s="4"/>
      <c r="R41" s="4"/>
    </row>
    <row r="42" spans="1:18">
      <c r="A42" s="376" t="s">
        <v>5</v>
      </c>
      <c r="B42" s="376"/>
      <c r="C42" s="376"/>
      <c r="D42" s="376"/>
      <c r="E42" s="376"/>
      <c r="F42" s="376"/>
      <c r="G42" s="50"/>
      <c r="H42" s="207" t="s">
        <v>40</v>
      </c>
      <c r="I42" s="377"/>
      <c r="J42" s="377"/>
      <c r="K42" s="377"/>
      <c r="L42" s="377"/>
      <c r="M42" s="377"/>
      <c r="N42" s="5"/>
    </row>
    <row r="43" spans="1:18">
      <c r="A43" s="379" t="s">
        <v>35</v>
      </c>
      <c r="B43" s="379"/>
      <c r="C43" s="379" t="s">
        <v>31</v>
      </c>
      <c r="D43" s="379"/>
      <c r="E43" s="379"/>
      <c r="F43" s="379"/>
      <c r="G43" s="379"/>
      <c r="H43" s="379"/>
      <c r="I43" s="378"/>
      <c r="J43" s="378"/>
      <c r="K43" s="378"/>
      <c r="L43" s="378"/>
      <c r="M43" s="378"/>
    </row>
    <row r="44" spans="1:18">
      <c r="A44" s="420" t="s">
        <v>657</v>
      </c>
      <c r="B44" s="421"/>
      <c r="C44" s="421"/>
      <c r="D44" s="421"/>
      <c r="E44" s="421"/>
      <c r="F44" s="421"/>
      <c r="G44" s="421"/>
      <c r="H44" s="421"/>
      <c r="I44" s="51"/>
      <c r="J44" s="51"/>
      <c r="K44" s="6"/>
      <c r="L44" s="6"/>
      <c r="M44" s="6"/>
    </row>
    <row r="45" spans="1:18">
      <c r="A45" s="389" t="s">
        <v>216</v>
      </c>
      <c r="B45" s="389"/>
      <c r="C45" s="212" t="s">
        <v>530</v>
      </c>
      <c r="D45" s="375" t="s">
        <v>531</v>
      </c>
      <c r="E45" s="375"/>
      <c r="F45" s="204" t="s">
        <v>215</v>
      </c>
      <c r="G45" s="390" t="s">
        <v>532</v>
      </c>
      <c r="H45" s="390"/>
      <c r="I45" s="391" t="s">
        <v>223</v>
      </c>
      <c r="J45" s="391"/>
      <c r="K45" s="398" t="str">
        <f>IF(COUNTIF($E$61:$E$64,$E$57)&gt;0,Staff!$G$14,"")&amp;IF(COUNTIF($E$65:$E$68,$E$57)&gt;0,Staff!$G$13,"")&amp;IF(COUNTIF($E$69:$E$72,$E$57)&gt;0,Staff!$G$12,"")</f>
        <v>HO, KWOK WUN D</v>
      </c>
      <c r="L45" s="398"/>
      <c r="M45" s="398"/>
    </row>
    <row r="46" spans="1:18">
      <c r="A46" s="389" t="s">
        <v>217</v>
      </c>
      <c r="B46" s="389"/>
      <c r="C46" s="212" t="str">
        <f>VLOOKUP($D$46,Staff!$B$2:$D$41,2,FALSE)</f>
        <v>CIA</v>
      </c>
      <c r="D46" s="375" t="str">
        <f>VLOOKUP(VLOOKUP($E$58,$E$61:$J$72,6,FALSE),Staff!$A$2:$D$13,2,FALSE)</f>
        <v>WW LAW</v>
      </c>
      <c r="E46" s="375"/>
      <c r="F46" s="204" t="s">
        <v>215</v>
      </c>
      <c r="G46" s="390" t="str">
        <f>VLOOKUP($D$46,Staff!$B$2:$D$39,3,FALSE)</f>
        <v>6018 0589</v>
      </c>
      <c r="H46" s="390"/>
      <c r="I46" s="391" t="s">
        <v>224</v>
      </c>
      <c r="J46" s="391"/>
      <c r="K46" s="375" t="str">
        <f>IF(COUNTIF($E$61:$E$64,$E$58)&gt;0,Staff!$G$2,"")&amp;IF(COUNTIF($E$65:$E$68,$E$58)&gt;0,Staff!$G$3,"")&amp;IF(COUNTIF($E$69:$E$72,$E$58)&gt;0,Staff!$G$4,"")</f>
        <v>HO, KING KAI</v>
      </c>
      <c r="L46" s="375"/>
      <c r="M46" s="375"/>
    </row>
    <row r="47" spans="1:18">
      <c r="A47" s="200"/>
      <c r="B47" s="200"/>
      <c r="C47" s="209"/>
      <c r="D47" s="395"/>
      <c r="E47" s="395"/>
      <c r="F47" s="206"/>
      <c r="G47" s="396"/>
      <c r="H47" s="396"/>
      <c r="I47" s="390"/>
      <c r="J47" s="390"/>
      <c r="K47" s="143"/>
      <c r="L47" s="143"/>
      <c r="M47" s="143"/>
    </row>
    <row r="48" spans="1:18">
      <c r="A48" s="397" t="s">
        <v>4</v>
      </c>
      <c r="B48" s="397"/>
      <c r="C48" s="396" t="s">
        <v>218</v>
      </c>
      <c r="D48" s="396"/>
      <c r="E48" s="396"/>
      <c r="F48" s="154" t="s">
        <v>213</v>
      </c>
      <c r="G48" s="398" t="s">
        <v>525</v>
      </c>
      <c r="H48" s="398"/>
      <c r="I48" s="398"/>
      <c r="J48" s="203" t="s">
        <v>209</v>
      </c>
      <c r="K48" s="390" t="str">
        <f>VLOOKUP(VLOOKUP($B$3,$E$61:$J$72,6,FALSE),Staff!$F$22:$G$47,2,FALSE)</f>
        <v>MAK, KA WAI (F)</v>
      </c>
      <c r="L48" s="390"/>
      <c r="M48" s="390"/>
      <c r="N48" s="12"/>
    </row>
    <row r="49" spans="1:13">
      <c r="A49" s="155"/>
      <c r="B49" s="155"/>
      <c r="C49" s="396" t="s">
        <v>219</v>
      </c>
      <c r="D49" s="396"/>
      <c r="E49" s="396"/>
      <c r="F49" s="154" t="s">
        <v>214</v>
      </c>
      <c r="G49" s="375" t="str">
        <f>IF(COUNTIF($E$61:$E$64,$E$58)&gt;0,Staff!$G$14,"")&amp;IF(COUNTIF($E$65:$E$68,$E$58)&gt;0,Staff!$G$13,"")&amp;IF(COUNTIF($E$69:$E$72,$E$58)&gt;0,Staff!$G$12,"")</f>
        <v>CHIU, OI YU (F)</v>
      </c>
      <c r="H49" s="375"/>
      <c r="I49" s="375"/>
      <c r="J49" s="203" t="s">
        <v>208</v>
      </c>
      <c r="K49" s="390" t="s">
        <v>529</v>
      </c>
      <c r="L49" s="390"/>
      <c r="M49" s="390"/>
    </row>
    <row r="50" spans="1:13">
      <c r="A50" s="201"/>
      <c r="B50" s="201"/>
      <c r="C50" s="209"/>
      <c r="D50" s="401"/>
      <c r="E50" s="401"/>
      <c r="F50" s="401"/>
      <c r="G50" s="401"/>
      <c r="H50" s="401"/>
      <c r="I50" s="401"/>
      <c r="J50" s="203" t="s">
        <v>210</v>
      </c>
      <c r="K50" s="390" t="s">
        <v>526</v>
      </c>
      <c r="L50" s="390"/>
      <c r="M50" s="390"/>
    </row>
    <row r="51" spans="1:13">
      <c r="A51" s="392" t="s">
        <v>3</v>
      </c>
      <c r="B51" s="393"/>
      <c r="C51" s="394" t="s">
        <v>220</v>
      </c>
      <c r="D51" s="394"/>
      <c r="E51" s="394"/>
      <c r="F51" s="397" t="s">
        <v>408</v>
      </c>
      <c r="G51" s="397"/>
      <c r="H51" s="397"/>
      <c r="I51" s="397"/>
      <c r="J51" s="203" t="s">
        <v>211</v>
      </c>
      <c r="K51" s="390" t="s">
        <v>528</v>
      </c>
      <c r="L51" s="390"/>
      <c r="M51" s="390"/>
    </row>
    <row r="52" spans="1:13">
      <c r="A52" s="393" t="s">
        <v>2</v>
      </c>
      <c r="B52" s="393"/>
      <c r="C52" s="411" t="s">
        <v>221</v>
      </c>
      <c r="D52" s="411"/>
      <c r="E52" s="411"/>
      <c r="F52" s="412" t="s">
        <v>1</v>
      </c>
      <c r="G52" s="412"/>
      <c r="H52" s="400" t="s">
        <v>409</v>
      </c>
      <c r="I52" s="400"/>
      <c r="J52" s="203" t="s">
        <v>212</v>
      </c>
      <c r="K52" s="390" t="s">
        <v>527</v>
      </c>
      <c r="L52" s="390"/>
      <c r="M52" s="390"/>
    </row>
    <row r="53" spans="1:13">
      <c r="A53" s="155"/>
      <c r="B53" s="155"/>
      <c r="C53" s="201"/>
      <c r="D53" s="399"/>
      <c r="E53" s="399"/>
      <c r="F53" s="391"/>
      <c r="G53" s="391"/>
      <c r="H53" s="400" t="s">
        <v>410</v>
      </c>
      <c r="I53" s="400"/>
      <c r="J53" s="199"/>
      <c r="K53" s="200"/>
      <c r="L53" s="200"/>
      <c r="M53" s="47"/>
    </row>
    <row r="54" spans="1:13" ht="16.5" customHeight="1">
      <c r="A54" s="392" t="s">
        <v>0</v>
      </c>
      <c r="B54" s="392"/>
      <c r="C54" s="407" t="s">
        <v>222</v>
      </c>
      <c r="D54" s="407"/>
      <c r="E54" s="407"/>
      <c r="F54" s="218"/>
      <c r="G54" s="219"/>
      <c r="H54" s="394" t="s">
        <v>411</v>
      </c>
      <c r="I54" s="394"/>
      <c r="J54" s="205"/>
      <c r="K54" s="200"/>
      <c r="L54" s="200"/>
      <c r="M54" s="47"/>
    </row>
    <row r="55" spans="1:13">
      <c r="C55" s="408"/>
      <c r="D55" s="408"/>
      <c r="E55" s="408"/>
      <c r="F55" s="408"/>
      <c r="G55" s="408"/>
      <c r="H55" s="408"/>
      <c r="J55" s="53"/>
      <c r="K55" s="112"/>
      <c r="L55" s="112"/>
    </row>
    <row r="56" spans="1:13" ht="16.5" thickBot="1">
      <c r="A56" s="3"/>
      <c r="B56" s="3"/>
      <c r="C56" s="3"/>
      <c r="D56" s="2"/>
      <c r="E56" s="39"/>
      <c r="F56" s="202"/>
      <c r="G56" s="202"/>
      <c r="I56" s="409"/>
      <c r="J56" s="409"/>
      <c r="K56" s="112"/>
      <c r="L56" s="112"/>
    </row>
    <row r="57" spans="1:13">
      <c r="D57" s="211"/>
      <c r="E57" s="90" t="s">
        <v>133</v>
      </c>
      <c r="F57" s="91" t="s">
        <v>135</v>
      </c>
      <c r="G57" s="91"/>
      <c r="H57" s="92"/>
      <c r="I57" s="211"/>
      <c r="J57" s="211"/>
    </row>
    <row r="58" spans="1:13" ht="16.5" thickBot="1">
      <c r="D58" s="211"/>
      <c r="E58" s="93" t="s">
        <v>134</v>
      </c>
      <c r="F58" s="94" t="s">
        <v>136</v>
      </c>
      <c r="G58" s="94"/>
      <c r="H58" s="95"/>
      <c r="I58" s="211"/>
      <c r="J58" s="211"/>
    </row>
    <row r="59" spans="1:13">
      <c r="D59" s="211"/>
      <c r="E59" s="211"/>
      <c r="F59" s="211"/>
      <c r="G59" s="211"/>
      <c r="H59" s="211"/>
      <c r="I59" s="211"/>
      <c r="J59" s="211"/>
    </row>
    <row r="60" spans="1:13" ht="16.5" thickBot="1">
      <c r="D60" s="85" t="s">
        <v>132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98</v>
      </c>
      <c r="J60" s="211"/>
      <c r="K60" s="96" t="s">
        <v>302</v>
      </c>
      <c r="L60" s="96" t="s">
        <v>303</v>
      </c>
      <c r="M60" s="96"/>
    </row>
    <row r="61" spans="1:13">
      <c r="D61" s="97" t="s">
        <v>86</v>
      </c>
      <c r="E61" s="98" t="str">
        <f>_xlfn.IFNA(VLOOKUP(MOD((($D$1-WEEKDAY($D$1,2)+1)-45523)/7+21,24),Shift!$A$2:$H$25,WEEKDAY($D$1,2)+1),VLOOKUP(24,Shift!$A$2:$H$25,WEEKDAY($D$1,2)+1))</f>
        <v>G1</v>
      </c>
      <c r="F61" s="98">
        <v>1</v>
      </c>
      <c r="G61" s="98">
        <v>1</v>
      </c>
      <c r="H61" s="98">
        <v>4</v>
      </c>
      <c r="I61" s="99">
        <f t="shared" ref="I61:I72" si="6">IF(OR($E61="L",$E61="L#"),0,SUM($F61:$H61))</f>
        <v>6</v>
      </c>
      <c r="J61" s="136" t="s">
        <v>86</v>
      </c>
      <c r="K61" s="112" t="str">
        <f>IF(AND($F61&gt;1,$F61&lt;&gt;"?"),$F61-1,"")</f>
        <v/>
      </c>
      <c r="L61" s="112" t="str">
        <f>IF(AND($G61&gt;1,$G61&lt;&gt;"?"),$G61-1,"")</f>
        <v/>
      </c>
      <c r="M61" s="112"/>
    </row>
    <row r="62" spans="1:13">
      <c r="D62" s="100" t="s">
        <v>85</v>
      </c>
      <c r="E62" s="101" t="str">
        <f>_xlfn.IFNA(VLOOKUP(MOD((($D$1-WEEKDAY($D$1,2)+1)-45523)/7+3,24),Shift!$A$2:$H$25,WEEKDAY($D$1,2)+1),VLOOKUP(24,Shift!$A$2:$H$25,WEEKDAY($D$1,2)+1))</f>
        <v>M1</v>
      </c>
      <c r="F62" s="101">
        <v>1</v>
      </c>
      <c r="G62" s="101">
        <v>1</v>
      </c>
      <c r="H62" s="101">
        <v>5</v>
      </c>
      <c r="I62" s="102">
        <f t="shared" si="6"/>
        <v>7</v>
      </c>
      <c r="J62" s="137" t="s">
        <v>85</v>
      </c>
      <c r="K62" s="112" t="str">
        <f t="shared" ref="K62:K72" si="7">IF(AND($F62&gt;1,$F62&lt;&gt;"?"),$F62-1,"")</f>
        <v/>
      </c>
      <c r="L62" s="112" t="str">
        <f t="shared" ref="L62:L72" si="8">IF(AND($G62&gt;1,$G62&lt;&gt;"?"),$G62-1,"")</f>
        <v/>
      </c>
      <c r="M62" s="112"/>
    </row>
    <row r="63" spans="1:13">
      <c r="D63" s="100" t="s">
        <v>99</v>
      </c>
      <c r="E63" s="101" t="str">
        <f>_xlfn.IFNA(VLOOKUP(MOD((($D$1-WEEKDAY($D$1,2)+1)-45523)/7+9,24),Shift!$A$2:$H$25,WEEKDAY($D$1,2)+1),VLOOKUP(24,Shift!$A$2:$H$25,WEEKDAY($D$1,2)+1))</f>
        <v>M</v>
      </c>
      <c r="F63" s="101">
        <v>1</v>
      </c>
      <c r="G63" s="101">
        <v>1</v>
      </c>
      <c r="H63" s="101">
        <v>5</v>
      </c>
      <c r="I63" s="102">
        <f t="shared" si="6"/>
        <v>7</v>
      </c>
      <c r="J63" s="137" t="s">
        <v>99</v>
      </c>
      <c r="K63" s="112" t="str">
        <f t="shared" si="7"/>
        <v/>
      </c>
      <c r="L63" s="112" t="str">
        <f t="shared" si="8"/>
        <v/>
      </c>
      <c r="M63" s="112"/>
    </row>
    <row r="64" spans="1:13" ht="16.5" thickBot="1">
      <c r="D64" s="103" t="s">
        <v>100</v>
      </c>
      <c r="E64" s="104" t="str">
        <f>_xlfn.IFNA(VLOOKUP(MOD((($D$1-WEEKDAY($D$1,2)+1)-45523)/7+15,24),Shift!$A$2:$H$25,WEEKDAY($D$1,2)+1),VLOOKUP(24,Shift!$A$2:$H$25,WEEKDAY($D$1,2)+1))</f>
        <v>M @</v>
      </c>
      <c r="F64" s="104">
        <v>1</v>
      </c>
      <c r="G64" s="104">
        <v>0</v>
      </c>
      <c r="H64" s="104">
        <v>5</v>
      </c>
      <c r="I64" s="105">
        <f t="shared" si="6"/>
        <v>6</v>
      </c>
      <c r="J64" s="138" t="s">
        <v>100</v>
      </c>
      <c r="K64" s="112" t="str">
        <f t="shared" si="7"/>
        <v/>
      </c>
      <c r="L64" s="112" t="str">
        <f t="shared" si="8"/>
        <v/>
      </c>
      <c r="M64" s="112"/>
    </row>
    <row r="65" spans="4:13">
      <c r="D65" s="97" t="s">
        <v>101</v>
      </c>
      <c r="E65" s="98" t="str">
        <f>_xlfn.IFNA(VLOOKUP(MOD((($D$1-WEEKDAY($D$1,2)+1)-45523)/7+19,24),Shift!$A$2:$H$25,WEEKDAY($D$1,2)+1),VLOOKUP(24,Shift!$A$2:$H$25,WEEKDAY($D$1,2)+1))</f>
        <v>L</v>
      </c>
      <c r="F65" s="98">
        <f t="shared" ref="F65:H72" si="9">IF(OR($E65="L",$E65="L#"),0,"?")</f>
        <v>0</v>
      </c>
      <c r="G65" s="98">
        <f t="shared" si="9"/>
        <v>0</v>
      </c>
      <c r="H65" s="98">
        <f t="shared" si="9"/>
        <v>0</v>
      </c>
      <c r="I65" s="99">
        <f t="shared" si="6"/>
        <v>0</v>
      </c>
      <c r="J65" s="136" t="s">
        <v>101</v>
      </c>
      <c r="K65" s="112" t="str">
        <f t="shared" si="7"/>
        <v/>
      </c>
      <c r="L65" s="112" t="str">
        <f t="shared" si="8"/>
        <v/>
      </c>
      <c r="M65" s="112"/>
    </row>
    <row r="66" spans="4:13">
      <c r="D66" s="100" t="s">
        <v>102</v>
      </c>
      <c r="E66" s="101" t="str">
        <f>_xlfn.IFNA(VLOOKUP(MOD((($D$1-WEEKDAY($D$1,2)+1)-45523)/7+1,24),Shift!$A$2:$H$25,WEEKDAY($D$1,2)+1),VLOOKUP(24,Shift!$A$2:$H$25,WEEKDAY($D$1,2)+1))</f>
        <v>P4</v>
      </c>
      <c r="F66" s="101">
        <v>1</v>
      </c>
      <c r="G66" s="101">
        <v>1</v>
      </c>
      <c r="H66" s="101">
        <v>5</v>
      </c>
      <c r="I66" s="102">
        <f t="shared" si="6"/>
        <v>7</v>
      </c>
      <c r="J66" s="137" t="s">
        <v>102</v>
      </c>
      <c r="K66" s="112" t="str">
        <f t="shared" si="7"/>
        <v/>
      </c>
      <c r="L66" s="112" t="str">
        <f t="shared" si="8"/>
        <v/>
      </c>
      <c r="M66" s="112"/>
    </row>
    <row r="67" spans="4:13">
      <c r="D67" s="100" t="s">
        <v>103</v>
      </c>
      <c r="E67" s="101" t="str">
        <f>_xlfn.IFNA(VLOOKUP(MOD((($D$1-WEEKDAY($D$1,2)+1)-45523)/7+7,24),Shift!$A$2:$H$25,WEEKDAY($D$1,2)+1),VLOOKUP(24,Shift!$A$2:$H$25,WEEKDAY($D$1,2)+1))</f>
        <v>P1</v>
      </c>
      <c r="F67" s="101">
        <v>2</v>
      </c>
      <c r="G67" s="101">
        <v>1</v>
      </c>
      <c r="H67" s="101">
        <v>5</v>
      </c>
      <c r="I67" s="102">
        <f t="shared" si="6"/>
        <v>8</v>
      </c>
      <c r="J67" s="137" t="s">
        <v>103</v>
      </c>
      <c r="K67" s="112">
        <f t="shared" si="7"/>
        <v>1</v>
      </c>
      <c r="L67" s="112" t="str">
        <f t="shared" si="8"/>
        <v/>
      </c>
      <c r="M67" s="112"/>
    </row>
    <row r="68" spans="4:13" ht="16.5" thickBot="1">
      <c r="D68" s="103" t="s">
        <v>104</v>
      </c>
      <c r="E68" s="104" t="str">
        <f>_xlfn.IFNA(VLOOKUP(MOD((($D$1-WEEKDAY($D$1,2)+1)-45523)/7+13,24),Shift!$A$2:$H$25,WEEKDAY($D$1,2)+1),VLOOKUP(24,Shift!$A$2:$H$25,WEEKDAY($D$1,2)+1))</f>
        <v>P1 @</v>
      </c>
      <c r="F68" s="104">
        <v>1</v>
      </c>
      <c r="G68" s="104">
        <v>1</v>
      </c>
      <c r="H68" s="104">
        <v>5</v>
      </c>
      <c r="I68" s="105">
        <f t="shared" si="6"/>
        <v>7</v>
      </c>
      <c r="J68" s="138" t="s">
        <v>104</v>
      </c>
      <c r="K68" s="112" t="str">
        <f t="shared" si="7"/>
        <v/>
      </c>
      <c r="L68" s="112" t="str">
        <f t="shared" si="8"/>
        <v/>
      </c>
      <c r="M68" s="112"/>
    </row>
    <row r="69" spans="4:13">
      <c r="D69" s="97" t="s">
        <v>105</v>
      </c>
      <c r="E69" s="98" t="str">
        <f>_xlfn.IFNA(VLOOKUP(MOD((($D$1-WEEKDAY($D$1,2)+1)-45523)/7+17,24),Shift!$A$2:$H$25,WEEKDAY($D$1,2)+1),VLOOKUP(24,Shift!$A$2:$H$25,WEEKDAY($D$1,2)+1))</f>
        <v>L</v>
      </c>
      <c r="F69" s="98">
        <f t="shared" si="9"/>
        <v>0</v>
      </c>
      <c r="G69" s="98">
        <f t="shared" si="9"/>
        <v>0</v>
      </c>
      <c r="H69" s="98">
        <f t="shared" si="9"/>
        <v>0</v>
      </c>
      <c r="I69" s="99">
        <f t="shared" si="6"/>
        <v>0</v>
      </c>
      <c r="J69" s="136" t="s">
        <v>105</v>
      </c>
      <c r="K69" s="112" t="str">
        <f t="shared" si="7"/>
        <v/>
      </c>
      <c r="L69" s="112" t="str">
        <f t="shared" si="8"/>
        <v/>
      </c>
      <c r="M69" s="112"/>
    </row>
    <row r="70" spans="4:13">
      <c r="D70" s="100" t="s">
        <v>106</v>
      </c>
      <c r="E70" s="101" t="str">
        <f>_xlfn.IFNA(VLOOKUP(MOD((($D$1-WEEKDAY($D$1,2)+1)-45523)/7+23,24),Shift!$A$2:$H$25,WEEKDAY($D$1,2)+1),VLOOKUP(24,Shift!$A$2:$H$25,WEEKDAY($D$1,2)+1))</f>
        <v>L#</v>
      </c>
      <c r="F70" s="101">
        <f t="shared" si="9"/>
        <v>0</v>
      </c>
      <c r="G70" s="101">
        <f t="shared" si="9"/>
        <v>0</v>
      </c>
      <c r="H70" s="101">
        <f t="shared" si="9"/>
        <v>0</v>
      </c>
      <c r="I70" s="102">
        <f t="shared" si="6"/>
        <v>0</v>
      </c>
      <c r="J70" s="137" t="s">
        <v>106</v>
      </c>
      <c r="K70" s="112" t="str">
        <f t="shared" si="7"/>
        <v/>
      </c>
      <c r="L70" s="112" t="str">
        <f t="shared" si="8"/>
        <v/>
      </c>
      <c r="M70" s="112"/>
    </row>
    <row r="71" spans="4:13">
      <c r="D71" s="100" t="s">
        <v>107</v>
      </c>
      <c r="E71" s="101" t="str">
        <f>_xlfn.IFNA(VLOOKUP(MOD((($D$1-WEEKDAY($D$1,2)+1)-45523)/7+5,24),Shift!$A$2:$H$25,WEEKDAY($D$1,2)+1),VLOOKUP(24,Shift!$A$2:$H$25,WEEKDAY($D$1,2)+1))</f>
        <v>A</v>
      </c>
      <c r="F71" s="101">
        <v>1</v>
      </c>
      <c r="G71" s="101">
        <v>1</v>
      </c>
      <c r="H71" s="101">
        <v>5</v>
      </c>
      <c r="I71" s="102">
        <f t="shared" si="6"/>
        <v>7</v>
      </c>
      <c r="J71" s="137" t="s">
        <v>107</v>
      </c>
      <c r="K71" s="112" t="str">
        <f t="shared" si="7"/>
        <v/>
      </c>
      <c r="L71" s="112" t="str">
        <f t="shared" si="8"/>
        <v/>
      </c>
      <c r="M71" s="112"/>
    </row>
    <row r="72" spans="4:13" ht="16.5" thickBot="1">
      <c r="D72" s="103" t="s">
        <v>108</v>
      </c>
      <c r="E72" s="104" t="str">
        <f>_xlfn.IFNA(VLOOKUP(MOD((($D$1-WEEKDAY($D$1,2)+1)-45523)/7+11,24),Shift!$A$2:$H$25,WEEKDAY($D$1,2)+1),VLOOKUP(24,Shift!$A$2:$H$25,WEEKDAY($D$1,2)+1))</f>
        <v>L</v>
      </c>
      <c r="F72" s="104">
        <f t="shared" si="9"/>
        <v>0</v>
      </c>
      <c r="G72" s="104">
        <f t="shared" si="9"/>
        <v>0</v>
      </c>
      <c r="H72" s="104">
        <f t="shared" si="9"/>
        <v>0</v>
      </c>
      <c r="I72" s="105">
        <f t="shared" si="6"/>
        <v>0</v>
      </c>
      <c r="J72" s="138" t="s">
        <v>108</v>
      </c>
      <c r="K72" s="112" t="str">
        <f t="shared" si="7"/>
        <v/>
      </c>
      <c r="L72" s="112" t="str">
        <f t="shared" si="8"/>
        <v/>
      </c>
      <c r="M72" s="112"/>
    </row>
    <row r="73" spans="4:13">
      <c r="D73" s="144" t="s">
        <v>86</v>
      </c>
      <c r="E73" s="98" t="s">
        <v>127</v>
      </c>
      <c r="F73" s="98"/>
      <c r="G73" s="98"/>
      <c r="H73" s="98"/>
      <c r="I73" s="99">
        <f>IF(OR($E73="L",$E73="L#",$E73="?"),0,SUM($F73:$H73))</f>
        <v>0</v>
      </c>
      <c r="J73" s="211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211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211"/>
    </row>
    <row r="76" spans="4:13" ht="16.5" thickBot="1">
      <c r="D76" s="146" t="s">
        <v>137</v>
      </c>
      <c r="E76" s="104" t="s">
        <v>127</v>
      </c>
      <c r="F76" s="106"/>
      <c r="G76" s="106"/>
      <c r="H76" s="106"/>
      <c r="I76" s="105">
        <f>IF(OR($E76="L",$E76="L#",$E76="?"),0,SUM($F76:$H76))</f>
        <v>0</v>
      </c>
      <c r="J76" s="211"/>
    </row>
    <row r="77" spans="4:13">
      <c r="D77" s="211"/>
      <c r="E77" s="96" t="s">
        <v>98</v>
      </c>
      <c r="F77" s="96" t="str">
        <f>SUM($F$61:$F$76)&amp;IF(SUM($F$61:$H$76)&gt;$I$77,"?","")</f>
        <v>9</v>
      </c>
      <c r="G77" s="96" t="str">
        <f>SUM($G$61:$G$76)&amp;IF(SUM($F$61:$H$76)&gt;$I$77,"?","")</f>
        <v>7</v>
      </c>
      <c r="H77" s="96" t="str">
        <f>SUM($H$61:$H$76)&amp;IF(SUM($F$61:$H$76)&gt;$I$77,"?","")</f>
        <v>39</v>
      </c>
      <c r="I77" s="96">
        <f>SUM(I61:I76)</f>
        <v>55</v>
      </c>
      <c r="J77" s="211"/>
    </row>
    <row r="78" spans="4:13">
      <c r="D78" s="211"/>
      <c r="E78" s="211"/>
      <c r="F78" s="112" t="str">
        <f>IF(SUM($F$61:$F$76)&gt;0,IF(SUM($K$61:$K$72)&gt;0,SUM($F$61:$F$76)-SUM($K$61:$K$72)&amp;"+"&amp;SUM(K61:K72)&amp;"(Fam)",""),"")</f>
        <v>8+1(Fam)</v>
      </c>
      <c r="G78" s="112" t="str">
        <f>IF(SUM($G$61:$G$76)&gt;0,IF(SUM($L$61:$L$72)&gt;0,SUM($G$61:$G$76)-SUM($L$61:$L$72)&amp;"+"&amp;SUM(L61:L72)&amp;"(Fam)",""),"")</f>
        <v/>
      </c>
      <c r="H78" s="112"/>
      <c r="I78" s="211"/>
      <c r="J78" s="211"/>
    </row>
    <row r="80" spans="4:13">
      <c r="D80" s="410" t="s">
        <v>281</v>
      </c>
      <c r="E80" s="410"/>
      <c r="F80" s="410"/>
    </row>
    <row r="81" spans="4:6">
      <c r="D81" s="49" t="str">
        <f>IF(Flight!$A$68=0,"",Flight!$A$68)</f>
        <v/>
      </c>
      <c r="E81" s="163"/>
      <c r="F81" s="164" t="str">
        <f>IF(D81="","",VLOOKUP(D81,Flight!$A$68:$C$91,3,FALSE))</f>
        <v/>
      </c>
    </row>
    <row r="82" spans="4:6">
      <c r="D82" s="49" t="str">
        <f>IF(Flight!$A69=0,"",Flight!$A69)</f>
        <v/>
      </c>
      <c r="F82" s="164" t="str">
        <f>IF(D82="","",VLOOKUP(D82,Flight!$A$68:$C$91,3,FALSE))</f>
        <v/>
      </c>
    </row>
    <row r="83" spans="4:6">
      <c r="D83" s="49" t="str">
        <f>IF(Flight!$A71=0,"",Flight!$A71)</f>
        <v>3A031</v>
      </c>
      <c r="F83" s="164" t="str">
        <f>IF(D83="","",VLOOKUP(D83,Flight!$A$68:$C$91,3,FALSE))</f>
        <v>ZTI</v>
      </c>
    </row>
    <row r="84" spans="4:6">
      <c r="D84" s="49" t="str">
        <f>IF(Flight!$A72=0,"",Flight!$A72)</f>
        <v>3A003</v>
      </c>
      <c r="F84" s="164" t="str">
        <f>IF(D84="","",VLOOKUP(D84,Flight!$A$68:$C$91,3,FALSE))</f>
        <v>ZYK</v>
      </c>
    </row>
    <row r="85" spans="4:6">
      <c r="D85" s="49" t="str">
        <f>IF(Flight!$A73=0,"",Flight!$A73)</f>
        <v>3A005</v>
      </c>
      <c r="F85" s="164" t="str">
        <f>IF(D85="","",VLOOKUP(D85,Flight!$A$68:$C$91,3,FALSE))</f>
        <v>HKM</v>
      </c>
    </row>
    <row r="86" spans="4:6">
      <c r="D86" s="49" t="str">
        <f>IF(Flight!$A74=0,"",Flight!$A74)</f>
        <v>3A007</v>
      </c>
      <c r="F86" s="164" t="str">
        <f>IF(D86="","",VLOOKUP(D86,Flight!$A$68:$C$91,3,FALSE))</f>
        <v>ZYK</v>
      </c>
    </row>
    <row r="87" spans="4:6">
      <c r="D87" s="49" t="str">
        <f>IF(Flight!$A75=0,"",Flight!$A75)</f>
        <v>3A008</v>
      </c>
      <c r="F87" s="164" t="str">
        <f>IF(D87="","",VLOOKUP(D87,Flight!$A$68:$C$91,3,FALSE))</f>
        <v>ZYK</v>
      </c>
    </row>
    <row r="88" spans="4:6">
      <c r="D88" s="49" t="str">
        <f>IF(Flight!$A76=0,"",Flight!$A76)</f>
        <v>3A009</v>
      </c>
      <c r="F88" s="164" t="str">
        <f>IF(D88="","",VLOOKUP(D88,Flight!$A$68:$C$91,3,FALSE))</f>
        <v>ZYK</v>
      </c>
    </row>
    <row r="89" spans="4:6">
      <c r="D89" s="49" t="str">
        <f>IF(Flight!$A77=0,"",Flight!$A77)</f>
        <v>3A010</v>
      </c>
      <c r="F89" s="164" t="str">
        <f>IF(D89="","",VLOOKUP(D89,Flight!$A$68:$C$91,3,FALSE))</f>
        <v>ZYK</v>
      </c>
    </row>
    <row r="90" spans="4:6">
      <c r="D90" s="49" t="str">
        <f>IF(Flight!$A78=0,"",Flight!$A78)</f>
        <v/>
      </c>
      <c r="F90" s="164" t="str">
        <f>IF(D90="","",VLOOKUP(D90,Flight!$A$68:$C$91,3,FALSE))</f>
        <v/>
      </c>
    </row>
    <row r="91" spans="4:6">
      <c r="D91" s="49" t="str">
        <f>IF(Flight!$A80=0,"",Flight!$A80)</f>
        <v>8S7121</v>
      </c>
      <c r="F91" s="164" t="str">
        <f>IF(D91="","",VLOOKUP(D91,Flight!$A$68:$C$91,3,FALSE))</f>
        <v>HKM</v>
      </c>
    </row>
    <row r="92" spans="4:6">
      <c r="D92" s="49" t="str">
        <f>IF(Flight!$A81=0,"",Flight!$A81)</f>
        <v>8S7108</v>
      </c>
      <c r="F92" s="164" t="str">
        <f>IF(D92="","",VLOOKUP(D92,Flight!$A$68:$C$91,3,FALSE))</f>
        <v>ZYK</v>
      </c>
    </row>
    <row r="93" spans="4:6">
      <c r="D93" s="49" t="str">
        <f>IF(Flight!$A82=0,"",Flight!$A82)</f>
        <v>8S7111</v>
      </c>
      <c r="F93" s="164" t="str">
        <f>IF(D93="","",VLOOKUP(D93,Flight!$A$68:$C$91,3,FALSE))</f>
        <v>ZYK</v>
      </c>
    </row>
    <row r="94" spans="4:6">
      <c r="D94" s="49" t="str">
        <f>IF(Flight!$A83=0,"",Flight!$A83)</f>
        <v>8S7131</v>
      </c>
      <c r="F94" s="164" t="str">
        <f>IF(D94="","",VLOOKUP(D94,Flight!$A$68:$C$91,3,FALSE))</f>
        <v>?</v>
      </c>
    </row>
    <row r="95" spans="4:6">
      <c r="D95" s="49" t="str">
        <f>IF(Flight!$A84=0,"",Flight!$A84)</f>
        <v>8S7119</v>
      </c>
      <c r="F95" s="164" t="str">
        <f>IF(D95="","",VLOOKUP(D95,Flight!$A$68:$C$91,3,FALSE))</f>
        <v>HKM</v>
      </c>
    </row>
    <row r="96" spans="4:6">
      <c r="D96" s="49" t="str">
        <f>IF(Flight!$A85=0,"",Flight!$A85)</f>
        <v>8S7126</v>
      </c>
      <c r="F96" s="164" t="str">
        <f>IF(D96="","",VLOOKUP(D96,Flight!$A$68:$C$91,3,FALSE))</f>
        <v>HKM</v>
      </c>
    </row>
    <row r="97" spans="4:6">
      <c r="D97" s="49" t="str">
        <f>IF(Flight!$A86=0,"",Flight!$A86)</f>
        <v>8S7128</v>
      </c>
      <c r="F97" s="164" t="str">
        <f>IF(D97="","",VLOOKUP(D97,Flight!$A$68:$C$91,3,FALSE))</f>
        <v>HKM</v>
      </c>
    </row>
    <row r="98" spans="4:6">
      <c r="D98" s="49" t="str">
        <f>IF(Flight!$A87=0,"",Flight!$A87)</f>
        <v>3A8010</v>
      </c>
      <c r="F98" s="164" t="str">
        <f>IF(D98="","",VLOOKUP(D98,Flight!$A$68:$C$91,3,FALSE))</f>
        <v>HZI</v>
      </c>
    </row>
    <row r="99" spans="4:6">
      <c r="D99" s="49" t="str">
        <f>IF(Flight!$A88=0,"",Flight!$A88)</f>
        <v>3A8015</v>
      </c>
      <c r="F99" s="164" t="str">
        <f>IF(D99="","",VLOOKUP(D99,Flight!$A$68:$C$91,3,FALSE))</f>
        <v>?</v>
      </c>
    </row>
    <row r="100" spans="4:6">
      <c r="D100" s="49" t="str">
        <f>IF(Flight!$A89=0,"",Flight!$A89)</f>
        <v>3A8016</v>
      </c>
      <c r="F100" s="164" t="str">
        <f>IF(D100="","",VLOOKUP(D100,Flight!$A$68:$C$91,3,FALSE))</f>
        <v>HZI</v>
      </c>
    </row>
    <row r="101" spans="4:6">
      <c r="D101" s="49" t="str">
        <f>IF(Flight!$A91=0,"",Flight!$A91)</f>
        <v xml:space="preserve">Last </v>
      </c>
      <c r="F101" s="164" t="str">
        <f>IF(D101="","",VLOOKUP(D101,Flight!$A$68:$C$91,3,FALSE))</f>
        <v>↑</v>
      </c>
    </row>
    <row r="102" spans="4:6">
      <c r="D102" s="49" t="str">
        <f>IF(Flight!$A92=0,"",Flight!$A92)</f>
        <v/>
      </c>
      <c r="F102" s="164" t="str">
        <f>IF(D102="","",VLOOKUP(D102,Flight!$A$68:$C$91,3,FALSE))</f>
        <v/>
      </c>
    </row>
    <row r="103" spans="4:6">
      <c r="D103" s="186"/>
      <c r="F103" s="187"/>
    </row>
    <row r="104" spans="4:6">
      <c r="D104" s="406" t="str">
        <f>IF(Flight!$A$93=0,"",Flight!$A$93)</f>
        <v>Target Flight</v>
      </c>
      <c r="E104" s="406"/>
      <c r="F104" s="406"/>
    </row>
    <row r="105" spans="4:6">
      <c r="D105" s="27" t="s">
        <v>59</v>
      </c>
      <c r="E105" s="158"/>
      <c r="F105" s="10" t="s">
        <v>38</v>
      </c>
    </row>
    <row r="106" spans="4:6">
      <c r="D106" s="27" t="s">
        <v>89</v>
      </c>
      <c r="E106" s="158"/>
      <c r="F106" s="10" t="s">
        <v>38</v>
      </c>
    </row>
    <row r="107" spans="4:6">
      <c r="D107" s="27" t="s">
        <v>254</v>
      </c>
      <c r="E107" s="158"/>
      <c r="F107" s="10" t="s">
        <v>38</v>
      </c>
    </row>
    <row r="108" spans="4:6">
      <c r="D108" s="27" t="s">
        <v>57</v>
      </c>
      <c r="E108" s="158"/>
      <c r="F108" s="10" t="s">
        <v>58</v>
      </c>
    </row>
    <row r="109" spans="4:6">
      <c r="D109" s="27" t="s">
        <v>198</v>
      </c>
      <c r="E109" s="158"/>
      <c r="F109" s="10" t="s">
        <v>199</v>
      </c>
    </row>
    <row r="110" spans="4:6">
      <c r="D110" s="27" t="s">
        <v>55</v>
      </c>
      <c r="E110" s="158"/>
      <c r="F110" s="10" t="s">
        <v>54</v>
      </c>
    </row>
    <row r="111" spans="4:6">
      <c r="D111" s="27" t="s">
        <v>39</v>
      </c>
      <c r="E111" s="158"/>
      <c r="F111" s="10" t="s">
        <v>38</v>
      </c>
    </row>
    <row r="112" spans="4:6">
      <c r="D112" s="27" t="s">
        <v>200</v>
      </c>
      <c r="E112" s="158"/>
      <c r="F112" s="10" t="s">
        <v>54</v>
      </c>
    </row>
    <row r="113" spans="4:6">
      <c r="D113" s="27" t="s">
        <v>201</v>
      </c>
      <c r="E113" s="158"/>
      <c r="F113" s="10" t="s">
        <v>38</v>
      </c>
    </row>
    <row r="114" spans="4:6">
      <c r="D114" s="161" t="s">
        <v>538</v>
      </c>
      <c r="E114" s="158"/>
      <c r="F114" s="159" t="s">
        <v>566</v>
      </c>
    </row>
    <row r="115" spans="4:6">
      <c r="D115" s="161"/>
      <c r="E115" s="158"/>
      <c r="F115" s="159"/>
    </row>
  </sheetData>
  <mergeCells count="82">
    <mergeCell ref="A52:B52"/>
    <mergeCell ref="C52:E52"/>
    <mergeCell ref="F52:G52"/>
    <mergeCell ref="H52:I52"/>
    <mergeCell ref="D53:E53"/>
    <mergeCell ref="F53:G53"/>
    <mergeCell ref="H53:I53"/>
    <mergeCell ref="D104:F104"/>
    <mergeCell ref="A54:B54"/>
    <mergeCell ref="C54:E54"/>
    <mergeCell ref="H54:I54"/>
    <mergeCell ref="C55:H55"/>
    <mergeCell ref="I56:J56"/>
    <mergeCell ref="D80:F80"/>
    <mergeCell ref="K52:M52"/>
    <mergeCell ref="K48:M48"/>
    <mergeCell ref="C49:E49"/>
    <mergeCell ref="G49:I49"/>
    <mergeCell ref="K49:M49"/>
    <mergeCell ref="D50:I50"/>
    <mergeCell ref="K50:M50"/>
    <mergeCell ref="F51:I51"/>
    <mergeCell ref="K51:M51"/>
    <mergeCell ref="D45:E45"/>
    <mergeCell ref="G45:H45"/>
    <mergeCell ref="I45:J45"/>
    <mergeCell ref="A51:B51"/>
    <mergeCell ref="C51:E51"/>
    <mergeCell ref="D47:E47"/>
    <mergeCell ref="G47:H47"/>
    <mergeCell ref="I47:J47"/>
    <mergeCell ref="A46:B46"/>
    <mergeCell ref="D46:E46"/>
    <mergeCell ref="G46:H46"/>
    <mergeCell ref="I46:J46"/>
    <mergeCell ref="A48:B48"/>
    <mergeCell ref="C48:E48"/>
    <mergeCell ref="G48:I48"/>
    <mergeCell ref="A45:B45"/>
    <mergeCell ref="K46:M46"/>
    <mergeCell ref="A42:F42"/>
    <mergeCell ref="I42:M43"/>
    <mergeCell ref="A43:H43"/>
    <mergeCell ref="A6:A7"/>
    <mergeCell ref="B6:C6"/>
    <mergeCell ref="D6:D7"/>
    <mergeCell ref="E6:E7"/>
    <mergeCell ref="F6:F7"/>
    <mergeCell ref="G6:G7"/>
    <mergeCell ref="K45:M45"/>
    <mergeCell ref="H6:H7"/>
    <mergeCell ref="I6:I7"/>
    <mergeCell ref="J6:J7"/>
    <mergeCell ref="K6:M6"/>
    <mergeCell ref="A44:H44"/>
    <mergeCell ref="D1:E1"/>
    <mergeCell ref="D2:E2"/>
    <mergeCell ref="G2:I2"/>
    <mergeCell ref="B3:C3"/>
    <mergeCell ref="D3:E3"/>
    <mergeCell ref="F3:G3"/>
    <mergeCell ref="H3:I3"/>
    <mergeCell ref="B5:C5"/>
    <mergeCell ref="D5:E5"/>
    <mergeCell ref="F5:G5"/>
    <mergeCell ref="H5:I5"/>
    <mergeCell ref="J5:K5"/>
    <mergeCell ref="B4:C4"/>
    <mergeCell ref="D4:E4"/>
    <mergeCell ref="F4:G4"/>
    <mergeCell ref="H4:I4"/>
    <mergeCell ref="J4:K4"/>
    <mergeCell ref="F39:G39"/>
    <mergeCell ref="K39:M39"/>
    <mergeCell ref="K26:M26"/>
    <mergeCell ref="J3:K3"/>
    <mergeCell ref="L3:M3"/>
    <mergeCell ref="L4:M4"/>
    <mergeCell ref="L5:M5"/>
    <mergeCell ref="F26:G26"/>
    <mergeCell ref="K36:M36"/>
    <mergeCell ref="F36:G36"/>
  </mergeCells>
  <phoneticPr fontId="2" type="noConversion"/>
  <conditionalFormatting sqref="H8:H27 E8:E27 E30:E35 H30:H35 H37:H41 E37:E41">
    <cfRule type="cellIs" dxfId="177" priority="8" operator="equal">
      <formula>""</formula>
    </cfRule>
  </conditionalFormatting>
  <conditionalFormatting sqref="F61:H78">
    <cfRule type="cellIs" dxfId="176" priority="7" operator="equal">
      <formula>"?"</formula>
    </cfRule>
  </conditionalFormatting>
  <conditionalFormatting sqref="D8:D27 D115:D998 D30:D35 D37:D113">
    <cfRule type="duplicateValues" dxfId="175" priority="116"/>
  </conditionalFormatting>
  <conditionalFormatting sqref="D114">
    <cfRule type="duplicateValues" dxfId="174" priority="5"/>
  </conditionalFormatting>
  <conditionalFormatting sqref="E28:E29 H28:H29">
    <cfRule type="cellIs" dxfId="173" priority="4" operator="equal">
      <formula>""</formula>
    </cfRule>
  </conditionalFormatting>
  <conditionalFormatting sqref="D28:D29">
    <cfRule type="duplicateValues" dxfId="172" priority="3"/>
  </conditionalFormatting>
  <conditionalFormatting sqref="H36 E36">
    <cfRule type="cellIs" dxfId="171" priority="1" operator="equal">
      <formula>""</formula>
    </cfRule>
  </conditionalFormatting>
  <conditionalFormatting sqref="D36">
    <cfRule type="duplicateValues" dxfId="170" priority="2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Staff!$B$15:$B$39</xm:f>
          </x14:formula1>
          <xm:sqref>D45:E45</xm:sqref>
        </x14:dataValidation>
        <x14:dataValidation type="list" errorStyle="warning" allowBlank="1" showInputMessage="1">
          <x14:formula1>
            <xm:f>Staff!$B$15:$B$39</xm:f>
          </x14:formula1>
          <xm:sqref>D46:E46</xm:sqref>
        </x14:dataValidation>
        <x14:dataValidation type="list" allowBlank="1" showInputMessage="1" showErrorMessage="1">
          <x14:formula1>
            <xm:f>Staff!$G$23:$G$52</xm:f>
          </x14:formula1>
          <xm:sqref>K48:M52</xm:sqref>
        </x14:dataValidation>
        <x14:dataValidation type="list" allowBlank="1" showInputMessage="1">
          <x14:formula1>
            <xm:f>Staff!$G$12:$G$52</xm:f>
          </x14:formula1>
          <xm:sqref>G48:I49</xm:sqref>
        </x14:dataValidation>
        <x14:dataValidation type="list" allowBlank="1" showInputMessage="1" showErrorMessage="1">
          <x14:formula1>
            <xm:f>Staff!$G$2:$G$9</xm:f>
          </x14:formula1>
          <xm:sqref>K45:M46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5"/>
  <sheetViews>
    <sheetView view="pageBreakPreview" zoomScale="85" zoomScaleNormal="100" zoomScaleSheetLayoutView="85" workbookViewId="0">
      <selection activeCell="A10" sqref="A10"/>
    </sheetView>
  </sheetViews>
  <sheetFormatPr defaultRowHeight="15.75"/>
  <cols>
    <col min="1" max="1" width="9.125" style="211" customWidth="1"/>
    <col min="2" max="2" width="10.25" style="211" customWidth="1"/>
    <col min="3" max="3" width="9.75" style="211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02" customWidth="1"/>
    <col min="9" max="9" width="9" style="54" customWidth="1"/>
    <col min="10" max="10" width="9.125" style="54" customWidth="1"/>
    <col min="11" max="13" width="9.125" style="211" customWidth="1"/>
    <col min="14" max="14" width="9" style="211"/>
    <col min="15" max="15" width="10.75" style="112" bestFit="1" customWidth="1"/>
    <col min="16" max="16" width="12.25" style="211" bestFit="1" customWidth="1"/>
    <col min="17" max="16384" width="9" style="211"/>
  </cols>
  <sheetData>
    <row r="1" spans="1:16">
      <c r="A1" s="201"/>
      <c r="B1" s="201"/>
      <c r="C1" s="108" t="s">
        <v>20</v>
      </c>
      <c r="D1" s="355">
        <v>45750</v>
      </c>
      <c r="E1" s="355"/>
      <c r="F1" s="203" t="s">
        <v>23</v>
      </c>
      <c r="G1" s="110">
        <f>D1</f>
        <v>45750</v>
      </c>
      <c r="H1" s="210" t="s">
        <v>24</v>
      </c>
      <c r="I1" s="206"/>
      <c r="J1" s="206"/>
      <c r="K1" s="201"/>
      <c r="L1" s="201"/>
      <c r="M1" s="47"/>
    </row>
    <row r="2" spans="1:16" ht="17.25" customHeight="1" thickBot="1">
      <c r="A2" s="201"/>
      <c r="B2" s="201"/>
      <c r="C2" s="201"/>
      <c r="D2" s="356"/>
      <c r="E2" s="356"/>
      <c r="F2" s="206"/>
      <c r="G2" s="357"/>
      <c r="H2" s="357"/>
      <c r="I2" s="357"/>
      <c r="J2" s="206"/>
      <c r="K2" s="201"/>
      <c r="L2" s="201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S6(7) </v>
      </c>
      <c r="C4" s="367"/>
      <c r="D4" s="366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 &lt;S9(5)&gt;  S10(5) </v>
      </c>
      <c r="E4" s="367"/>
      <c r="F4" s="366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>-</v>
      </c>
      <c r="G4" s="367"/>
      <c r="H4" s="366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S12(5) </v>
      </c>
      <c r="I4" s="367"/>
      <c r="J4" s="366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 &lt;S5(4)&gt;  S8(4) </v>
      </c>
      <c r="K4" s="367"/>
      <c r="L4" s="366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S7(5)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08" t="s">
        <v>52</v>
      </c>
      <c r="C7" s="208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280" t="s">
        <v>785</v>
      </c>
      <c r="B8" s="280" t="s">
        <v>784</v>
      </c>
      <c r="C8" s="280" t="s">
        <v>789</v>
      </c>
      <c r="D8" s="289" t="s">
        <v>66</v>
      </c>
      <c r="E8" s="282" t="s">
        <v>786</v>
      </c>
      <c r="F8" s="427" t="s">
        <v>524</v>
      </c>
      <c r="G8" s="414"/>
      <c r="H8" s="283" t="str">
        <f>IF($D8&gt;0,VLOOKUP($D8,Flight!$A$1:$E$91,3,FALSE),"")</f>
        <v>BKK</v>
      </c>
      <c r="I8" s="283" t="str">
        <f>IF($D8&gt;0,IF(VLOOKUP($D8,Flight!$A$1:$E$91,4,FALSE)&gt;1,VLOOKUP($D8,Flight!$A$1:$E91,4,FALSE),""),"")</f>
        <v/>
      </c>
      <c r="J8" s="283"/>
      <c r="K8" s="428" t="s">
        <v>787</v>
      </c>
      <c r="L8" s="429"/>
      <c r="M8" s="430"/>
      <c r="N8" s="173"/>
    </row>
    <row r="9" spans="1:16" s="248" customFormat="1" ht="16.5" customHeight="1">
      <c r="A9" s="9">
        <v>1</v>
      </c>
      <c r="B9" s="284" t="s">
        <v>463</v>
      </c>
      <c r="C9" s="284" t="s">
        <v>464</v>
      </c>
      <c r="D9" s="285" t="s">
        <v>440</v>
      </c>
      <c r="E9" s="286" t="s">
        <v>441</v>
      </c>
      <c r="F9" s="287"/>
      <c r="G9" s="287"/>
      <c r="H9" s="288" t="s">
        <v>442</v>
      </c>
      <c r="I9" s="288"/>
      <c r="J9" s="288"/>
      <c r="K9" s="425" t="s">
        <v>453</v>
      </c>
      <c r="L9" s="426"/>
      <c r="M9" s="424"/>
      <c r="N9" s="173"/>
      <c r="O9" s="112"/>
    </row>
    <row r="10" spans="1:16" s="248" customFormat="1" ht="16.5" customHeight="1">
      <c r="A10" s="9">
        <f>IF($F10="Wavied","-",IF($D10=0,"",ROW($A9)-ROW($A$9)+1-COUNTIF($A$9:$A9,"@")-COUNTIF($A$9:$A9,"-")))</f>
        <v>1</v>
      </c>
      <c r="B10" s="9" t="s">
        <v>463</v>
      </c>
      <c r="C10" s="9" t="s">
        <v>464</v>
      </c>
      <c r="D10" s="165" t="s">
        <v>443</v>
      </c>
      <c r="E10" s="172" t="s">
        <v>444</v>
      </c>
      <c r="F10" s="43"/>
      <c r="G10" s="43"/>
      <c r="H10" s="44" t="s">
        <v>445</v>
      </c>
      <c r="I10" s="44"/>
      <c r="J10" s="44"/>
      <c r="K10" s="422" t="s">
        <v>453</v>
      </c>
      <c r="L10" s="423"/>
      <c r="M10" s="424"/>
      <c r="N10" s="173"/>
      <c r="O10" s="112"/>
    </row>
    <row r="11" spans="1:16" ht="16.5" customHeight="1">
      <c r="A11" s="9">
        <v>3</v>
      </c>
      <c r="B11" s="9" t="str">
        <f>IF($E11&lt;&gt;"",IF($E11-715&lt;0,VLOOKUP($B$3,$E$61:$J$72,6,FALSE),IF(AND($E11-2130&gt;0,_xlfn.IFNA(MATCH($D11,$D$105:$D$115,0)&lt;20,"")=TRUE),VLOOKUP($L$3,$E$61:$J$72,6,FALSE),"-")),"")</f>
        <v>S6</v>
      </c>
      <c r="C11" s="9" t="str">
        <f>IF($E11&lt;&gt;"",IF(ISNUMBER(SEARCH("Hall Operation",$K11)),"-",IF($E11-715&lt;0,VLOOKUP($B$3,$E$61:$J$72,6,FALSE),IF($E11-2129&gt;0,VLOOKUP($L$3,$E$61:$J$72,6,FALSE),""))),"")</f>
        <v>-</v>
      </c>
      <c r="D11" s="213" t="s">
        <v>446</v>
      </c>
      <c r="E11" s="172" t="str">
        <f>IF($D11&gt;0,VLOOKUP($D11,Flight!$A$1:$E$91,2,FALSE),"")</f>
        <v>0615</v>
      </c>
      <c r="F11" s="45"/>
      <c r="G11" s="43" t="str">
        <f t="shared" ref="G11:G40" si="0">IF(A11="@",IF(H11="ZYK","Berth 3",IF(H11="HKM","Bay 7","")),"")</f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IF($D11&gt;0,IF(VLOOKUP($D11,Flight!$A$1:$E$91,4,FALSE)&gt;1,VLOOKUP($D11,Flight!$A$1:$E92,4,FALSE),""),"")</f>
        <v/>
      </c>
      <c r="J11" s="44" t="str">
        <f>IF($D11&gt;0,IF(VLOOKUP($D11,Flight!$A$1:$E$91,5,FALSE)&gt;1,VLOOKUP($D11,Flight!$A$1:$E$91,5,FALSE),""),"")</f>
        <v/>
      </c>
      <c r="K11" s="166" t="str">
        <f>IF($D11=0,"",IF(OR(ISNUMBER(SEARCH("S",$B11)),_xlfn.IFNA(MATCH($D11,$D$105:$D$115,0)&lt;20,"")=TRUE),"&lt;   Hall Operation   &gt;",""))</f>
        <v>&lt;   Hall Operation   &gt;</v>
      </c>
      <c r="L11" s="166"/>
      <c r="M11" s="166"/>
    </row>
    <row r="12" spans="1:16">
      <c r="A12" s="9">
        <v>4</v>
      </c>
      <c r="B12" s="9" t="str">
        <f>IF($E12&lt;&gt;"",IF($E12-715&lt;0,VLOOKUP($B$3,$E$61:$J$72,6,FALSE),IF(AND($E12-2130&gt;0,_xlfn.IFNA(MATCH($D12,$D$105:$D$115,0)&lt;20,"")=TRUE),VLOOKUP($L$3,$E$61:$J$72,6,FALSE),"-")),"")</f>
        <v>S6</v>
      </c>
      <c r="C12" s="9" t="str">
        <f>IF($E12&lt;&gt;"",IF(ISNUMBER(SEARCH("Hall Operation",$K12)),"-",IF($E12-715&lt;0,VLOOKUP($B$3,$E$61:$J$72,6,FALSE),IF($E12-2129&gt;0,VLOOKUP($L$3,$E$61:$J$72,6,FALSE),""))),"")</f>
        <v>-</v>
      </c>
      <c r="D12" s="213" t="s">
        <v>447</v>
      </c>
      <c r="E12" s="172" t="s">
        <v>448</v>
      </c>
      <c r="F12" s="45"/>
      <c r="G12" s="43" t="str">
        <f t="shared" si="0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IF($D12&gt;0,IF(VLOOKUP($D12,Flight!$A$1:$E$91,4,FALSE)&gt;1,VLOOKUP($D12,Flight!$A$1:$E93,4,FALSE),""),"")</f>
        <v/>
      </c>
      <c r="J12" s="44" t="str">
        <f>IF($D12&gt;0,IF(VLOOKUP($D12,Flight!$A$1:$E$91,5,FALSE)&gt;1,VLOOKUP($D12,Flight!$A$1:$E$91,5,FALSE),""),"")</f>
        <v/>
      </c>
      <c r="K12" s="166" t="str">
        <f>IF($D12=0,"",IF(OR(ISNUMBER(SEARCH("S",$B12)),_xlfn.IFNA(MATCH($D12,$D$105:$D$115,0)&lt;20,"")=TRUE),"&lt;   Hall Operation   &gt;",""))</f>
        <v>&lt;   Hall Operation   &gt;</v>
      </c>
      <c r="L12" s="166"/>
      <c r="M12" s="166"/>
    </row>
    <row r="13" spans="1:16">
      <c r="A13" s="9">
        <v>5</v>
      </c>
      <c r="B13" s="9" t="s">
        <v>465</v>
      </c>
      <c r="C13" s="9" t="str">
        <f>IF($E13&lt;&gt;"",IF(ISNUMBER(SEARCH("Hall Operation",$K13)),"-",IF($E13-715&lt;0,VLOOKUP($B$3,$E$61:$J$72,6,FALSE),IF($E13-2129&gt;0,VLOOKUP($L$3,$E$61:$J$72,6,FALSE),""))),"")</f>
        <v>-</v>
      </c>
      <c r="D13" s="213" t="s">
        <v>369</v>
      </c>
      <c r="E13" s="172" t="s">
        <v>449</v>
      </c>
      <c r="F13" s="46"/>
      <c r="G13" s="43" t="str">
        <f t="shared" si="0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>IF($D13=0,"",IF(OR(ISNUMBER(SEARCH("S",$B13)),_xlfn.IFNA(MATCH($D13,$D$105:$D$115,0)&lt;20,"")=TRUE),"&lt;   Hall Operation   &gt;",""))</f>
        <v>&lt;   Hall Operation   &gt;</v>
      </c>
      <c r="L13" s="166"/>
      <c r="M13" s="166"/>
      <c r="P13" s="87"/>
    </row>
    <row r="14" spans="1:16" s="248" customFormat="1">
      <c r="A14" s="9">
        <v>6</v>
      </c>
      <c r="B14" s="9" t="s">
        <v>465</v>
      </c>
      <c r="C14" s="9" t="s">
        <v>809</v>
      </c>
      <c r="D14" s="213" t="s">
        <v>450</v>
      </c>
      <c r="E14" s="172" t="s">
        <v>451</v>
      </c>
      <c r="F14" s="46"/>
      <c r="G14" s="43"/>
      <c r="H14" s="44" t="s">
        <v>452</v>
      </c>
      <c r="I14" s="44"/>
      <c r="J14" s="44"/>
      <c r="K14" s="422" t="s">
        <v>453</v>
      </c>
      <c r="L14" s="423"/>
      <c r="M14" s="424"/>
      <c r="O14" s="112"/>
      <c r="P14" s="87"/>
    </row>
    <row r="15" spans="1:16">
      <c r="A15" s="9">
        <v>7</v>
      </c>
      <c r="B15" s="9" t="s">
        <v>466</v>
      </c>
      <c r="C15" s="9" t="str">
        <f>IF($E15&lt;&gt;"",IF(ISNUMBER(SEARCH("Hall Operation",$K15)),"-",IF($E15-715&lt;0,VLOOKUP($B$3,$E$61:$J$72,6,FALSE),IF($E15-2129&gt;0,VLOOKUP($L$3,$E$61:$J$72,6,FALSE),""))),"")</f>
        <v>-</v>
      </c>
      <c r="D15" s="213" t="s">
        <v>370</v>
      </c>
      <c r="E15" s="172" t="s">
        <v>454</v>
      </c>
      <c r="F15" s="46"/>
      <c r="G15" s="43" t="str">
        <f t="shared" si="0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IF($D15&gt;0,IF(VLOOKUP($D15,Flight!$A$1:$E$91,4,FALSE)&gt;1,VLOOKUP($D15,Flight!$A$1:$E97,4,FALSE),""),"")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ref="K15:K21" si="1">IF($D15=0,"",IF(OR(ISNUMBER(SEARCH("S",$B15)),_xlfn.IFNA(MATCH($D15,$D$105:$D$115,0)&lt;20,"")=TRUE),"&lt;   Hall Operation   &gt;",""))</f>
        <v>&lt;   Hall Operation   &gt;</v>
      </c>
      <c r="L15" s="166"/>
      <c r="M15" s="166"/>
    </row>
    <row r="16" spans="1:16">
      <c r="A16" s="9">
        <v>8</v>
      </c>
      <c r="B16" s="9" t="s">
        <v>466</v>
      </c>
      <c r="C16" s="9" t="str">
        <f>IF($E16&lt;&gt;"",IF(ISNUMBER(SEARCH("Hall Operation",$K16)),"-",IF($E16-715&lt;0,VLOOKUP($B$3,$E$61:$J$72,6,FALSE),IF($E16-2129&gt;0,VLOOKUP($L$3,$E$61:$J$72,6,FALSE),""))),"")</f>
        <v>-</v>
      </c>
      <c r="D16" s="213" t="s">
        <v>371</v>
      </c>
      <c r="E16" s="172" t="s">
        <v>455</v>
      </c>
      <c r="F16" s="46"/>
      <c r="G16" s="43" t="str">
        <f t="shared" si="0"/>
        <v/>
      </c>
      <c r="H16" s="44" t="str">
        <f>IF($D16&gt;0,VLOOKUP($D16,Flight!$A$1:$E$91,3,FALSE),"")</f>
        <v>BOM</v>
      </c>
      <c r="I16" s="44" t="str">
        <f>IF($D16&gt;0,IF(VLOOKUP($D16,Flight!$A$1:$E$91,4,FALSE)&gt;1,VLOOKUP($D16,Flight!$A$1:$E98,4,FALSE),""),"")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1"/>
        <v>&lt;   Hall Operation   &gt;</v>
      </c>
      <c r="L16" s="166"/>
      <c r="M16" s="166"/>
      <c r="O16" s="114"/>
    </row>
    <row r="17" spans="1:15">
      <c r="A17" s="9">
        <v>9</v>
      </c>
      <c r="B17" s="9" t="s">
        <v>791</v>
      </c>
      <c r="C17" s="9" t="s">
        <v>792</v>
      </c>
      <c r="D17" s="27" t="s">
        <v>372</v>
      </c>
      <c r="E17" s="172">
        <v>1000</v>
      </c>
      <c r="F17" s="45"/>
      <c r="G17" s="43" t="str">
        <f t="shared" si="0"/>
        <v/>
      </c>
      <c r="H17" s="44" t="str">
        <f>IF($D17&gt;0,VLOOKUP($D17,Flight!$A$1:$E$91,3,FALSE),"")</f>
        <v>DMK</v>
      </c>
      <c r="I17" s="44" t="str">
        <f>IF($D17&gt;0,IF(VLOOKUP($D17,Flight!$A$1:$E$91,4,FALSE)&gt;1,VLOOKUP($D17,Flight!$A$1:$E99,4,FALSE),""),"")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1"/>
        <v>&lt;   Hall Operation   &gt;</v>
      </c>
      <c r="L17" s="166"/>
      <c r="M17" s="166"/>
      <c r="O17" s="114"/>
    </row>
    <row r="18" spans="1:15" ht="16.5" customHeight="1">
      <c r="A18" s="9">
        <v>10</v>
      </c>
      <c r="B18" s="9" t="s">
        <v>164</v>
      </c>
      <c r="C18" s="9" t="s">
        <v>464</v>
      </c>
      <c r="D18" s="27" t="s">
        <v>373</v>
      </c>
      <c r="E18" s="172">
        <v>1010</v>
      </c>
      <c r="F18" s="45"/>
      <c r="G18" s="43" t="str">
        <f t="shared" si="0"/>
        <v/>
      </c>
      <c r="H18" s="44" t="str">
        <f>IF($D18&gt;0,VLOOKUP($D18,Flight!$A$1:$E$91,3,FALSE),"")</f>
        <v>MNL</v>
      </c>
      <c r="I18" s="44" t="str">
        <f>IF($D18&gt;0,IF(VLOOKUP($D18,Flight!$A$1:$E$91,4,FALSE)&gt;1,VLOOKUP($D18,Flight!$A$1:$E100,4,FALSE),""),"")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1"/>
        <v>&lt;   Hall Operation   &gt;</v>
      </c>
      <c r="L18" s="166"/>
      <c r="M18" s="166"/>
      <c r="O18" s="114"/>
    </row>
    <row r="19" spans="1:15">
      <c r="A19" s="9">
        <v>11</v>
      </c>
      <c r="B19" s="9" t="s">
        <v>166</v>
      </c>
      <c r="C19" s="9" t="s">
        <v>464</v>
      </c>
      <c r="D19" s="27" t="s">
        <v>374</v>
      </c>
      <c r="E19" s="172" t="str">
        <f>IF($D19&gt;0,VLOOKUP($D19,Flight!$A$1:$E$91,2,FALSE),"")</f>
        <v>1115</v>
      </c>
      <c r="F19" s="45"/>
      <c r="G19" s="43" t="str">
        <f t="shared" si="0"/>
        <v/>
      </c>
      <c r="H19" s="44" t="str">
        <f>IF($D19&gt;0,VLOOKUP($D19,Flight!$A$1:$E$91,3,FALSE),"")</f>
        <v>KUL</v>
      </c>
      <c r="I19" s="44" t="str">
        <f>IF($D19&gt;0,IF(VLOOKUP($D19,Flight!$A$1:$E$91,4,FALSE)&gt;1,VLOOKUP($D19,Flight!$A$1:$E101,4,FALSE),""),"")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1"/>
        <v>&lt;   Hall Operation   &gt;</v>
      </c>
      <c r="L19" s="166"/>
      <c r="M19" s="166"/>
      <c r="O19" s="114"/>
    </row>
    <row r="20" spans="1:15">
      <c r="A20" s="9">
        <v>12</v>
      </c>
      <c r="B20" s="9" t="str">
        <f>IF($E20&lt;&gt;"",IF($E20-715&lt;0,VLOOKUP($B$3,$E$61:$J$72,6,FALSE),IF(AND($E20-2130&gt;0,_xlfn.IFNA(MATCH($D20,$D$105:$D$115,0)&lt;20,"")=TRUE),VLOOKUP($L$3,$E$61:$J$72,6,FALSE),"-")),"")</f>
        <v>-</v>
      </c>
      <c r="C20" s="9" t="s">
        <v>465</v>
      </c>
      <c r="D20" s="27" t="s">
        <v>375</v>
      </c>
      <c r="E20" s="172" t="str">
        <f>IF($D20&gt;0,VLOOKUP($D20,Flight!$A$1:$E$91,2,FALSE),"")</f>
        <v>1145</v>
      </c>
      <c r="F20" s="45">
        <v>1130</v>
      </c>
      <c r="G20" s="43" t="s">
        <v>793</v>
      </c>
      <c r="H20" s="44" t="str">
        <f>IF($D20&gt;0,VLOOKUP($D20,Flight!$A$1:$E$91,3,FALSE),"")</f>
        <v>BKK</v>
      </c>
      <c r="I20" s="44" t="str">
        <f>IF($D20&gt;0,IF(VLOOKUP($D20,Flight!$A$1:$E$91,4,FALSE)&gt;1,VLOOKUP($D20,Flight!$A$1:$E102,4,FALSE),""),"")</f>
        <v/>
      </c>
      <c r="J20" s="44" t="str">
        <f>IF($D20&gt;0,IF(VLOOKUP($D20,Flight!$A$1:$E$91,5,FALSE)&gt;1,VLOOKUP($D20,Flight!$A$1:$E$91,5,FALSE),""),"")</f>
        <v/>
      </c>
      <c r="K20" s="166">
        <v>1</v>
      </c>
      <c r="L20" s="166">
        <v>1</v>
      </c>
      <c r="M20" s="166">
        <v>2</v>
      </c>
      <c r="O20" s="114"/>
    </row>
    <row r="21" spans="1:15" s="248" customFormat="1">
      <c r="A21" s="9">
        <v>13</v>
      </c>
      <c r="B21" s="9" t="s">
        <v>164</v>
      </c>
      <c r="C21" s="9" t="s">
        <v>464</v>
      </c>
      <c r="D21" s="27" t="s">
        <v>456</v>
      </c>
      <c r="E21" s="172">
        <v>1200</v>
      </c>
      <c r="F21" s="45"/>
      <c r="G21" s="43"/>
      <c r="H21" s="44" t="s">
        <v>445</v>
      </c>
      <c r="I21" s="44"/>
      <c r="J21" s="44"/>
      <c r="K21" s="166" t="str">
        <f t="shared" si="1"/>
        <v>&lt;   Hall Operation   &gt;</v>
      </c>
      <c r="L21" s="166"/>
      <c r="M21" s="166"/>
      <c r="O21" s="114"/>
    </row>
    <row r="22" spans="1:15">
      <c r="A22" s="9">
        <v>14</v>
      </c>
      <c r="B22" s="9" t="s">
        <v>794</v>
      </c>
      <c r="C22" s="9" t="s">
        <v>464</v>
      </c>
      <c r="D22" s="9" t="s">
        <v>376</v>
      </c>
      <c r="E22" s="172" t="str">
        <f>IF($D22&gt;0,VLOOKUP($D22,Flight!$A$1:$E$91,2,FALSE),"")</f>
        <v>1305</v>
      </c>
      <c r="F22" s="45"/>
      <c r="G22" s="43" t="str">
        <f t="shared" si="0"/>
        <v/>
      </c>
      <c r="H22" s="44" t="str">
        <f>IF($D22&gt;0,VLOOKUP($D22,Flight!$A$1:$E$91,3,FALSE),"")</f>
        <v>DMK</v>
      </c>
      <c r="I22" s="44" t="str">
        <f>IF($D22&gt;0,IF(VLOOKUP($D22,Flight!$A$1:$E$91,4,FALSE)&gt;1,VLOOKUP($D22,Flight!$A$1:$E103,4,FALSE),""),"")</f>
        <v/>
      </c>
      <c r="J22" s="44" t="str">
        <f>IF($D22&gt;0,IF(VLOOKUP($D22,Flight!$A$1:$E$91,5,FALSE)&gt;1,VLOOKUP($D22,Flight!$A$1:$E$91,5,FALSE),""),"")</f>
        <v/>
      </c>
      <c r="K22" s="166" t="str">
        <f>IF($D22=0,"",IF(OR(ISNUMBER(SEARCH("S",$B22)),_xlfn.IFNA(MATCH($D22,$D$105:$D$115,0)&lt;20,"")=TRUE),"&lt;   Hall Operation   &gt;",""))</f>
        <v>&lt;   Hall Operation   &gt;</v>
      </c>
      <c r="L22" s="166"/>
      <c r="M22" s="166"/>
      <c r="O22" s="114"/>
    </row>
    <row r="23" spans="1:15" ht="15.75" customHeight="1">
      <c r="A23" s="9">
        <v>15</v>
      </c>
      <c r="B23" s="9" t="s">
        <v>465</v>
      </c>
      <c r="C23" s="9" t="str">
        <f>IF($E23&lt;&gt;"",IF(ISNUMBER(SEARCH("Hall Operation",$K23)),"-",IF($E23-715&lt;0,VLOOKUP($B$3,$E$61:$J$72,6,FALSE),IF($E23-2129&gt;0,VLOOKUP($L$3,$E$61:$J$72,6,FALSE),""))),"")</f>
        <v>-</v>
      </c>
      <c r="D23" s="214" t="s">
        <v>377</v>
      </c>
      <c r="E23" s="172" t="str">
        <f>IF($D23&gt;0,VLOOKUP($D23,Flight!$A$1:$E$91,2,FALSE),"")</f>
        <v>1310</v>
      </c>
      <c r="F23" s="44"/>
      <c r="G23" s="43" t="str">
        <f t="shared" si="0"/>
        <v/>
      </c>
      <c r="H23" s="44" t="str">
        <f>IF($D23&gt;0,VLOOKUP($D23,Flight!$A$1:$E$91,3,FALSE),"")</f>
        <v>DEL</v>
      </c>
      <c r="I23" s="44" t="str">
        <f>IF($D23&gt;0,IF(VLOOKUP($D23,Flight!$A$1:$E$91,4,FALSE)&gt;1,VLOOKUP($D23,Flight!$A$1:$E104,4,FALSE),""),"")</f>
        <v/>
      </c>
      <c r="J23" s="44" t="str">
        <f>IF($D23&gt;0,IF(VLOOKUP($D23,Flight!$A$1:$E$91,5,FALSE)&gt;1,VLOOKUP($D23,Flight!$A$1:$E$91,5,FALSE),""),"")</f>
        <v/>
      </c>
      <c r="K23" s="166" t="str">
        <f>IF($D23=0,"",IF(OR(ISNUMBER(SEARCH("S",$B23)),_xlfn.IFNA(MATCH($D23,$D$105:$D$115,0)&lt;20,"")=TRUE),"&lt;   Hall Operation   &gt;",""))</f>
        <v>&lt;   Hall Operation   &gt;</v>
      </c>
      <c r="L23" s="166"/>
      <c r="M23" s="166"/>
      <c r="O23" s="114"/>
    </row>
    <row r="24" spans="1:15">
      <c r="A24" s="9">
        <v>16</v>
      </c>
      <c r="B24" s="9" t="str">
        <f>IF($E24&lt;&gt;"",IF($E24-715&lt;0,VLOOKUP($B$3,$E$61:$J$72,6,FALSE),IF(AND($E24-2130&gt;0,_xlfn.IFNA(MATCH($D24,$D$105:$D$115,0)&lt;20,"")=TRUE),VLOOKUP($L$3,$E$61:$J$72,6,FALSE),"-")),"")</f>
        <v>-</v>
      </c>
      <c r="C24" s="9" t="s">
        <v>466</v>
      </c>
      <c r="D24" s="9" t="s">
        <v>378</v>
      </c>
      <c r="E24" s="172">
        <v>1415</v>
      </c>
      <c r="F24" s="44">
        <v>1436</v>
      </c>
      <c r="G24" s="43" t="s">
        <v>797</v>
      </c>
      <c r="H24" s="44" t="str">
        <f>IF($D24&gt;0,VLOOKUP($D24,Flight!$A$1:$E$91,3,FALSE),"")</f>
        <v>KUL</v>
      </c>
      <c r="I24" s="44" t="str">
        <f>IF($D24&gt;0,IF(VLOOKUP($D24,Flight!$A$1:$E$91,4,FALSE)&gt;1,VLOOKUP($D24,Flight!$A$1:$E105,4,FALSE),""),"")</f>
        <v/>
      </c>
      <c r="J24" s="44" t="str">
        <f>IF($D24&gt;0,IF(VLOOKUP($D24,Flight!$A$1:$E$91,5,FALSE)&gt;1,VLOOKUP($D24,Flight!$A$1:$E$91,5,FALSE),""),"")</f>
        <v/>
      </c>
      <c r="K24" s="166">
        <v>1</v>
      </c>
      <c r="L24" s="166">
        <v>1</v>
      </c>
      <c r="M24" s="166">
        <v>3</v>
      </c>
      <c r="O24" s="114"/>
    </row>
    <row r="25" spans="1:15">
      <c r="A25" s="251" t="s">
        <v>796</v>
      </c>
      <c r="B25" s="251" t="str">
        <f>IF($E25&lt;&gt;"",IF($E25-715&lt;0,VLOOKUP($B$3,$E$61:$J$72,6,FALSE),IF(AND($E25-2130&gt;0,_xlfn.IFNA(MATCH($D25,$D$105:$D$115,0)&lt;20,"")=TRUE),VLOOKUP($L$3,$E$61:$J$72,6,FALSE),"-")),"")</f>
        <v>-</v>
      </c>
      <c r="C25" s="251" t="s">
        <v>464</v>
      </c>
      <c r="D25" s="252" t="s">
        <v>379</v>
      </c>
      <c r="E25" s="253" t="str">
        <f>IF($D25&gt;0,VLOOKUP($D25,Flight!$A$1:$E$91,2,FALSE),"")</f>
        <v>1420</v>
      </c>
      <c r="F25" s="431" t="s">
        <v>524</v>
      </c>
      <c r="G25" s="403"/>
      <c r="H25" s="254" t="str">
        <f>IF($D25&gt;0,VLOOKUP($D25,Flight!$A$1:$E$91,3,FALSE),"")</f>
        <v>BKK</v>
      </c>
      <c r="I25" s="254" t="str">
        <f>IF($D25&gt;0,IF(VLOOKUP($D25,Flight!$A$1:$E$91,4,FALSE)&gt;1,VLOOKUP($D25,Flight!$A$1:$E106,4,FALSE),""),"")</f>
        <v/>
      </c>
      <c r="J25" s="254" t="str">
        <f>IF($D25&gt;0,IF(VLOOKUP($D25,Flight!$A$1:$E$91,5,FALSE)&gt;1,VLOOKUP($D25,Flight!$A$1:$E$91,5,FALSE),""),"")</f>
        <v/>
      </c>
      <c r="K25" s="292" t="s">
        <v>787</v>
      </c>
      <c r="L25" s="292"/>
      <c r="M25" s="292"/>
      <c r="O25" s="114"/>
    </row>
    <row r="26" spans="1:15" s="248" customFormat="1">
      <c r="A26" s="9">
        <v>17</v>
      </c>
      <c r="B26" s="9" t="s">
        <v>166</v>
      </c>
      <c r="C26" s="9" t="s">
        <v>464</v>
      </c>
      <c r="D26" s="27" t="s">
        <v>462</v>
      </c>
      <c r="E26" s="172">
        <v>1450</v>
      </c>
      <c r="F26" s="44"/>
      <c r="G26" s="43"/>
      <c r="H26" s="44" t="s">
        <v>445</v>
      </c>
      <c r="I26" s="44"/>
      <c r="J26" s="44"/>
      <c r="K26" s="166" t="str">
        <f t="shared" ref="K26:K41" si="2">IF($D26=0,"",IF(OR(ISNUMBER(SEARCH("S",$B26)),_xlfn.IFNA(MATCH($D26,$D$105:$D$115,0)&lt;20,"")=TRUE),"&lt;   Hall Operation   &gt;",""))</f>
        <v>&lt;   Hall Operation   &gt;</v>
      </c>
      <c r="L26" s="166"/>
      <c r="M26" s="166"/>
      <c r="O26" s="114"/>
    </row>
    <row r="27" spans="1:15">
      <c r="A27" s="9">
        <v>18</v>
      </c>
      <c r="B27" s="9" t="s">
        <v>795</v>
      </c>
      <c r="C27" s="9" t="s">
        <v>809</v>
      </c>
      <c r="D27" s="27" t="s">
        <v>380</v>
      </c>
      <c r="E27" s="172">
        <v>1455</v>
      </c>
      <c r="F27" s="45"/>
      <c r="G27" s="43" t="str">
        <f t="shared" si="0"/>
        <v/>
      </c>
      <c r="H27" s="44" t="str">
        <f>IF($D27&gt;0,VLOOKUP($D27,Flight!$A$1:$E$91,3,FALSE),"")</f>
        <v>ADD</v>
      </c>
      <c r="I27" s="44" t="str">
        <f>IF($D27&gt;0,IF(VLOOKUP($D27,Flight!$A$1:$E$91,4,FALSE)&gt;1,VLOOKUP($D27,Flight!$A$1:$E107,4,FALSE),""),"")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>&lt;   Hall Operation   &gt;</v>
      </c>
      <c r="L27" s="166"/>
      <c r="M27" s="166"/>
      <c r="O27" s="114"/>
    </row>
    <row r="28" spans="1:15">
      <c r="A28" s="9">
        <v>19</v>
      </c>
      <c r="B28" s="9" t="s">
        <v>803</v>
      </c>
      <c r="C28" s="9" t="s">
        <v>464</v>
      </c>
      <c r="D28" s="27" t="s">
        <v>381</v>
      </c>
      <c r="E28" s="172">
        <v>1510</v>
      </c>
      <c r="F28" s="45"/>
      <c r="G28" s="43" t="str">
        <f t="shared" si="0"/>
        <v/>
      </c>
      <c r="H28" s="44" t="str">
        <f>IF($D28&gt;0,VLOOKUP($D28,Flight!$A$1:$E$91,3,FALSE),"")</f>
        <v>DOH</v>
      </c>
      <c r="I28" s="44" t="str">
        <f>IF($D28&gt;0,IF(VLOOKUP($D28,Flight!$A$1:$E$91,4,FALSE)&gt;1,VLOOKUP($D28,Flight!$A$1:$E108,4,FALSE),""),"")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>&lt;   Hall Operation   &gt;</v>
      </c>
      <c r="L28" s="166"/>
      <c r="M28" s="166"/>
      <c r="O28" s="114"/>
    </row>
    <row r="29" spans="1:15">
      <c r="A29" s="9">
        <v>20</v>
      </c>
      <c r="B29" s="9" t="s">
        <v>810</v>
      </c>
      <c r="C29" s="9" t="s">
        <v>464</v>
      </c>
      <c r="D29" s="27" t="s">
        <v>382</v>
      </c>
      <c r="E29" s="172">
        <v>1715</v>
      </c>
      <c r="F29" s="44"/>
      <c r="G29" s="43" t="str">
        <f t="shared" si="0"/>
        <v/>
      </c>
      <c r="H29" s="44" t="str">
        <f>IF($D29&gt;0,VLOOKUP($D29,Flight!$A$1:$E$91,3,FALSE),"")</f>
        <v>IST</v>
      </c>
      <c r="I29" s="44" t="str">
        <f>IF($D29&gt;0,IF(VLOOKUP($D29,Flight!$A$1:$E$91,4,FALSE)&gt;1,VLOOKUP($D29,Flight!$A$1:$E109,4,FALSE),""),"")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>&lt;   Hall Operation   &gt;</v>
      </c>
      <c r="L29" s="166"/>
      <c r="M29" s="166"/>
      <c r="O29" s="114"/>
    </row>
    <row r="30" spans="1:15" s="248" customFormat="1">
      <c r="A30" s="9">
        <v>21</v>
      </c>
      <c r="B30" s="9" t="s">
        <v>804</v>
      </c>
      <c r="C30" s="9" t="s">
        <v>809</v>
      </c>
      <c r="D30" s="27" t="s">
        <v>457</v>
      </c>
      <c r="E30" s="172">
        <v>1720</v>
      </c>
      <c r="F30" s="44"/>
      <c r="G30" s="43"/>
      <c r="H30" s="44" t="s">
        <v>458</v>
      </c>
      <c r="I30" s="44"/>
      <c r="J30" s="44"/>
      <c r="K30" s="166" t="str">
        <f t="shared" si="2"/>
        <v>&lt;   Hall Operation   &gt;</v>
      </c>
      <c r="L30" s="166"/>
      <c r="M30" s="166"/>
      <c r="O30" s="114"/>
    </row>
    <row r="31" spans="1:15">
      <c r="A31" s="9">
        <v>22</v>
      </c>
      <c r="B31" s="9" t="s">
        <v>808</v>
      </c>
      <c r="C31" s="9" t="s">
        <v>464</v>
      </c>
      <c r="D31" s="27" t="s">
        <v>383</v>
      </c>
      <c r="E31" s="172">
        <v>1755</v>
      </c>
      <c r="F31" s="45"/>
      <c r="G31" s="43" t="str">
        <f t="shared" si="0"/>
        <v/>
      </c>
      <c r="H31" s="44" t="str">
        <f>IF($D31&gt;0,VLOOKUP($D31,Flight!$A$1:$E$91,3,FALSE),"")</f>
        <v>KUL</v>
      </c>
      <c r="I31" s="44" t="str">
        <f>IF($D31&gt;0,IF(VLOOKUP($D31,Flight!$A$1:$E$91,4,FALSE)&gt;1,VLOOKUP($D31,Flight!$A$1:$E110,4,FALSE),""),"")</f>
        <v/>
      </c>
      <c r="J31" s="44" t="str">
        <f>IF($D31&gt;0,IF(VLOOKUP($D31,Flight!$A$1:$E$91,5,FALSE)&gt;1,VLOOKUP($D31,Flight!$A$1:$E$91,5,FALSE),""),"")</f>
        <v/>
      </c>
      <c r="K31" s="422" t="s">
        <v>453</v>
      </c>
      <c r="L31" s="423"/>
      <c r="M31" s="424"/>
      <c r="O31" s="114"/>
    </row>
    <row r="32" spans="1:15">
      <c r="A32" s="9">
        <v>23</v>
      </c>
      <c r="B32" s="9" t="str">
        <f t="shared" ref="B32" si="3">IF($E32&lt;&gt;"",IF($E32-715&lt;0,VLOOKUP($B$3,$E$61:$J$72,6,FALSE),IF(AND($E32-2130&gt;0,_xlfn.IFNA(MATCH($D32,$D$105:$D$115,0)&lt;20,"")=TRUE),VLOOKUP($L$3,$E$61:$J$72,6,FALSE),"-")),"")</f>
        <v>-</v>
      </c>
      <c r="C32" s="9" t="s">
        <v>705</v>
      </c>
      <c r="D32" s="27" t="s">
        <v>384</v>
      </c>
      <c r="E32" s="172">
        <v>1805</v>
      </c>
      <c r="F32" s="45">
        <v>1758</v>
      </c>
      <c r="G32" s="43" t="s">
        <v>805</v>
      </c>
      <c r="H32" s="44" t="str">
        <f>IF($D32&gt;0,VLOOKUP($D32,Flight!$A$1:$E$91,3,FALSE),"")</f>
        <v>DXB</v>
      </c>
      <c r="I32" s="44" t="str">
        <f>IF($D32&gt;0,IF(VLOOKUP($D32,Flight!$A$1:$E$91,4,FALSE)&gt;1,VLOOKUP($D32,Flight!$A$1:$E111,4,FALSE),""),"")</f>
        <v>BKK</v>
      </c>
      <c r="J32" s="44" t="str">
        <f>IF($D32&gt;0,IF(VLOOKUP($D32,Flight!$A$1:$E$91,5,FALSE)&gt;1,VLOOKUP($D32,Flight!$A$1:$E$91,5,FALSE),""),"")</f>
        <v/>
      </c>
      <c r="K32" s="166">
        <v>1</v>
      </c>
      <c r="L32" s="166">
        <v>1</v>
      </c>
      <c r="M32" s="166">
        <v>2</v>
      </c>
    </row>
    <row r="33" spans="1:18">
      <c r="A33" s="9">
        <v>24</v>
      </c>
      <c r="B33" s="9" t="s">
        <v>808</v>
      </c>
      <c r="C33" s="9" t="s">
        <v>464</v>
      </c>
      <c r="D33" s="27" t="s">
        <v>385</v>
      </c>
      <c r="E33" s="172" t="str">
        <f>IF($D33&gt;0,VLOOKUP($D33,Flight!$A$1:$E$91,2,FALSE),"")</f>
        <v>1810</v>
      </c>
      <c r="F33" s="45"/>
      <c r="G33" s="43" t="str">
        <f t="shared" si="0"/>
        <v/>
      </c>
      <c r="H33" s="44" t="str">
        <f>IF($D33&gt;0,VLOOKUP($D33,Flight!$A$1:$E$91,3,FALSE),"")</f>
        <v>MNL</v>
      </c>
      <c r="I33" s="44" t="str">
        <f>IF($D33&gt;0,IF(VLOOKUP($D33,Flight!$A$1:$E$91,4,FALSE)&gt;1,VLOOKUP($D33,Flight!$A$1:$E113,4,FALSE),""),"")</f>
        <v/>
      </c>
      <c r="J33" s="44" t="str">
        <f>IF($D33&gt;0,IF(VLOOKUP($D33,Flight!$A$1:$E$91,5,FALSE)&gt;1,VLOOKUP($D33,Flight!$A$1:$E$91,5,FALSE),""),"")</f>
        <v/>
      </c>
      <c r="K33" s="422" t="s">
        <v>453</v>
      </c>
      <c r="L33" s="423"/>
      <c r="M33" s="424"/>
    </row>
    <row r="34" spans="1:18">
      <c r="A34" s="9">
        <v>25</v>
      </c>
      <c r="B34" s="9" t="s">
        <v>804</v>
      </c>
      <c r="C34" s="9" t="s">
        <v>809</v>
      </c>
      <c r="D34" s="27" t="s">
        <v>459</v>
      </c>
      <c r="E34" s="172">
        <v>1820</v>
      </c>
      <c r="F34" s="45"/>
      <c r="G34" s="43" t="str">
        <f t="shared" si="0"/>
        <v/>
      </c>
      <c r="H34" s="44" t="str">
        <f>IF($D34&gt;0,VLOOKUP($D34,Flight!$A$1:$E$91,3,FALSE),"")</f>
        <v>SIN</v>
      </c>
      <c r="I34" s="44" t="str">
        <f>IF($D34&gt;0,IF(VLOOKUP($D34,Flight!$A$1:$E$91,4,FALSE)&gt;1,VLOOKUP($D34,Flight!$A$1:$E114,4,FALSE),""),"")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2"/>
        <v>&lt;   Hall Operation   &gt;</v>
      </c>
      <c r="L34" s="166"/>
      <c r="M34" s="166"/>
    </row>
    <row r="35" spans="1:18">
      <c r="A35" s="9">
        <v>26</v>
      </c>
      <c r="B35" s="9" t="s">
        <v>808</v>
      </c>
      <c r="C35" s="9" t="s">
        <v>464</v>
      </c>
      <c r="D35" s="27" t="s">
        <v>387</v>
      </c>
      <c r="E35" s="172">
        <v>1920</v>
      </c>
      <c r="F35" s="46"/>
      <c r="G35" s="43" t="str">
        <f t="shared" si="0"/>
        <v/>
      </c>
      <c r="H35" s="44" t="str">
        <f>IF($D35&gt;0,VLOOKUP($D35,Flight!$A$1:$E$91,3,FALSE),"")</f>
        <v>DMK</v>
      </c>
      <c r="I35" s="44" t="str">
        <f>IF($D35&gt;0,IF(VLOOKUP($D35,Flight!$A$1:$E$91,4,FALSE)&gt;1,VLOOKUP($D35,Flight!$A$1:$E115,4,FALSE),""),"")</f>
        <v/>
      </c>
      <c r="J35" s="44" t="str">
        <f>IF($D35&gt;0,IF(VLOOKUP($D35,Flight!$A$1:$E$91,5,FALSE)&gt;1,VLOOKUP($D35,Flight!$A$1:$E$91,5,FALSE),""),"")</f>
        <v/>
      </c>
      <c r="K35" s="422" t="s">
        <v>453</v>
      </c>
      <c r="L35" s="423"/>
      <c r="M35" s="424"/>
    </row>
    <row r="36" spans="1:18">
      <c r="A36" s="9">
        <v>27</v>
      </c>
      <c r="B36" s="9" t="s">
        <v>804</v>
      </c>
      <c r="C36" s="9" t="s">
        <v>809</v>
      </c>
      <c r="D36" s="27" t="s">
        <v>388</v>
      </c>
      <c r="E36" s="172">
        <v>1950</v>
      </c>
      <c r="F36" s="45"/>
      <c r="G36" s="43" t="str">
        <f t="shared" si="0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IF($D36&gt;0,IF(VLOOKUP($D36,Flight!$A$1:$E$91,4,FALSE)&gt;1,VLOOKUP($D36,Flight!$A$1:$E116,4,FALSE),""),"")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2"/>
        <v>&lt;   Hall Operation   &gt;</v>
      </c>
      <c r="L36" s="166"/>
      <c r="M36" s="166"/>
    </row>
    <row r="37" spans="1:18">
      <c r="A37" s="9">
        <v>28</v>
      </c>
      <c r="B37" s="9" t="s">
        <v>808</v>
      </c>
      <c r="C37" s="9" t="s">
        <v>464</v>
      </c>
      <c r="D37" s="27" t="s">
        <v>389</v>
      </c>
      <c r="E37" s="172">
        <v>2030</v>
      </c>
      <c r="F37" s="45"/>
      <c r="G37" s="43" t="str">
        <f t="shared" si="0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IF($D37&gt;0,IF(VLOOKUP($D37,Flight!$A$1:$E$91,4,FALSE)&gt;1,VLOOKUP($D37,Flight!$A$1:$E117,4,FALSE),""),"")</f>
        <v/>
      </c>
      <c r="J37" s="44" t="str">
        <f>IF($D37&gt;0,IF(VLOOKUP($D37,Flight!$A$1:$E$91,5,FALSE)&gt;1,VLOOKUP($D37,Flight!$A$1:$E$91,5,FALSE),""),"")</f>
        <v/>
      </c>
      <c r="K37" s="422" t="s">
        <v>453</v>
      </c>
      <c r="L37" s="423"/>
      <c r="M37" s="424"/>
      <c r="P37" s="84"/>
    </row>
    <row r="38" spans="1:18" s="248" customFormat="1">
      <c r="A38" s="251">
        <v>29</v>
      </c>
      <c r="B38" s="251" t="s">
        <v>162</v>
      </c>
      <c r="C38" s="251" t="s">
        <v>464</v>
      </c>
      <c r="D38" s="213" t="s">
        <v>460</v>
      </c>
      <c r="E38" s="253">
        <v>2120</v>
      </c>
      <c r="F38" s="290"/>
      <c r="G38" s="291"/>
      <c r="H38" s="254" t="s">
        <v>461</v>
      </c>
      <c r="I38" s="254"/>
      <c r="J38" s="254"/>
      <c r="K38" s="415" t="s">
        <v>780</v>
      </c>
      <c r="L38" s="416"/>
      <c r="M38" s="417"/>
      <c r="O38" s="112"/>
      <c r="P38" s="84"/>
    </row>
    <row r="39" spans="1:18">
      <c r="A39" s="9">
        <v>30</v>
      </c>
      <c r="B39" s="9" t="s">
        <v>807</v>
      </c>
      <c r="C39" s="9" t="s">
        <v>806</v>
      </c>
      <c r="D39" s="27" t="s">
        <v>390</v>
      </c>
      <c r="E39" s="172">
        <v>2155</v>
      </c>
      <c r="F39" s="45"/>
      <c r="G39" s="43" t="str">
        <f t="shared" si="0"/>
        <v/>
      </c>
      <c r="H39" s="44" t="str">
        <f>IF($D39&gt;0,VLOOKUP($D39,Flight!$A$1:$E$91,3,FALSE),"")</f>
        <v>DOH</v>
      </c>
      <c r="I39" s="44" t="str">
        <f>IF($D39&gt;0,IF(VLOOKUP($D39,Flight!$A$1:$E$91,4,FALSE)&gt;1,VLOOKUP($D39,Flight!$A$1:$E118,4,FALSE),""),"")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2"/>
        <v>&lt;   Hall Operation   &gt;</v>
      </c>
      <c r="L39" s="166"/>
      <c r="M39" s="167"/>
      <c r="O39" s="115"/>
      <c r="P39" s="87"/>
    </row>
    <row r="40" spans="1:18">
      <c r="A40" s="9">
        <v>31</v>
      </c>
      <c r="B40" s="9" t="s">
        <v>807</v>
      </c>
      <c r="C40" s="9" t="s">
        <v>806</v>
      </c>
      <c r="D40" s="27" t="s">
        <v>392</v>
      </c>
      <c r="E40" s="172" t="str">
        <f>IF($D40&gt;0,VLOOKUP($D40,Flight!$A$1:$E$91,2,FALSE),"")</f>
        <v>2320</v>
      </c>
      <c r="F40" s="45"/>
      <c r="G40" s="43" t="str">
        <f t="shared" si="0"/>
        <v/>
      </c>
      <c r="H40" s="44" t="str">
        <f>IF($D40&gt;0,VLOOKUP($D40,Flight!$A$1:$E$91,3,FALSE),"")</f>
        <v>BKK</v>
      </c>
      <c r="I40" s="44" t="str">
        <f>IF($D40&gt;0,IF(VLOOKUP($D40,Flight!$A$1:$E$91,4,FALSE)&gt;1,VLOOKUP($D40,Flight!$A$1:$E120,4,FALSE),""),"")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2"/>
        <v>&lt;   Hall Operation   &gt;</v>
      </c>
      <c r="L40" s="166"/>
      <c r="M40" s="167"/>
      <c r="O40" s="4"/>
      <c r="P40" s="4"/>
      <c r="Q40" s="4"/>
      <c r="R40" s="4"/>
    </row>
    <row r="41" spans="1:18" ht="16.5">
      <c r="A41" s="9"/>
      <c r="B41" s="9"/>
      <c r="C41" s="9"/>
      <c r="D41" s="27"/>
      <c r="E41" s="172"/>
      <c r="F41" s="45"/>
      <c r="G41" s="43"/>
      <c r="H41" s="44" t="str">
        <f>IF($D41&gt;0,VLOOKUP($D41,Flight!$A$1:$E$91,3,FALSE),"")</f>
        <v/>
      </c>
      <c r="I41" s="44" t="str">
        <f>IF($D41&gt;0,IF(VLOOKUP($D41,Flight!$A$1:$E$91,4,FALSE)&gt;1,VLOOKUP($D41,Flight!$A$1:$E121,4,FALSE),""),"")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2"/>
        <v/>
      </c>
      <c r="L41" s="166"/>
      <c r="M41" s="166"/>
      <c r="O41" s="4"/>
      <c r="P41" s="89"/>
      <c r="Q41" s="4"/>
      <c r="R41" s="4"/>
    </row>
    <row r="42" spans="1:18">
      <c r="A42" s="376" t="s">
        <v>5</v>
      </c>
      <c r="B42" s="376"/>
      <c r="C42" s="376"/>
      <c r="D42" s="376"/>
      <c r="E42" s="376"/>
      <c r="F42" s="376"/>
      <c r="G42" s="50"/>
      <c r="H42" s="207" t="s">
        <v>40</v>
      </c>
      <c r="I42" s="377"/>
      <c r="J42" s="377"/>
      <c r="K42" s="377"/>
      <c r="L42" s="377"/>
      <c r="M42" s="377"/>
      <c r="N42" s="5"/>
    </row>
    <row r="43" spans="1:18">
      <c r="A43" s="379" t="s">
        <v>35</v>
      </c>
      <c r="B43" s="379"/>
      <c r="C43" s="379" t="s">
        <v>31</v>
      </c>
      <c r="D43" s="379"/>
      <c r="E43" s="379"/>
      <c r="F43" s="379"/>
      <c r="G43" s="379"/>
      <c r="H43" s="379"/>
      <c r="I43" s="378"/>
      <c r="J43" s="378"/>
      <c r="K43" s="378"/>
      <c r="L43" s="378"/>
      <c r="M43" s="378"/>
    </row>
    <row r="44" spans="1:18">
      <c r="A44" s="379"/>
      <c r="B44" s="379"/>
      <c r="C44" s="379"/>
      <c r="D44" s="379"/>
      <c r="E44" s="379"/>
      <c r="F44" s="379"/>
      <c r="G44" s="379"/>
      <c r="H44" s="379"/>
      <c r="I44" s="51"/>
      <c r="J44" s="51"/>
      <c r="K44" s="6"/>
      <c r="L44" s="6"/>
      <c r="M44" s="6"/>
    </row>
    <row r="45" spans="1:18">
      <c r="A45" s="389" t="s">
        <v>216</v>
      </c>
      <c r="B45" s="389"/>
      <c r="C45" s="212" t="str">
        <f>VLOOKUP($D$45,Staff!$B$2:$D$41,2,FALSE)</f>
        <v>CIA</v>
      </c>
      <c r="D45" s="375" t="str">
        <f>VLOOKUP(VLOOKUP($E$57,$E$61:$J$72,6,FALSE),Staff!$A$2:$D$13,2,FALSE)</f>
        <v>HF WAN</v>
      </c>
      <c r="E45" s="375"/>
      <c r="F45" s="204" t="s">
        <v>215</v>
      </c>
      <c r="G45" s="390" t="str">
        <f>VLOOKUP($D$45,Staff!$B$2:$D$39,3,FALSE)</f>
        <v>9523 5380</v>
      </c>
      <c r="H45" s="390"/>
      <c r="I45" s="391" t="s">
        <v>223</v>
      </c>
      <c r="J45" s="391"/>
      <c r="K45" s="375" t="s">
        <v>434</v>
      </c>
      <c r="L45" s="375"/>
      <c r="M45" s="375"/>
    </row>
    <row r="46" spans="1:18">
      <c r="A46" s="389" t="s">
        <v>217</v>
      </c>
      <c r="B46" s="389"/>
      <c r="C46" s="212" t="str">
        <f>VLOOKUP($D$46,Staff!$B$2:$D$41,2,FALSE)</f>
        <v>CIA</v>
      </c>
      <c r="D46" s="375" t="str">
        <f>VLOOKUP(VLOOKUP($E$58,$E$61:$J$72,6,FALSE),Staff!$A$2:$D$13,2,FALSE)</f>
        <v>WL TSE</v>
      </c>
      <c r="E46" s="375"/>
      <c r="F46" s="204" t="s">
        <v>215</v>
      </c>
      <c r="G46" s="390" t="str">
        <f>VLOOKUP($D$46,Staff!$B$2:$D$39,3,FALSE)</f>
        <v>9669 1314</v>
      </c>
      <c r="H46" s="390"/>
      <c r="I46" s="391" t="s">
        <v>224</v>
      </c>
      <c r="J46" s="391"/>
      <c r="K46" s="375" t="str">
        <f>IF(COUNTIF($E$61:$E$64,$E$58)&gt;0,Staff!$G$2,"")&amp;IF(COUNTIF($E$65:$E$68,$E$58)&gt;0,Staff!$G$3,"")&amp;IF(COUNTIF($E$69:$E$72,$E$58)&gt;0,Staff!$G$4,"")</f>
        <v>HO, KING KAI</v>
      </c>
      <c r="L46" s="375"/>
      <c r="M46" s="375"/>
    </row>
    <row r="47" spans="1:18">
      <c r="A47" s="200"/>
      <c r="B47" s="200"/>
      <c r="C47" s="209"/>
      <c r="D47" s="395"/>
      <c r="E47" s="395"/>
      <c r="F47" s="206"/>
      <c r="G47" s="396"/>
      <c r="H47" s="396"/>
      <c r="I47" s="390"/>
      <c r="J47" s="390"/>
      <c r="K47" s="143"/>
      <c r="L47" s="143"/>
      <c r="M47" s="143"/>
    </row>
    <row r="48" spans="1:18" s="112" customFormat="1">
      <c r="A48" s="397" t="s">
        <v>4</v>
      </c>
      <c r="B48" s="397"/>
      <c r="C48" s="396" t="s">
        <v>218</v>
      </c>
      <c r="D48" s="396"/>
      <c r="E48" s="396"/>
      <c r="F48" s="154" t="s">
        <v>213</v>
      </c>
      <c r="G48" s="398" t="s">
        <v>438</v>
      </c>
      <c r="H48" s="398"/>
      <c r="I48" s="398"/>
      <c r="J48" s="203" t="s">
        <v>209</v>
      </c>
      <c r="K48" s="390" t="s">
        <v>432</v>
      </c>
      <c r="L48" s="390"/>
      <c r="M48" s="390"/>
      <c r="N48" s="12"/>
      <c r="P48" s="211"/>
      <c r="Q48" s="211"/>
      <c r="R48" s="211"/>
    </row>
    <row r="49" spans="1:18" s="112" customFormat="1">
      <c r="A49" s="155"/>
      <c r="B49" s="155"/>
      <c r="C49" s="396" t="s">
        <v>219</v>
      </c>
      <c r="D49" s="396"/>
      <c r="E49" s="396"/>
      <c r="F49" s="154" t="s">
        <v>214</v>
      </c>
      <c r="G49" s="375" t="str">
        <f>IF(COUNTIF($E$61:$E$64,$E$58)&gt;0,Staff!$G$14,"")&amp;IF(COUNTIF($E$65:$E$68,$E$58)&gt;0,Staff!$G$13,"")&amp;IF(COUNTIF($E$69:$E$72,$E$58)&gt;0,Staff!$G$12,"")</f>
        <v>CHIU, OI YU (F)</v>
      </c>
      <c r="H49" s="375"/>
      <c r="I49" s="375"/>
      <c r="J49" s="203" t="s">
        <v>208</v>
      </c>
      <c r="K49" s="390" t="s">
        <v>430</v>
      </c>
      <c r="L49" s="390"/>
      <c r="M49" s="390"/>
      <c r="N49" s="211"/>
      <c r="P49" s="211"/>
      <c r="Q49" s="211"/>
      <c r="R49" s="211"/>
    </row>
    <row r="50" spans="1:18" s="112" customFormat="1">
      <c r="A50" s="201"/>
      <c r="B50" s="201"/>
      <c r="C50" s="209"/>
      <c r="D50" s="401"/>
      <c r="E50" s="401"/>
      <c r="F50" s="401"/>
      <c r="G50" s="401"/>
      <c r="H50" s="401"/>
      <c r="I50" s="401"/>
      <c r="J50" s="203" t="s">
        <v>210</v>
      </c>
      <c r="K50" s="390" t="s">
        <v>435</v>
      </c>
      <c r="L50" s="390"/>
      <c r="M50" s="390"/>
      <c r="N50" s="211"/>
      <c r="P50" s="211"/>
      <c r="Q50" s="211"/>
      <c r="R50" s="211"/>
    </row>
    <row r="51" spans="1:18" s="112" customFormat="1">
      <c r="A51" s="392" t="s">
        <v>3</v>
      </c>
      <c r="B51" s="393"/>
      <c r="C51" s="394" t="s">
        <v>220</v>
      </c>
      <c r="D51" s="394"/>
      <c r="E51" s="394"/>
      <c r="F51" s="397" t="s">
        <v>408</v>
      </c>
      <c r="G51" s="397"/>
      <c r="H51" s="397"/>
      <c r="I51" s="397"/>
      <c r="J51" s="203" t="s">
        <v>211</v>
      </c>
      <c r="K51" s="390" t="s">
        <v>436</v>
      </c>
      <c r="L51" s="390"/>
      <c r="M51" s="390"/>
      <c r="N51" s="211"/>
      <c r="P51" s="211"/>
      <c r="Q51" s="211"/>
      <c r="R51" s="211"/>
    </row>
    <row r="52" spans="1:18" s="112" customFormat="1">
      <c r="A52" s="393" t="s">
        <v>2</v>
      </c>
      <c r="B52" s="393"/>
      <c r="C52" s="411" t="s">
        <v>221</v>
      </c>
      <c r="D52" s="411"/>
      <c r="E52" s="411"/>
      <c r="F52" s="412" t="s">
        <v>1</v>
      </c>
      <c r="G52" s="412"/>
      <c r="H52" s="400" t="s">
        <v>409</v>
      </c>
      <c r="I52" s="400"/>
      <c r="J52" s="203" t="s">
        <v>212</v>
      </c>
      <c r="K52" s="390" t="s">
        <v>437</v>
      </c>
      <c r="L52" s="390"/>
      <c r="M52" s="390"/>
      <c r="N52" s="211"/>
      <c r="P52" s="211"/>
      <c r="Q52" s="211"/>
      <c r="R52" s="211"/>
    </row>
    <row r="53" spans="1:18" s="112" customFormat="1">
      <c r="A53" s="155"/>
      <c r="B53" s="155"/>
      <c r="C53" s="201"/>
      <c r="D53" s="399"/>
      <c r="E53" s="399"/>
      <c r="F53" s="391"/>
      <c r="G53" s="391"/>
      <c r="H53" s="400" t="s">
        <v>410</v>
      </c>
      <c r="I53" s="400"/>
      <c r="J53" s="199"/>
      <c r="K53" s="200"/>
      <c r="L53" s="200"/>
      <c r="M53" s="47"/>
      <c r="N53" s="211"/>
      <c r="P53" s="211"/>
      <c r="Q53" s="211"/>
      <c r="R53" s="211"/>
    </row>
    <row r="54" spans="1:18" s="112" customFormat="1" ht="16.5" customHeight="1">
      <c r="A54" s="392" t="s">
        <v>0</v>
      </c>
      <c r="B54" s="392"/>
      <c r="C54" s="407" t="s">
        <v>222</v>
      </c>
      <c r="D54" s="407"/>
      <c r="E54" s="407"/>
      <c r="F54" s="218"/>
      <c r="G54" s="219"/>
      <c r="H54" s="394" t="s">
        <v>411</v>
      </c>
      <c r="I54" s="394"/>
      <c r="J54" s="205"/>
      <c r="K54" s="200"/>
      <c r="L54" s="200"/>
      <c r="M54" s="47"/>
      <c r="N54" s="211"/>
      <c r="P54" s="211"/>
      <c r="Q54" s="211"/>
      <c r="R54" s="211"/>
    </row>
    <row r="55" spans="1:18" s="112" customFormat="1">
      <c r="A55" s="211"/>
      <c r="B55" s="211"/>
      <c r="C55" s="408"/>
      <c r="D55" s="408"/>
      <c r="E55" s="408"/>
      <c r="F55" s="408"/>
      <c r="G55" s="408"/>
      <c r="H55" s="408"/>
      <c r="I55" s="54"/>
      <c r="J55" s="53"/>
      <c r="M55" s="211"/>
      <c r="N55" s="211"/>
      <c r="P55" s="211"/>
      <c r="Q55" s="211"/>
      <c r="R55" s="211"/>
    </row>
    <row r="56" spans="1:18" s="112" customFormat="1" ht="16.5" thickBot="1">
      <c r="A56" s="3"/>
      <c r="B56" s="3"/>
      <c r="C56" s="3"/>
      <c r="D56" s="2"/>
      <c r="E56" s="39"/>
      <c r="F56" s="202"/>
      <c r="G56" s="202"/>
      <c r="H56" s="202"/>
      <c r="I56" s="409"/>
      <c r="J56" s="409"/>
      <c r="M56" s="211"/>
      <c r="N56" s="211"/>
      <c r="P56" s="211"/>
      <c r="Q56" s="211"/>
      <c r="R56" s="211"/>
    </row>
    <row r="57" spans="1:18" s="112" customFormat="1">
      <c r="A57" s="211"/>
      <c r="B57" s="211"/>
      <c r="C57" s="211"/>
      <c r="D57" s="211"/>
      <c r="E57" s="90" t="s">
        <v>133</v>
      </c>
      <c r="F57" s="91" t="s">
        <v>135</v>
      </c>
      <c r="G57" s="91"/>
      <c r="H57" s="92"/>
      <c r="I57" s="211"/>
      <c r="J57" s="211"/>
      <c r="K57" s="211"/>
      <c r="L57" s="211"/>
      <c r="M57" s="211"/>
      <c r="N57" s="211"/>
      <c r="P57" s="211"/>
      <c r="Q57" s="211"/>
      <c r="R57" s="211"/>
    </row>
    <row r="58" spans="1:18" s="112" customFormat="1" ht="16.5" thickBot="1">
      <c r="A58" s="211"/>
      <c r="B58" s="211"/>
      <c r="C58" s="211"/>
      <c r="D58" s="211"/>
      <c r="E58" s="93" t="s">
        <v>134</v>
      </c>
      <c r="F58" s="94" t="s">
        <v>136</v>
      </c>
      <c r="G58" s="94"/>
      <c r="H58" s="95"/>
      <c r="I58" s="211"/>
      <c r="J58" s="211"/>
      <c r="K58" s="211"/>
      <c r="L58" s="211"/>
      <c r="M58" s="211"/>
      <c r="N58" s="211"/>
      <c r="P58" s="211"/>
      <c r="Q58" s="211"/>
      <c r="R58" s="211"/>
    </row>
    <row r="59" spans="1:18" s="112" customFormat="1">
      <c r="A59" s="211"/>
      <c r="B59" s="211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P59" s="211"/>
      <c r="Q59" s="211"/>
      <c r="R59" s="211"/>
    </row>
    <row r="60" spans="1:18" s="112" customFormat="1" ht="16.5" thickBot="1">
      <c r="A60" s="211"/>
      <c r="B60" s="211"/>
      <c r="C60" s="211"/>
      <c r="D60" s="85" t="s">
        <v>132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98</v>
      </c>
      <c r="J60" s="211"/>
      <c r="K60" s="96" t="s">
        <v>302</v>
      </c>
      <c r="L60" s="96" t="s">
        <v>303</v>
      </c>
      <c r="M60" s="96"/>
      <c r="N60" s="211"/>
      <c r="P60" s="211"/>
      <c r="Q60" s="211"/>
      <c r="R60" s="211"/>
    </row>
    <row r="61" spans="1:18" s="112" customFormat="1">
      <c r="A61" s="211"/>
      <c r="B61" s="211"/>
      <c r="C61" s="211"/>
      <c r="D61" s="97" t="s">
        <v>86</v>
      </c>
      <c r="E61" s="98" t="str">
        <f>_xlfn.IFNA(VLOOKUP(MOD((($D$1-WEEKDAY($D$1,2)+1)-45523)/7+21,24),Shift!$A$2:$H$25,WEEKDAY($D$1,2)+1),VLOOKUP(24,Shift!$A$2:$H$25,WEEKDAY($D$1,2)+1))</f>
        <v>L</v>
      </c>
      <c r="F61" s="98">
        <f>IF(OR($E61="L",$E61="L#"),0,"?")</f>
        <v>0</v>
      </c>
      <c r="G61" s="98">
        <f>IF(OR($E61="L",$E61="L#"),0,"?")</f>
        <v>0</v>
      </c>
      <c r="H61" s="98">
        <f>IF(OR($E61="L",$E61="L#"),0,"?")</f>
        <v>0</v>
      </c>
      <c r="I61" s="99">
        <f t="shared" ref="I61:I72" si="4">IF(OR($E61="L",$E61="L#"),0,SUM($F61:$H61))</f>
        <v>0</v>
      </c>
      <c r="J61" s="136" t="s">
        <v>86</v>
      </c>
      <c r="K61" s="112" t="str">
        <f>IF(AND($F61&gt;1,$F61&lt;&gt;"?"),$F61-1,"")</f>
        <v/>
      </c>
      <c r="L61" s="112" t="str">
        <f>IF(AND($G61&gt;1,$G61&lt;&gt;"?"),$G61-1,"")</f>
        <v/>
      </c>
      <c r="N61" s="211"/>
      <c r="P61" s="211"/>
      <c r="Q61" s="211"/>
      <c r="R61" s="211"/>
    </row>
    <row r="62" spans="1:18" s="112" customFormat="1">
      <c r="A62" s="211"/>
      <c r="B62" s="211"/>
      <c r="C62" s="211"/>
      <c r="D62" s="100" t="s">
        <v>85</v>
      </c>
      <c r="E62" s="101" t="str">
        <f>_xlfn.IFNA(VLOOKUP(MOD((($D$1-WEEKDAY($D$1,2)+1)-45523)/7+3,24),Shift!$A$2:$H$25,WEEKDAY($D$1,2)+1),VLOOKUP(24,Shift!$A$2:$H$25,WEEKDAY($D$1,2)+1))</f>
        <v>L</v>
      </c>
      <c r="F62" s="101">
        <f t="shared" ref="F62:H71" si="5">IF(OR($E62="L",$E62="L#"),0,"?")</f>
        <v>0</v>
      </c>
      <c r="G62" s="101">
        <f t="shared" si="5"/>
        <v>0</v>
      </c>
      <c r="H62" s="101">
        <f t="shared" si="5"/>
        <v>0</v>
      </c>
      <c r="I62" s="102">
        <f t="shared" si="4"/>
        <v>0</v>
      </c>
      <c r="J62" s="137" t="s">
        <v>85</v>
      </c>
      <c r="K62" s="112" t="str">
        <f t="shared" ref="K62:K72" si="6">IF(AND($F62&gt;1,$F62&lt;&gt;"?"),$F62-1,"")</f>
        <v/>
      </c>
      <c r="L62" s="112" t="str">
        <f t="shared" ref="L62:L72" si="7">IF(AND($G62&gt;1,$G62&lt;&gt;"?"),$G62-1,"")</f>
        <v/>
      </c>
      <c r="N62" s="211"/>
      <c r="P62" s="211"/>
      <c r="Q62" s="211"/>
      <c r="R62" s="211"/>
    </row>
    <row r="63" spans="1:18" s="112" customFormat="1">
      <c r="A63" s="211"/>
      <c r="B63" s="211"/>
      <c r="C63" s="211"/>
      <c r="D63" s="100" t="s">
        <v>99</v>
      </c>
      <c r="E63" s="101" t="str">
        <f>_xlfn.IFNA(VLOOKUP(MOD((($D$1-WEEKDAY($D$1,2)+1)-45523)/7+9,24),Shift!$A$2:$H$25,WEEKDAY($D$1,2)+1),VLOOKUP(24,Shift!$A$2:$H$25,WEEKDAY($D$1,2)+1))</f>
        <v>L</v>
      </c>
      <c r="F63" s="101">
        <f t="shared" si="5"/>
        <v>0</v>
      </c>
      <c r="G63" s="101">
        <f t="shared" si="5"/>
        <v>0</v>
      </c>
      <c r="H63" s="101">
        <f t="shared" si="5"/>
        <v>0</v>
      </c>
      <c r="I63" s="102">
        <f t="shared" si="4"/>
        <v>0</v>
      </c>
      <c r="J63" s="137" t="s">
        <v>99</v>
      </c>
      <c r="K63" s="112" t="str">
        <f t="shared" si="6"/>
        <v/>
      </c>
      <c r="L63" s="112" t="str">
        <f t="shared" si="7"/>
        <v/>
      </c>
      <c r="N63" s="211"/>
      <c r="P63" s="211"/>
      <c r="Q63" s="211"/>
      <c r="R63" s="211"/>
    </row>
    <row r="64" spans="1:18" ht="16.5" thickBot="1">
      <c r="D64" s="103" t="s">
        <v>100</v>
      </c>
      <c r="E64" s="104" t="str">
        <f>_xlfn.IFNA(VLOOKUP(MOD((($D$1-WEEKDAY($D$1,2)+1)-45523)/7+15,24),Shift!$A$2:$H$25,WEEKDAY($D$1,2)+1),VLOOKUP(24,Shift!$A$2:$H$25,WEEKDAY($D$1,2)+1))</f>
        <v>L</v>
      </c>
      <c r="F64" s="104">
        <f t="shared" si="5"/>
        <v>0</v>
      </c>
      <c r="G64" s="104">
        <f t="shared" si="5"/>
        <v>0</v>
      </c>
      <c r="H64" s="104">
        <f t="shared" si="5"/>
        <v>0</v>
      </c>
      <c r="I64" s="105">
        <f t="shared" si="4"/>
        <v>0</v>
      </c>
      <c r="J64" s="138" t="s">
        <v>100</v>
      </c>
      <c r="K64" s="112" t="str">
        <f t="shared" si="6"/>
        <v/>
      </c>
      <c r="L64" s="112" t="str">
        <f t="shared" si="7"/>
        <v/>
      </c>
      <c r="M64" s="112"/>
    </row>
    <row r="65" spans="4:13">
      <c r="D65" s="97" t="s">
        <v>101</v>
      </c>
      <c r="E65" s="98" t="str">
        <f>_xlfn.IFNA(VLOOKUP(MOD((($D$1-WEEKDAY($D$1,2)+1)-45523)/7+19,24),Shift!$A$2:$H$25,WEEKDAY($D$1,2)+1),VLOOKUP(24,Shift!$A$2:$H$25,WEEKDAY($D$1,2)+1))</f>
        <v>P1 @</v>
      </c>
      <c r="F65" s="98">
        <v>1</v>
      </c>
      <c r="G65" s="98">
        <v>1</v>
      </c>
      <c r="H65" s="98">
        <v>2</v>
      </c>
      <c r="I65" s="99">
        <f t="shared" si="4"/>
        <v>4</v>
      </c>
      <c r="J65" s="136" t="s">
        <v>101</v>
      </c>
      <c r="K65" s="112" t="str">
        <f t="shared" si="6"/>
        <v/>
      </c>
      <c r="L65" s="112" t="str">
        <f t="shared" si="7"/>
        <v/>
      </c>
      <c r="M65" s="112"/>
    </row>
    <row r="66" spans="4:13">
      <c r="D66" s="100" t="s">
        <v>102</v>
      </c>
      <c r="E66" s="101" t="str">
        <f>_xlfn.IFNA(VLOOKUP(MOD((($D$1-WEEKDAY($D$1,2)+1)-45523)/7+1,24),Shift!$A$2:$H$25,WEEKDAY($D$1,2)+1),VLOOKUP(24,Shift!$A$2:$H$25,WEEKDAY($D$1,2)+1))</f>
        <v>A</v>
      </c>
      <c r="F66" s="101">
        <v>1</v>
      </c>
      <c r="G66" s="101">
        <v>1</v>
      </c>
      <c r="H66" s="101">
        <v>5</v>
      </c>
      <c r="I66" s="102">
        <f t="shared" si="4"/>
        <v>7</v>
      </c>
      <c r="J66" s="137" t="s">
        <v>102</v>
      </c>
      <c r="K66" s="112" t="str">
        <f t="shared" si="6"/>
        <v/>
      </c>
      <c r="L66" s="112" t="str">
        <f t="shared" si="7"/>
        <v/>
      </c>
      <c r="M66" s="112"/>
    </row>
    <row r="67" spans="4:13">
      <c r="D67" s="100" t="s">
        <v>103</v>
      </c>
      <c r="E67" s="101" t="str">
        <f>_xlfn.IFNA(VLOOKUP(MOD((($D$1-WEEKDAY($D$1,2)+1)-45523)/7+7,24),Shift!$A$2:$H$25,WEEKDAY($D$1,2)+1),VLOOKUP(24,Shift!$A$2:$H$25,WEEKDAY($D$1,2)+1))</f>
        <v>P4</v>
      </c>
      <c r="F67" s="101">
        <v>1</v>
      </c>
      <c r="G67" s="101">
        <v>1</v>
      </c>
      <c r="H67" s="101">
        <v>3</v>
      </c>
      <c r="I67" s="102">
        <f t="shared" si="4"/>
        <v>5</v>
      </c>
      <c r="J67" s="137" t="s">
        <v>103</v>
      </c>
      <c r="K67" s="112" t="str">
        <f t="shared" si="6"/>
        <v/>
      </c>
      <c r="L67" s="112" t="str">
        <f t="shared" si="7"/>
        <v/>
      </c>
      <c r="M67" s="112"/>
    </row>
    <row r="68" spans="4:13" ht="16.5" thickBot="1">
      <c r="D68" s="103" t="s">
        <v>104</v>
      </c>
      <c r="E68" s="104" t="str">
        <f>_xlfn.IFNA(VLOOKUP(MOD((($D$1-WEEKDAY($D$1,2)+1)-45523)/7+13,24),Shift!$A$2:$H$25,WEEKDAY($D$1,2)+1),VLOOKUP(24,Shift!$A$2:$H$25,WEEKDAY($D$1,2)+1))</f>
        <v>P1</v>
      </c>
      <c r="F68" s="104">
        <v>1</v>
      </c>
      <c r="G68" s="104">
        <v>1</v>
      </c>
      <c r="H68" s="104">
        <v>2</v>
      </c>
      <c r="I68" s="105">
        <f t="shared" si="4"/>
        <v>4</v>
      </c>
      <c r="J68" s="138" t="s">
        <v>104</v>
      </c>
      <c r="K68" s="112" t="str">
        <f t="shared" si="6"/>
        <v/>
      </c>
      <c r="L68" s="112" t="str">
        <f t="shared" si="7"/>
        <v/>
      </c>
      <c r="M68" s="112"/>
    </row>
    <row r="69" spans="4:13">
      <c r="D69" s="97" t="s">
        <v>105</v>
      </c>
      <c r="E69" s="98" t="str">
        <f>_xlfn.IFNA(VLOOKUP(MOD((($D$1-WEEKDAY($D$1,2)+1)-45523)/7+17,24),Shift!$A$2:$H$25,WEEKDAY($D$1,2)+1),VLOOKUP(24,Shift!$A$2:$H$25,WEEKDAY($D$1,2)+1))</f>
        <v>M @</v>
      </c>
      <c r="F69" s="98">
        <v>1</v>
      </c>
      <c r="G69" s="98">
        <v>1</v>
      </c>
      <c r="H69" s="98">
        <v>3</v>
      </c>
      <c r="I69" s="99">
        <f t="shared" si="4"/>
        <v>5</v>
      </c>
      <c r="J69" s="136" t="s">
        <v>105</v>
      </c>
      <c r="K69" s="112" t="str">
        <f t="shared" si="6"/>
        <v/>
      </c>
      <c r="L69" s="112" t="str">
        <f t="shared" si="7"/>
        <v/>
      </c>
      <c r="M69" s="112"/>
    </row>
    <row r="70" spans="4:13">
      <c r="D70" s="100" t="s">
        <v>106</v>
      </c>
      <c r="E70" s="101" t="str">
        <f>_xlfn.IFNA(VLOOKUP(MOD((($D$1-WEEKDAY($D$1,2)+1)-45523)/7+23,24),Shift!$A$2:$H$25,WEEKDAY($D$1,2)+1),VLOOKUP(24,Shift!$A$2:$H$25,WEEKDAY($D$1,2)+1))</f>
        <v>M</v>
      </c>
      <c r="F70" s="101">
        <v>1</v>
      </c>
      <c r="G70" s="101">
        <v>1</v>
      </c>
      <c r="H70" s="101">
        <v>3</v>
      </c>
      <c r="I70" s="102">
        <f t="shared" si="4"/>
        <v>5</v>
      </c>
      <c r="J70" s="137" t="s">
        <v>106</v>
      </c>
      <c r="K70" s="112" t="str">
        <f t="shared" si="6"/>
        <v/>
      </c>
      <c r="L70" s="112" t="str">
        <f t="shared" si="7"/>
        <v/>
      </c>
      <c r="M70" s="112"/>
    </row>
    <row r="71" spans="4:13">
      <c r="D71" s="100" t="s">
        <v>107</v>
      </c>
      <c r="E71" s="101" t="str">
        <f>_xlfn.IFNA(VLOOKUP(MOD((($D$1-WEEKDAY($D$1,2)+1)-45523)/7+5,24),Shift!$A$2:$H$25,WEEKDAY($D$1,2)+1),VLOOKUP(24,Shift!$A$2:$H$25,WEEKDAY($D$1,2)+1))</f>
        <v>L</v>
      </c>
      <c r="F71" s="101">
        <f t="shared" si="5"/>
        <v>0</v>
      </c>
      <c r="G71" s="101">
        <f t="shared" si="5"/>
        <v>0</v>
      </c>
      <c r="H71" s="101">
        <f t="shared" si="5"/>
        <v>0</v>
      </c>
      <c r="I71" s="102">
        <f t="shared" si="4"/>
        <v>0</v>
      </c>
      <c r="J71" s="137" t="s">
        <v>107</v>
      </c>
      <c r="K71" s="112" t="str">
        <f t="shared" si="6"/>
        <v/>
      </c>
      <c r="L71" s="112" t="str">
        <f t="shared" si="7"/>
        <v/>
      </c>
      <c r="M71" s="112"/>
    </row>
    <row r="72" spans="4:13" ht="16.5" thickBot="1">
      <c r="D72" s="103" t="s">
        <v>108</v>
      </c>
      <c r="E72" s="104" t="str">
        <f>_xlfn.IFNA(VLOOKUP(MOD((($D$1-WEEKDAY($D$1,2)+1)-45523)/7+11,24),Shift!$A$2:$H$25,WEEKDAY($D$1,2)+1),VLOOKUP(24,Shift!$A$2:$H$25,WEEKDAY($D$1,2)+1))</f>
        <v>G1</v>
      </c>
      <c r="F72" s="104">
        <v>1</v>
      </c>
      <c r="G72" s="104">
        <v>1</v>
      </c>
      <c r="H72" s="104">
        <v>3</v>
      </c>
      <c r="I72" s="105">
        <f t="shared" si="4"/>
        <v>5</v>
      </c>
      <c r="J72" s="138" t="s">
        <v>108</v>
      </c>
      <c r="K72" s="112" t="str">
        <f t="shared" si="6"/>
        <v/>
      </c>
      <c r="L72" s="112" t="str">
        <f t="shared" si="7"/>
        <v/>
      </c>
      <c r="M72" s="112"/>
    </row>
    <row r="73" spans="4:13">
      <c r="D73" s="144" t="s">
        <v>86</v>
      </c>
      <c r="E73" s="98" t="s">
        <v>127</v>
      </c>
      <c r="F73" s="98"/>
      <c r="G73" s="98"/>
      <c r="H73" s="98"/>
      <c r="I73" s="99">
        <f>IF(OR($E73="L",$E73="L#",$E73="?"),0,SUM($F73:$H73))</f>
        <v>0</v>
      </c>
      <c r="J73" s="211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211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211"/>
    </row>
    <row r="76" spans="4:13" ht="16.5" thickBot="1">
      <c r="D76" s="146" t="s">
        <v>137</v>
      </c>
      <c r="E76" s="104" t="s">
        <v>127</v>
      </c>
      <c r="F76" s="106"/>
      <c r="G76" s="106"/>
      <c r="H76" s="106"/>
      <c r="I76" s="105">
        <f>IF(OR($E76="L",$E76="L#",$E76="?"),0,SUM($F76:$H76))</f>
        <v>0</v>
      </c>
      <c r="J76" s="211"/>
    </row>
    <row r="77" spans="4:13">
      <c r="D77" s="211"/>
      <c r="E77" s="96" t="s">
        <v>98</v>
      </c>
      <c r="F77" s="96" t="str">
        <f>SUM($F$61:$F$76)&amp;IF(SUM($F$61:$H$76)&gt;$I$77,"?","")</f>
        <v>7</v>
      </c>
      <c r="G77" s="96" t="str">
        <f>SUM($G$61:$G$76)&amp;IF(SUM($F$61:$H$76)&gt;$I$77,"?","")</f>
        <v>7</v>
      </c>
      <c r="H77" s="96" t="str">
        <f>SUM($H$61:$H$76)&amp;IF(SUM($F$61:$H$76)&gt;$I$77,"?","")</f>
        <v>21</v>
      </c>
      <c r="I77" s="96">
        <f>SUM(I61:I76)</f>
        <v>35</v>
      </c>
      <c r="J77" s="211"/>
    </row>
    <row r="78" spans="4:13">
      <c r="D78" s="211"/>
      <c r="E78" s="211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211"/>
      <c r="J78" s="211"/>
    </row>
    <row r="80" spans="4:13">
      <c r="D80" s="410" t="s">
        <v>281</v>
      </c>
      <c r="E80" s="410"/>
      <c r="F80" s="410"/>
    </row>
    <row r="81" spans="4:6">
      <c r="D81" s="49" t="str">
        <f>IF(Flight!$A$68=0,"",Flight!$A$68)</f>
        <v/>
      </c>
      <c r="E81" s="163"/>
      <c r="F81" s="164" t="str">
        <f>IF(D81="","",VLOOKUP(D81,Flight!$A$68:$C$91,3,FALSE))</f>
        <v/>
      </c>
    </row>
    <row r="82" spans="4:6">
      <c r="D82" s="49" t="str">
        <f>IF(Flight!$A69=0,"",Flight!$A69)</f>
        <v/>
      </c>
      <c r="F82" s="164" t="str">
        <f>IF(D82="","",VLOOKUP(D82,Flight!$A$68:$C$91,3,FALSE))</f>
        <v/>
      </c>
    </row>
    <row r="83" spans="4:6">
      <c r="D83" s="49" t="str">
        <f>IF(Flight!$A71=0,"",Flight!$A71)</f>
        <v>3A031</v>
      </c>
      <c r="F83" s="164" t="str">
        <f>IF(D83="","",VLOOKUP(D83,Flight!$A$68:$C$91,3,FALSE))</f>
        <v>ZTI</v>
      </c>
    </row>
    <row r="84" spans="4:6">
      <c r="D84" s="49" t="str">
        <f>IF(Flight!$A72=0,"",Flight!$A72)</f>
        <v>3A003</v>
      </c>
      <c r="F84" s="164" t="str">
        <f>IF(D84="","",VLOOKUP(D84,Flight!$A$68:$C$91,3,FALSE))</f>
        <v>ZYK</v>
      </c>
    </row>
    <row r="85" spans="4:6">
      <c r="D85" s="49" t="str">
        <f>IF(Flight!$A73=0,"",Flight!$A73)</f>
        <v>3A005</v>
      </c>
      <c r="F85" s="164" t="str">
        <f>IF(D85="","",VLOOKUP(D85,Flight!$A$68:$C$91,3,FALSE))</f>
        <v>HKM</v>
      </c>
    </row>
    <row r="86" spans="4:6">
      <c r="D86" s="49" t="str">
        <f>IF(Flight!$A74=0,"",Flight!$A74)</f>
        <v>3A007</v>
      </c>
      <c r="F86" s="164" t="str">
        <f>IF(D86="","",VLOOKUP(D86,Flight!$A$68:$C$91,3,FALSE))</f>
        <v>ZYK</v>
      </c>
    </row>
    <row r="87" spans="4:6">
      <c r="D87" s="49" t="str">
        <f>IF(Flight!$A75=0,"",Flight!$A75)</f>
        <v>3A008</v>
      </c>
      <c r="F87" s="164" t="str">
        <f>IF(D87="","",VLOOKUP(D87,Flight!$A$68:$C$91,3,FALSE))</f>
        <v>ZYK</v>
      </c>
    </row>
    <row r="88" spans="4:6">
      <c r="D88" s="49" t="str">
        <f>IF(Flight!$A76=0,"",Flight!$A76)</f>
        <v>3A009</v>
      </c>
      <c r="F88" s="164" t="str">
        <f>IF(D88="","",VLOOKUP(D88,Flight!$A$68:$C$91,3,FALSE))</f>
        <v>ZYK</v>
      </c>
    </row>
    <row r="89" spans="4:6">
      <c r="D89" s="49" t="str">
        <f>IF(Flight!$A77=0,"",Flight!$A77)</f>
        <v>3A010</v>
      </c>
      <c r="F89" s="164" t="str">
        <f>IF(D89="","",VLOOKUP(D89,Flight!$A$68:$C$91,3,FALSE))</f>
        <v>ZYK</v>
      </c>
    </row>
    <row r="90" spans="4:6">
      <c r="D90" s="49" t="str">
        <f>IF(Flight!$A78=0,"",Flight!$A78)</f>
        <v/>
      </c>
      <c r="F90" s="164" t="str">
        <f>IF(D90="","",VLOOKUP(D90,Flight!$A$68:$C$91,3,FALSE))</f>
        <v/>
      </c>
    </row>
    <row r="91" spans="4:6">
      <c r="D91" s="49" t="str">
        <f>IF(Flight!$A80=0,"",Flight!$A80)</f>
        <v>8S7121</v>
      </c>
      <c r="F91" s="164" t="str">
        <f>IF(D91="","",VLOOKUP(D91,Flight!$A$68:$C$91,3,FALSE))</f>
        <v>HKM</v>
      </c>
    </row>
    <row r="92" spans="4:6">
      <c r="D92" s="49" t="str">
        <f>IF(Flight!$A81=0,"",Flight!$A81)</f>
        <v>8S7108</v>
      </c>
      <c r="F92" s="164" t="str">
        <f>IF(D92="","",VLOOKUP(D92,Flight!$A$68:$C$91,3,FALSE))</f>
        <v>ZYK</v>
      </c>
    </row>
    <row r="93" spans="4:6">
      <c r="D93" s="49" t="str">
        <f>IF(Flight!$A82=0,"",Flight!$A82)</f>
        <v>8S7111</v>
      </c>
      <c r="F93" s="164" t="str">
        <f>IF(D93="","",VLOOKUP(D93,Flight!$A$68:$C$91,3,FALSE))</f>
        <v>ZYK</v>
      </c>
    </row>
    <row r="94" spans="4:6">
      <c r="D94" s="49" t="str">
        <f>IF(Flight!$A83=0,"",Flight!$A83)</f>
        <v>8S7131</v>
      </c>
      <c r="F94" s="164" t="str">
        <f>IF(D94="","",VLOOKUP(D94,Flight!$A$68:$C$91,3,FALSE))</f>
        <v>?</v>
      </c>
    </row>
    <row r="95" spans="4:6">
      <c r="D95" s="49" t="str">
        <f>IF(Flight!$A84=0,"",Flight!$A84)</f>
        <v>8S7119</v>
      </c>
      <c r="F95" s="164" t="str">
        <f>IF(D95="","",VLOOKUP(D95,Flight!$A$68:$C$91,3,FALSE))</f>
        <v>HKM</v>
      </c>
    </row>
    <row r="96" spans="4:6">
      <c r="D96" s="49" t="str">
        <f>IF(Flight!$A85=0,"",Flight!$A85)</f>
        <v>8S7126</v>
      </c>
      <c r="F96" s="164" t="str">
        <f>IF(D96="","",VLOOKUP(D96,Flight!$A$68:$C$91,3,FALSE))</f>
        <v>HKM</v>
      </c>
    </row>
    <row r="97" spans="4:6">
      <c r="D97" s="49" t="str">
        <f>IF(Flight!$A86=0,"",Flight!$A86)</f>
        <v>8S7128</v>
      </c>
      <c r="F97" s="164" t="str">
        <f>IF(D97="","",VLOOKUP(D97,Flight!$A$68:$C$91,3,FALSE))</f>
        <v>HKM</v>
      </c>
    </row>
    <row r="98" spans="4:6">
      <c r="D98" s="49" t="str">
        <f>IF(Flight!$A87=0,"",Flight!$A87)</f>
        <v>3A8010</v>
      </c>
      <c r="F98" s="164" t="str">
        <f>IF(D98="","",VLOOKUP(D98,Flight!$A$68:$C$91,3,FALSE))</f>
        <v>HZI</v>
      </c>
    </row>
    <row r="99" spans="4:6">
      <c r="D99" s="49" t="str">
        <f>IF(Flight!$A88=0,"",Flight!$A88)</f>
        <v>3A8015</v>
      </c>
      <c r="F99" s="164" t="str">
        <f>IF(D99="","",VLOOKUP(D99,Flight!$A$68:$C$91,3,FALSE))</f>
        <v>?</v>
      </c>
    </row>
    <row r="100" spans="4:6">
      <c r="D100" s="49" t="str">
        <f>IF(Flight!$A89=0,"",Flight!$A89)</f>
        <v>3A8016</v>
      </c>
      <c r="F100" s="164" t="str">
        <f>IF(D100="","",VLOOKUP(D100,Flight!$A$68:$C$91,3,FALSE))</f>
        <v>HZI</v>
      </c>
    </row>
    <row r="101" spans="4:6">
      <c r="D101" s="49" t="str">
        <f>IF(Flight!$A91=0,"",Flight!$A91)</f>
        <v xml:space="preserve">Last </v>
      </c>
      <c r="F101" s="164" t="str">
        <f>IF(D101="","",VLOOKUP(D101,Flight!$A$68:$C$91,3,FALSE))</f>
        <v>↑</v>
      </c>
    </row>
    <row r="102" spans="4:6">
      <c r="D102" s="49" t="str">
        <f>IF(Flight!$A92=0,"",Flight!$A92)</f>
        <v/>
      </c>
      <c r="F102" s="164" t="str">
        <f>IF(D102="","",VLOOKUP(D102,Flight!$A$68:$C$91,3,FALSE))</f>
        <v/>
      </c>
    </row>
    <row r="103" spans="4:6">
      <c r="D103" s="186"/>
      <c r="F103" s="187"/>
    </row>
    <row r="104" spans="4:6">
      <c r="D104" s="406" t="str">
        <f>IF(Flight!$A$93=0,"",Flight!$A$93)</f>
        <v>Target Flight</v>
      </c>
      <c r="E104" s="406"/>
      <c r="F104" s="406"/>
    </row>
    <row r="105" spans="4:6">
      <c r="D105" s="27" t="s">
        <v>59</v>
      </c>
      <c r="E105" s="158"/>
      <c r="F105" s="10" t="s">
        <v>38</v>
      </c>
    </row>
    <row r="106" spans="4:6">
      <c r="D106" s="27" t="s">
        <v>89</v>
      </c>
      <c r="E106" s="158"/>
      <c r="F106" s="10" t="s">
        <v>38</v>
      </c>
    </row>
    <row r="107" spans="4:6">
      <c r="D107" s="27" t="s">
        <v>254</v>
      </c>
      <c r="E107" s="158"/>
      <c r="F107" s="10" t="s">
        <v>38</v>
      </c>
    </row>
    <row r="108" spans="4:6">
      <c r="D108" s="27" t="s">
        <v>57</v>
      </c>
      <c r="E108" s="158"/>
      <c r="F108" s="10" t="s">
        <v>58</v>
      </c>
    </row>
    <row r="109" spans="4:6">
      <c r="D109" s="27" t="s">
        <v>198</v>
      </c>
      <c r="E109" s="158"/>
      <c r="F109" s="10" t="s">
        <v>199</v>
      </c>
    </row>
    <row r="110" spans="4:6">
      <c r="D110" s="27" t="s">
        <v>55</v>
      </c>
      <c r="E110" s="158"/>
      <c r="F110" s="10" t="s">
        <v>54</v>
      </c>
    </row>
    <row r="111" spans="4:6">
      <c r="D111" s="27" t="s">
        <v>39</v>
      </c>
      <c r="E111" s="158"/>
      <c r="F111" s="10" t="s">
        <v>38</v>
      </c>
    </row>
    <row r="112" spans="4:6">
      <c r="D112" s="27" t="s">
        <v>200</v>
      </c>
      <c r="E112" s="158"/>
      <c r="F112" s="10" t="s">
        <v>54</v>
      </c>
    </row>
    <row r="113" spans="4:6">
      <c r="D113" s="27" t="s">
        <v>201</v>
      </c>
      <c r="E113" s="158"/>
      <c r="F113" s="10" t="s">
        <v>38</v>
      </c>
    </row>
    <row r="114" spans="4:6">
      <c r="D114" s="161" t="s">
        <v>538</v>
      </c>
      <c r="E114" s="158"/>
      <c r="F114" s="159" t="s">
        <v>566</v>
      </c>
    </row>
    <row r="115" spans="4:6">
      <c r="D115" s="161"/>
      <c r="E115" s="158"/>
      <c r="F115" s="159"/>
    </row>
  </sheetData>
  <mergeCells count="87">
    <mergeCell ref="D104:F104"/>
    <mergeCell ref="A54:B54"/>
    <mergeCell ref="C54:E54"/>
    <mergeCell ref="H54:I54"/>
    <mergeCell ref="C55:H55"/>
    <mergeCell ref="I56:J56"/>
    <mergeCell ref="D80:F80"/>
    <mergeCell ref="A52:B52"/>
    <mergeCell ref="C52:E52"/>
    <mergeCell ref="F52:G52"/>
    <mergeCell ref="H52:I52"/>
    <mergeCell ref="K52:M52"/>
    <mergeCell ref="K48:M48"/>
    <mergeCell ref="C49:E49"/>
    <mergeCell ref="G49:I49"/>
    <mergeCell ref="K49:M49"/>
    <mergeCell ref="D53:E53"/>
    <mergeCell ref="F53:G53"/>
    <mergeCell ref="H53:I53"/>
    <mergeCell ref="D50:I50"/>
    <mergeCell ref="K50:M50"/>
    <mergeCell ref="F51:I51"/>
    <mergeCell ref="K51:M51"/>
    <mergeCell ref="A45:B45"/>
    <mergeCell ref="D45:E45"/>
    <mergeCell ref="G45:H45"/>
    <mergeCell ref="I45:J45"/>
    <mergeCell ref="A51:B51"/>
    <mergeCell ref="C51:E51"/>
    <mergeCell ref="D47:E47"/>
    <mergeCell ref="G47:H47"/>
    <mergeCell ref="I47:J47"/>
    <mergeCell ref="A46:B46"/>
    <mergeCell ref="D46:E46"/>
    <mergeCell ref="G46:H46"/>
    <mergeCell ref="I46:J46"/>
    <mergeCell ref="A48:B48"/>
    <mergeCell ref="C48:E48"/>
    <mergeCell ref="G48:I48"/>
    <mergeCell ref="K46:M46"/>
    <mergeCell ref="A42:F42"/>
    <mergeCell ref="I42:M43"/>
    <mergeCell ref="A43:H43"/>
    <mergeCell ref="A6:A7"/>
    <mergeCell ref="B6:C6"/>
    <mergeCell ref="D6:D7"/>
    <mergeCell ref="E6:E7"/>
    <mergeCell ref="F6:F7"/>
    <mergeCell ref="G6:G7"/>
    <mergeCell ref="K45:M45"/>
    <mergeCell ref="H6:H7"/>
    <mergeCell ref="I6:I7"/>
    <mergeCell ref="J6:J7"/>
    <mergeCell ref="K6:M6"/>
    <mergeCell ref="A44:H44"/>
    <mergeCell ref="B3:C3"/>
    <mergeCell ref="D3:E3"/>
    <mergeCell ref="F3:G3"/>
    <mergeCell ref="H3:I3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K38:M38"/>
    <mergeCell ref="K14:M14"/>
    <mergeCell ref="K9:M9"/>
    <mergeCell ref="K10:M10"/>
    <mergeCell ref="D1:E1"/>
    <mergeCell ref="D2:E2"/>
    <mergeCell ref="G2:I2"/>
    <mergeCell ref="H5:I5"/>
    <mergeCell ref="J5:K5"/>
    <mergeCell ref="F8:G8"/>
    <mergeCell ref="K8:M8"/>
    <mergeCell ref="F25:G25"/>
    <mergeCell ref="K31:M31"/>
    <mergeCell ref="K33:M33"/>
    <mergeCell ref="K35:M35"/>
    <mergeCell ref="K37:M37"/>
  </mergeCells>
  <phoneticPr fontId="2" type="noConversion"/>
  <conditionalFormatting sqref="H8:H41 E8:E41">
    <cfRule type="cellIs" dxfId="169" priority="5" operator="equal">
      <formula>""</formula>
    </cfRule>
  </conditionalFormatting>
  <conditionalFormatting sqref="F61:H78">
    <cfRule type="cellIs" dxfId="168" priority="4" operator="equal">
      <formula>"?"</formula>
    </cfRule>
  </conditionalFormatting>
  <conditionalFormatting sqref="D41:D113 D115:D998">
    <cfRule type="duplicateValues" dxfId="167" priority="49"/>
  </conditionalFormatting>
  <conditionalFormatting sqref="D8:D40">
    <cfRule type="duplicateValues" dxfId="166" priority="71"/>
  </conditionalFormatting>
  <conditionalFormatting sqref="D114">
    <cfRule type="duplicateValues" dxfId="165" priority="1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Staff!$B$15:$B$39</xm:f>
          </x14:formula1>
          <xm:sqref>D45:E45</xm:sqref>
        </x14:dataValidation>
        <x14:dataValidation type="list" errorStyle="warning" allowBlank="1" showInputMessage="1">
          <x14:formula1>
            <xm:f>Staff!$B$15:$B$39</xm:f>
          </x14:formula1>
          <xm:sqref>D46:E46</xm:sqref>
        </x14:dataValidation>
        <x14:dataValidation type="list" allowBlank="1" showInputMessage="1">
          <x14:formula1>
            <xm:f>Staff!$G$12:$G$52</xm:f>
          </x14:formula1>
          <xm:sqref>G48:I49</xm:sqref>
        </x14:dataValidation>
        <x14:dataValidation type="list" allowBlank="1" showInputMessage="1" showErrorMessage="1">
          <x14:formula1>
            <xm:f>Staff!$G$12:$G$52</xm:f>
          </x14:formula1>
          <xm:sqref>K48:M52</xm:sqref>
        </x14:dataValidation>
        <x14:dataValidation type="list" allowBlank="1" showInputMessage="1">
          <x14:formula1>
            <xm:f>Staff!$G$2:$G$9</xm:f>
          </x14:formula1>
          <xm:sqref>K45:M46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5"/>
  <sheetViews>
    <sheetView view="pageBreakPreview" zoomScale="85" zoomScaleNormal="100" zoomScaleSheetLayoutView="85" workbookViewId="0">
      <selection activeCell="D17" sqref="D17"/>
    </sheetView>
  </sheetViews>
  <sheetFormatPr defaultRowHeight="15.75"/>
  <cols>
    <col min="1" max="1" width="9.125" style="211" customWidth="1"/>
    <col min="2" max="2" width="10.25" style="211" customWidth="1"/>
    <col min="3" max="3" width="9.75" style="211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02" customWidth="1"/>
    <col min="9" max="9" width="9" style="54" customWidth="1"/>
    <col min="10" max="10" width="9.125" style="54" customWidth="1"/>
    <col min="11" max="13" width="9.125" style="211" customWidth="1"/>
    <col min="14" max="14" width="9" style="211"/>
    <col min="15" max="15" width="10.75" style="112" bestFit="1" customWidth="1"/>
    <col min="16" max="16" width="12.25" style="211" bestFit="1" customWidth="1"/>
    <col min="17" max="16384" width="9" style="211"/>
  </cols>
  <sheetData>
    <row r="1" spans="1:16">
      <c r="A1" s="201"/>
      <c r="B1" s="201"/>
      <c r="C1" s="108" t="s">
        <v>20</v>
      </c>
      <c r="D1" s="355">
        <v>45751</v>
      </c>
      <c r="E1" s="355"/>
      <c r="F1" s="203" t="s">
        <v>23</v>
      </c>
      <c r="G1" s="110">
        <f>D1</f>
        <v>45751</v>
      </c>
      <c r="H1" s="210" t="s">
        <v>24</v>
      </c>
      <c r="I1" s="206"/>
      <c r="J1" s="206"/>
      <c r="K1" s="201"/>
      <c r="L1" s="201"/>
      <c r="M1" s="47"/>
    </row>
    <row r="2" spans="1:16" ht="17.25" customHeight="1" thickBot="1">
      <c r="A2" s="201"/>
      <c r="B2" s="201"/>
      <c r="C2" s="201"/>
      <c r="D2" s="356"/>
      <c r="E2" s="356"/>
      <c r="F2" s="206"/>
      <c r="G2" s="357"/>
      <c r="H2" s="357"/>
      <c r="I2" s="357"/>
      <c r="J2" s="206"/>
      <c r="K2" s="201"/>
      <c r="L2" s="201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S7(5) </v>
      </c>
      <c r="C4" s="367"/>
      <c r="D4" s="366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S9(4)  &lt;S12(5)&gt;  </v>
      </c>
      <c r="E4" s="367"/>
      <c r="F4" s="366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 xml:space="preserve">S11(5) </v>
      </c>
      <c r="G4" s="367"/>
      <c r="H4" s="366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S10(4) </v>
      </c>
      <c r="I4" s="367"/>
      <c r="J4" s="366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 &lt;S2(5)&gt;  S3(4) S4(4) </v>
      </c>
      <c r="K4" s="367"/>
      <c r="L4" s="366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S1(4) S4(1)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08" t="s">
        <v>52</v>
      </c>
      <c r="C7" s="208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270"/>
      <c r="B8" s="270" t="str">
        <f>IF($E8&lt;&gt;"",IF($E8-715&lt;0,VLOOKUP($B$3,$E$61:$J$72,6,FALSE),IF(AND($E8-2130&gt;0,_xlfn.IFNA(MATCH($D8,$D$105:$D$115,0)&lt;20,"")=TRUE),VLOOKUP($L$3,$E$61:$J$72,6,FALSE),"-")),"")</f>
        <v>S7</v>
      </c>
      <c r="C8" s="270"/>
      <c r="D8" s="293" t="s">
        <v>604</v>
      </c>
      <c r="E8" s="272" t="str">
        <f>IF($D8&gt;0,VLOOKUP($D8,Flight!$A$1:$E$91,2,FALSE),"")</f>
        <v>0130</v>
      </c>
      <c r="F8" s="433" t="s">
        <v>812</v>
      </c>
      <c r="G8" s="434"/>
      <c r="H8" s="273" t="str">
        <f>IF($D8&gt;0,VLOOKUP($D8,Flight!$A$1:$E$91,3,FALSE),"")</f>
        <v>BKK</v>
      </c>
      <c r="I8" s="273" t="str">
        <f>IF($D8&gt;0,IF(VLOOKUP($D8,Flight!$A$1:$E$91,4,FALSE)&gt;1,VLOOKUP($D8,Flight!$A$1:$E91,4,FALSE),""),"")</f>
        <v/>
      </c>
      <c r="J8" s="273" t="str">
        <f>IF($D8&gt;0,IF(VLOOKUP($D8,Flight!$A$1:$E$91,5,FALSE)&gt;1,VLOOKUP($D8,Flight!$A$1:$E$91,5,FALSE),""),"")</f>
        <v/>
      </c>
      <c r="K8" s="294" t="s">
        <v>811</v>
      </c>
      <c r="L8" s="294"/>
      <c r="M8" s="294"/>
      <c r="N8" s="173"/>
    </row>
    <row r="9" spans="1:16" ht="16.5" customHeight="1">
      <c r="A9" s="9">
        <v>1</v>
      </c>
      <c r="B9" s="9" t="str">
        <f>IF($E9&lt;&gt;"",IF($E9-715&lt;0,VLOOKUP($B$3,$E$61:$J$72,6,FALSE),IF(AND($E9-2130&gt;0,_xlfn.IFNA(MATCH($D9,$D$105:$D$115,0)&lt;20,"")=TRUE),VLOOKUP($L$3,$E$61:$J$72,6,FALSE),"-")),"")</f>
        <v>S7</v>
      </c>
      <c r="C9" s="9" t="str">
        <f t="shared" ref="C9:C16" si="0">IF($E9&lt;&gt;"",IF(ISNUMBER(SEARCH("Hall Operation",$K9)),"-",IF($E9-715&lt;0,VLOOKUP($B$3,$E$61:$J$72,6,FALSE),IF($E9-2129&gt;0,VLOOKUP($L$3,$E$61:$J$72,6,FALSE),""))),"")</f>
        <v>-</v>
      </c>
      <c r="D9" s="27" t="s">
        <v>606</v>
      </c>
      <c r="E9" s="172">
        <v>615</v>
      </c>
      <c r="F9" s="45"/>
      <c r="G9" s="43" t="str">
        <f t="shared" ref="G9:G13" si="1">IF(A9="@",IF(H9="ZYK","Berth 3",IF(H9="HKM","Bay 7","")),"")</f>
        <v/>
      </c>
      <c r="H9" s="44" t="str">
        <f>IF($D9&gt;0,VLOOKUP($D9,Flight!$A$1:$E$91,3,FALSE),"")</f>
        <v>DEL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ref="K9:K41" si="2">IF($D9=0,"",IF(OR(ISNUMBER(SEARCH("S",$B9)),_xlfn.IFNA(MATCH($D9,$D$105:$D$115,0)&lt;20,"")=TRUE),"&lt;   Hall Operation   &gt;",""))</f>
        <v>&lt;   Hall Operation   &gt;</v>
      </c>
      <c r="L9" s="166"/>
      <c r="M9" s="166"/>
    </row>
    <row r="10" spans="1:16">
      <c r="A10" s="9">
        <v>2</v>
      </c>
      <c r="B10" s="9" t="str">
        <f>IF($E10&lt;&gt;"",IF($E10-715&lt;0,VLOOKUP($B$3,$E$61:$J$72,6,FALSE),IF(AND($E10-2130&gt;0,_xlfn.IFNA(MATCH($D10,$D$105:$D$115,0)&lt;20,"")=TRUE),VLOOKUP($L$3,$E$61:$J$72,6,FALSE),"-")),"")</f>
        <v>S7</v>
      </c>
      <c r="C10" s="9" t="str">
        <f t="shared" si="0"/>
        <v>-</v>
      </c>
      <c r="D10" s="27" t="s">
        <v>605</v>
      </c>
      <c r="E10" s="172">
        <v>650</v>
      </c>
      <c r="F10" s="45"/>
      <c r="G10" s="43" t="str">
        <f t="shared" si="1"/>
        <v/>
      </c>
      <c r="H10" s="44" t="str">
        <f>IF($D10&gt;0,VLOOKUP($D10,Flight!$A$1:$E$91,3,FALSE),"")</f>
        <v>DEL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v>3</v>
      </c>
      <c r="B11" s="9" t="str">
        <f>IF($E11&lt;&gt;"",IF($E11-715&lt;0,VLOOKUP($B$3,$E$61:$J$72,6,FALSE),IF(AND($E11-2130&gt;0,_xlfn.IFNA(MATCH($D11,$D$105:$D$115,0)&lt;20,"")=TRUE),VLOOKUP($L$3,$E$61:$J$72,6,FALSE),"-")),"")</f>
        <v>S7</v>
      </c>
      <c r="C11" s="9" t="str">
        <f t="shared" si="0"/>
        <v>-</v>
      </c>
      <c r="D11" s="27" t="s">
        <v>607</v>
      </c>
      <c r="E11" s="172" t="str">
        <f>IF($D11&gt;0,VLOOKUP($D11,Flight!$A$1:$E$91,2,FALSE),"")</f>
        <v>0545</v>
      </c>
      <c r="F11" s="43"/>
      <c r="G11" s="43" t="str">
        <f t="shared" si="1"/>
        <v/>
      </c>
      <c r="H11" s="44" t="str">
        <f>IF($D11&gt;0,VLOOKUP($D11,Flight!$A$1:$E$91,3,FALSE),"")</f>
        <v>CGK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270"/>
      <c r="B12" s="270" t="str">
        <f>IF($E12&lt;&gt;"",IF($E12-715&lt;0,VLOOKUP($B$3,$E$61:$J$72,6,FALSE),IF(AND($E12-2130&gt;0,_xlfn.IFNA(MATCH($D12,$D$105:$D$115,0)&lt;20,"")=TRUE),VLOOKUP($L$3,$E$61:$J$72,6,FALSE),"-")),"")</f>
        <v>S7</v>
      </c>
      <c r="C12" s="270" t="str">
        <f t="shared" si="0"/>
        <v>S7</v>
      </c>
      <c r="D12" s="271" t="s">
        <v>368</v>
      </c>
      <c r="E12" s="272">
        <v>705</v>
      </c>
      <c r="F12" s="433" t="s">
        <v>524</v>
      </c>
      <c r="G12" s="434"/>
      <c r="H12" s="273" t="str">
        <f>IF($D12&gt;0,VLOOKUP($D12,Flight!$A$1:$E$91,3,FALSE),"")</f>
        <v>BKK</v>
      </c>
      <c r="I12" s="273" t="str">
        <f>IF($D12&gt;0,IF(VLOOKUP($D12,Flight!$A$1:$E$91,4,FALSE)&gt;1,VLOOKUP($D12,Flight!$A$1:$E95,4,FALSE),""),"")</f>
        <v/>
      </c>
      <c r="J12" s="273" t="str">
        <f>IF($D12&gt;0,IF(VLOOKUP($D12,Flight!$A$1:$E$91,5,FALSE)&gt;1,VLOOKUP($D12,Flight!$A$1:$E$91,5,FALSE),""),"")</f>
        <v/>
      </c>
      <c r="K12" s="294" t="s">
        <v>811</v>
      </c>
      <c r="L12" s="294"/>
      <c r="M12" s="294"/>
    </row>
    <row r="13" spans="1:16">
      <c r="A13" s="9">
        <v>4</v>
      </c>
      <c r="B13" s="9" t="s">
        <v>614</v>
      </c>
      <c r="C13" s="9" t="str">
        <f t="shared" si="0"/>
        <v>-</v>
      </c>
      <c r="D13" s="27" t="s">
        <v>369</v>
      </c>
      <c r="E13" s="172" t="str">
        <f>IF($D13&gt;0,VLOOKUP($D13,Flight!$A$1:$E$91,2,FALSE),"")</f>
        <v>0905</v>
      </c>
      <c r="F13" s="46"/>
      <c r="G13" s="43" t="str">
        <f t="shared" si="1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v>5</v>
      </c>
      <c r="B14" s="9" t="s">
        <v>614</v>
      </c>
      <c r="C14" s="9" t="str">
        <f t="shared" si="0"/>
        <v>-</v>
      </c>
      <c r="D14" s="27" t="s">
        <v>370</v>
      </c>
      <c r="E14" s="172" t="str">
        <f>IF($D14&gt;0,VLOOKUP($D14,Flight!$A$1:$E$91,2,FALSE),"")</f>
        <v>0935</v>
      </c>
      <c r="F14" s="46"/>
      <c r="G14" s="43" t="str">
        <f t="shared" ref="G14:G41" si="3">IF(A14="@",IF(H14="ZYK","Berth 3",IF(H14="HKM","Bay 7","")),"")</f>
        <v/>
      </c>
      <c r="H14" s="44" t="str">
        <f>IF($D14&gt;0,VLOOKUP($D14,Flight!$A$1:$E$91,3,FALSE),"")</f>
        <v>BLR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v>6</v>
      </c>
      <c r="B15" s="9" t="s">
        <v>615</v>
      </c>
      <c r="C15" s="9" t="str">
        <f t="shared" si="0"/>
        <v>-</v>
      </c>
      <c r="D15" s="27" t="s">
        <v>371</v>
      </c>
      <c r="E15" s="172" t="str">
        <f>IF($D15&gt;0,VLOOKUP($D15,Flight!$A$1:$E$91,2,FALSE),"")</f>
        <v>0955</v>
      </c>
      <c r="F15" s="46"/>
      <c r="G15" s="43" t="str">
        <f t="shared" si="3"/>
        <v/>
      </c>
      <c r="H15" s="44" t="str">
        <f>IF($D15&gt;0,VLOOKUP($D15,Flight!$A$1:$E$91,3,FALSE),"")</f>
        <v>BOM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v>7</v>
      </c>
      <c r="B16" s="9" t="s">
        <v>615</v>
      </c>
      <c r="C16" s="9" t="str">
        <f t="shared" si="0"/>
        <v>-</v>
      </c>
      <c r="D16" s="27" t="s">
        <v>394</v>
      </c>
      <c r="E16" s="172">
        <v>955</v>
      </c>
      <c r="F16" s="45"/>
      <c r="G16" s="43" t="str">
        <f t="shared" si="3"/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v>8</v>
      </c>
      <c r="B17" s="9" t="s">
        <v>165</v>
      </c>
      <c r="C17" s="9" t="s">
        <v>464</v>
      </c>
      <c r="D17" s="27" t="s">
        <v>372</v>
      </c>
      <c r="E17" s="172" t="str">
        <f>IF($D17&gt;0,VLOOKUP($D17,Flight!$A$1:$E$91,2,FALSE),"")</f>
        <v>1000</v>
      </c>
      <c r="F17" s="45"/>
      <c r="G17" s="43" t="str">
        <f t="shared" si="3"/>
        <v/>
      </c>
      <c r="H17" s="44" t="str">
        <f>IF($D17&gt;0,VLOOKUP($D17,Flight!$A$1:$E$91,3,FALSE),"")</f>
        <v>DMK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v>9</v>
      </c>
      <c r="B18" s="9" t="s">
        <v>165</v>
      </c>
      <c r="C18" s="9" t="s">
        <v>464</v>
      </c>
      <c r="D18" s="27" t="s">
        <v>373</v>
      </c>
      <c r="E18" s="172" t="str">
        <f>IF($D18&gt;0,VLOOKUP($D18,Flight!$A$1:$E$91,2,FALSE),"")</f>
        <v>1010</v>
      </c>
      <c r="F18" s="45"/>
      <c r="G18" s="43" t="str">
        <f t="shared" si="3"/>
        <v/>
      </c>
      <c r="H18" s="44" t="str">
        <f>IF($D18&gt;0,VLOOKUP($D18,Flight!$A$1:$E$91,3,FALSE),"")</f>
        <v>MNL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>&lt;   Hall Operation   &gt;</v>
      </c>
      <c r="L18" s="166"/>
      <c r="M18" s="166"/>
      <c r="O18" s="114"/>
    </row>
    <row r="19" spans="1:15">
      <c r="A19" s="9">
        <v>10</v>
      </c>
      <c r="B19" s="9" t="str">
        <f t="shared" ref="B19:B22" si="4">IF($E19&lt;&gt;"",IF($E19-715&lt;0,VLOOKUP($B$3,$E$61:$J$72,6,FALSE),IF(AND($E19-2130&gt;0,_xlfn.IFNA(MATCH($D19,$D$105:$D$115,0)&lt;20,"")=TRUE),VLOOKUP($L$3,$E$61:$J$72,6,FALSE),"-")),"")</f>
        <v>-</v>
      </c>
      <c r="C19" s="9" t="s">
        <v>614</v>
      </c>
      <c r="D19" s="9" t="s">
        <v>374</v>
      </c>
      <c r="E19" s="172" t="str">
        <f>IF($D19&gt;0,VLOOKUP($D19,Flight!$A$1:$E$91,2,FALSE),"")</f>
        <v>1115</v>
      </c>
      <c r="F19" s="45"/>
      <c r="G19" s="43" t="str">
        <f t="shared" si="3"/>
        <v/>
      </c>
      <c r="H19" s="44" t="str">
        <f>IF($D19&gt;0,VLOOKUP($D19,Flight!$A$1:$E$91,3,FALSE),"")</f>
        <v>KUL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v>11</v>
      </c>
      <c r="B20" s="9" t="s">
        <v>813</v>
      </c>
      <c r="C20" s="257" t="s">
        <v>464</v>
      </c>
      <c r="D20" s="9" t="s">
        <v>375</v>
      </c>
      <c r="E20" s="172" t="str">
        <f>IF($D20&gt;0,VLOOKUP($D20,Flight!$A$1:$E$91,2,FALSE),"")</f>
        <v>1145</v>
      </c>
      <c r="F20" s="45"/>
      <c r="G20" s="43" t="str">
        <f t="shared" si="3"/>
        <v/>
      </c>
      <c r="H20" s="44" t="str">
        <f>IF($D20&gt;0,VLOOKUP($D20,Flight!$A$1:$E$91,3,FALSE),"")</f>
        <v>BKK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>&lt;   Hall Operation   &gt;</v>
      </c>
      <c r="L20" s="166"/>
      <c r="M20" s="166"/>
      <c r="O20" s="114"/>
    </row>
    <row r="21" spans="1:15" ht="15.75" customHeight="1">
      <c r="A21" s="9">
        <v>12</v>
      </c>
      <c r="B21" s="9" t="s">
        <v>815</v>
      </c>
      <c r="C21" s="9" t="s">
        <v>464</v>
      </c>
      <c r="D21" s="9" t="s">
        <v>608</v>
      </c>
      <c r="E21" s="172">
        <v>1200</v>
      </c>
      <c r="F21" s="44"/>
      <c r="G21" s="43" t="str">
        <f t="shared" si="3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>&lt;   Hall Operation   &gt;</v>
      </c>
      <c r="L21" s="166"/>
      <c r="M21" s="166"/>
      <c r="O21" s="114"/>
    </row>
    <row r="22" spans="1:15">
      <c r="A22" s="9">
        <v>13</v>
      </c>
      <c r="B22" s="9" t="str">
        <f t="shared" si="4"/>
        <v>-</v>
      </c>
      <c r="C22" s="9" t="s">
        <v>617</v>
      </c>
      <c r="D22" s="9" t="s">
        <v>376</v>
      </c>
      <c r="E22" s="172" t="str">
        <f>IF($D22&gt;0,VLOOKUP($D22,Flight!$A$1:$E$91,2,FALSE),"")</f>
        <v>1305</v>
      </c>
      <c r="F22" s="44">
        <v>1247</v>
      </c>
      <c r="G22" s="43" t="s">
        <v>814</v>
      </c>
      <c r="H22" s="44" t="str">
        <f>IF($D22&gt;0,VLOOKUP($D22,Flight!$A$1:$E$91,3,FALSE),"")</f>
        <v>DMK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>
        <v>1</v>
      </c>
      <c r="L22" s="166">
        <v>1</v>
      </c>
      <c r="M22" s="166">
        <v>2</v>
      </c>
      <c r="O22" s="114"/>
    </row>
    <row r="23" spans="1:15">
      <c r="A23" s="9">
        <v>14</v>
      </c>
      <c r="B23" s="9" t="s">
        <v>464</v>
      </c>
      <c r="C23" s="9" t="s">
        <v>816</v>
      </c>
      <c r="D23" s="27" t="s">
        <v>377</v>
      </c>
      <c r="E23" s="172" t="str">
        <f>IF($D23&gt;0,VLOOKUP($D23,Flight!$A$1:$E$91,2,FALSE),"")</f>
        <v>1310</v>
      </c>
      <c r="F23" s="44">
        <v>1254</v>
      </c>
      <c r="G23" s="43" t="s">
        <v>817</v>
      </c>
      <c r="H23" s="44" t="str">
        <f>IF($D23&gt;0,VLOOKUP($D23,Flight!$A$1:$E$91,3,FALSE),"")</f>
        <v>DEL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>
        <v>1</v>
      </c>
      <c r="L23" s="166">
        <v>1</v>
      </c>
      <c r="M23" s="166">
        <v>3</v>
      </c>
      <c r="O23" s="114"/>
    </row>
    <row r="24" spans="1:15">
      <c r="A24" s="9">
        <v>15</v>
      </c>
      <c r="B24" s="9" t="str">
        <f t="shared" ref="B24:C41" si="5">IF($E24&lt;&gt;"",IF($E24-715&lt;0,VLOOKUP($B$3,$E$61:$J$72,6,FALSE),IF(AND($E24-2130&gt;0,_xlfn.IFNA(MATCH($D24,$D$105:$D$115,0)&lt;20,"")=TRUE),VLOOKUP($L$3,$E$61:$J$72,6,FALSE),"-")),"")</f>
        <v>-</v>
      </c>
      <c r="C24" s="9" t="s">
        <v>616</v>
      </c>
      <c r="D24" s="27" t="s">
        <v>378</v>
      </c>
      <c r="E24" s="172" t="str">
        <f>IF($D24&gt;0,VLOOKUP($D24,Flight!$A$1:$E$91,2,FALSE),"")</f>
        <v>1415</v>
      </c>
      <c r="F24" s="45">
        <v>1450</v>
      </c>
      <c r="G24" s="43" t="s">
        <v>821</v>
      </c>
      <c r="H24" s="44" t="str">
        <f>IF($D24&gt;0,VLOOKUP($D24,Flight!$A$1:$E$91,3,FALSE),"")</f>
        <v>KUL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>
        <v>0</v>
      </c>
      <c r="L24" s="166">
        <v>1</v>
      </c>
      <c r="M24" s="166">
        <v>1</v>
      </c>
      <c r="O24" s="114"/>
    </row>
    <row r="25" spans="1:15">
      <c r="A25" s="9">
        <v>16</v>
      </c>
      <c r="B25" s="8" t="s">
        <v>825</v>
      </c>
      <c r="C25" s="303" t="s">
        <v>464</v>
      </c>
      <c r="D25" s="48" t="s">
        <v>379</v>
      </c>
      <c r="E25" s="295" t="str">
        <f>IF($D25&gt;0,VLOOKUP($D25,Flight!$A$1:$E$91,2,FALSE),"")</f>
        <v>1420</v>
      </c>
      <c r="F25" s="296"/>
      <c r="G25" s="297" t="str">
        <f t="shared" si="3"/>
        <v/>
      </c>
      <c r="H25" s="298" t="str">
        <f>IF($D25&gt;0,VLOOKUP($D25,Flight!$A$1:$E$91,3,FALSE),"")</f>
        <v>BKK</v>
      </c>
      <c r="I25" s="298" t="str">
        <f>IF($D25&gt;0,IF(VLOOKUP($D25,Flight!$A$1:$E$91,4,FALSE)&gt;1,VLOOKUP($D25,Flight!$A$1:$E108,4,FALSE),""),"")</f>
        <v/>
      </c>
      <c r="J25" s="298" t="str">
        <f>IF($D25&gt;0,IF(VLOOKUP($D25,Flight!$A$1:$E$91,5,FALSE)&gt;1,VLOOKUP($D25,Flight!$A$1:$E$91,5,FALSE),""),"")</f>
        <v/>
      </c>
      <c r="K25" s="299" t="str">
        <f t="shared" si="2"/>
        <v>&lt;   Hall Operation   &gt;</v>
      </c>
      <c r="L25" s="299"/>
      <c r="M25" s="166"/>
      <c r="O25" s="114"/>
    </row>
    <row r="26" spans="1:15">
      <c r="A26" s="251" t="s">
        <v>31</v>
      </c>
      <c r="B26" s="251" t="s">
        <v>31</v>
      </c>
      <c r="C26" s="251" t="s">
        <v>723</v>
      </c>
      <c r="D26" s="252" t="s">
        <v>381</v>
      </c>
      <c r="E26" s="432" t="s">
        <v>822</v>
      </c>
      <c r="F26" s="419"/>
      <c r="G26" s="291" t="str">
        <f t="shared" si="3"/>
        <v/>
      </c>
      <c r="H26" s="254" t="str">
        <f>IF($D26&gt;0,VLOOKUP($D26,Flight!$A$1:$E$91,3,FALSE),"")</f>
        <v>DOH</v>
      </c>
      <c r="I26" s="254" t="str">
        <f>IF($D26&gt;0,IF(VLOOKUP($D26,Flight!$A$1:$E$91,4,FALSE)&gt;1,VLOOKUP($D26,Flight!$A$1:$E109,4,FALSE),""),"")</f>
        <v/>
      </c>
      <c r="J26" s="431" t="s">
        <v>823</v>
      </c>
      <c r="K26" s="402"/>
      <c r="L26" s="402"/>
      <c r="M26" s="403"/>
      <c r="O26" s="114"/>
    </row>
    <row r="27" spans="1:15">
      <c r="A27" s="284">
        <v>17</v>
      </c>
      <c r="B27" s="284" t="s">
        <v>824</v>
      </c>
      <c r="C27" s="9" t="str">
        <f t="shared" si="5"/>
        <v>-</v>
      </c>
      <c r="D27" s="300" t="s">
        <v>611</v>
      </c>
      <c r="E27" s="286" t="str">
        <f>IF($D27&gt;0,VLOOKUP($D27,Flight!$A$1:$E$91,2,FALSE),"")</f>
        <v>1450</v>
      </c>
      <c r="F27" s="301"/>
      <c r="G27" s="287" t="str">
        <f t="shared" si="3"/>
        <v/>
      </c>
      <c r="H27" s="288" t="str">
        <f>IF($D27&gt;0,VLOOKUP($D27,Flight!$A$1:$E$91,3,FALSE),"")</f>
        <v>BKK</v>
      </c>
      <c r="I27" s="288" t="str">
        <f>IF($D27&gt;0,IF(VLOOKUP($D27,Flight!$A$1:$E$91,4,FALSE)&gt;1,VLOOKUP($D27,Flight!$A$1:$E110,4,FALSE),""),"")</f>
        <v/>
      </c>
      <c r="J27" s="288" t="str">
        <f>IF($D27&gt;0,IF(VLOOKUP($D27,Flight!$A$1:$E$91,5,FALSE)&gt;1,VLOOKUP($D27,Flight!$A$1:$E$91,5,FALSE),""),"")</f>
        <v/>
      </c>
      <c r="K27" s="302" t="str">
        <f t="shared" si="2"/>
        <v>&lt;   Hall Operation   &gt;</v>
      </c>
      <c r="L27" s="302"/>
      <c r="M27" s="166"/>
      <c r="O27" s="114"/>
    </row>
    <row r="28" spans="1:15">
      <c r="A28" s="9">
        <v>18</v>
      </c>
      <c r="B28" s="9" t="str">
        <f t="shared" si="5"/>
        <v>-</v>
      </c>
      <c r="C28" s="9" t="s">
        <v>725</v>
      </c>
      <c r="D28" s="27" t="s">
        <v>382</v>
      </c>
      <c r="E28" s="172" t="str">
        <f>IF($D28&gt;0,VLOOKUP($D28,Flight!$A$1:$E$91,2,FALSE),"")</f>
        <v>1715</v>
      </c>
      <c r="F28" s="45">
        <v>1623</v>
      </c>
      <c r="G28" s="43" t="s">
        <v>826</v>
      </c>
      <c r="H28" s="44" t="str">
        <f>IF($D28&gt;0,VLOOKUP($D28,Flight!$A$1:$E$91,3,FALSE),"")</f>
        <v>IST</v>
      </c>
      <c r="I28" s="44" t="str">
        <f>IF($D28&gt;0,IF(VLOOKUP($D28,Flight!$A$1:$E$91,4,FALSE)&gt;1,VLOOKUP($D28,Flight!$A$1:$E111,4,FALSE),""),"")</f>
        <v/>
      </c>
      <c r="J28" s="44" t="str">
        <f>IF($D28&gt;0,IF(VLOOKUP($D28,Flight!$A$1:$E$91,5,FALSE)&gt;1,VLOOKUP($D28,Flight!$A$1:$E$91,5,FALSE),""),"")</f>
        <v/>
      </c>
      <c r="K28" s="166">
        <v>1</v>
      </c>
      <c r="L28" s="166">
        <v>1</v>
      </c>
      <c r="M28" s="166">
        <v>3</v>
      </c>
    </row>
    <row r="29" spans="1:15">
      <c r="A29" s="284">
        <v>19</v>
      </c>
      <c r="B29" s="9" t="str">
        <f t="shared" si="5"/>
        <v>-</v>
      </c>
      <c r="C29" s="9" t="s">
        <v>723</v>
      </c>
      <c r="D29" s="27" t="s">
        <v>612</v>
      </c>
      <c r="E29" s="172">
        <v>1645</v>
      </c>
      <c r="F29" s="49">
        <v>1638</v>
      </c>
      <c r="G29" s="43" t="s">
        <v>836</v>
      </c>
      <c r="H29" s="44" t="str">
        <f>IF($D29&gt;0,VLOOKUP($D29,Flight!$A$1:$E$91,3,FALSE),"")</f>
        <v>ADD</v>
      </c>
      <c r="I29" s="44" t="str">
        <f>IF($D29&gt;0,IF(VLOOKUP($D29,Flight!$A$1:$E$91,4,FALSE)&gt;1,VLOOKUP($D29,Flight!$A$1:$E112,4,FALSE),""),"")</f>
        <v>BKK</v>
      </c>
      <c r="J29" s="44" t="str">
        <f>IF($D29&gt;0,IF(VLOOKUP($D29,Flight!$A$1:$E$91,5,FALSE)&gt;1,VLOOKUP($D29,Flight!$A$1:$E$91,5,FALSE),""),"")</f>
        <v/>
      </c>
      <c r="K29" s="166">
        <v>1</v>
      </c>
      <c r="L29" s="166">
        <v>1</v>
      </c>
      <c r="M29" s="166">
        <v>3</v>
      </c>
    </row>
    <row r="30" spans="1:15">
      <c r="A30" s="9">
        <v>20</v>
      </c>
      <c r="B30" s="9" t="str">
        <f t="shared" si="5"/>
        <v>-</v>
      </c>
      <c r="C30" s="9" t="s">
        <v>724</v>
      </c>
      <c r="D30" s="27" t="s">
        <v>609</v>
      </c>
      <c r="E30" s="172" t="str">
        <f>IF($D30&gt;0,VLOOKUP($D30,Flight!$A$1:$E$91,2,FALSE),"")</f>
        <v>1720</v>
      </c>
      <c r="F30" s="45">
        <v>1657</v>
      </c>
      <c r="G30" s="43" t="s">
        <v>834</v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>
        <v>0</v>
      </c>
      <c r="L30" s="166">
        <v>1</v>
      </c>
      <c r="M30" s="166">
        <v>2</v>
      </c>
    </row>
    <row r="31" spans="1:15">
      <c r="A31" s="284">
        <v>21</v>
      </c>
      <c r="B31" s="9" t="str">
        <f t="shared" si="5"/>
        <v>-</v>
      </c>
      <c r="C31" s="9" t="s">
        <v>725</v>
      </c>
      <c r="D31" s="27" t="s">
        <v>383</v>
      </c>
      <c r="E31" s="172" t="str">
        <f>IF($D31&gt;0,VLOOKUP($D31,Flight!$A$1:$E$91,2,FALSE),"")</f>
        <v>1755</v>
      </c>
      <c r="F31" s="45">
        <v>1801</v>
      </c>
      <c r="G31" s="43" t="s">
        <v>837</v>
      </c>
      <c r="H31" s="44" t="str">
        <f>IF($D31&gt;0,VLOOKUP($D31,Flight!$A$1:$E$91,3,FALSE),"")</f>
        <v>KUL</v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>
        <v>1</v>
      </c>
      <c r="L31" s="166">
        <v>1</v>
      </c>
      <c r="M31" s="166">
        <v>3</v>
      </c>
    </row>
    <row r="32" spans="1:15">
      <c r="A32" s="9">
        <v>22</v>
      </c>
      <c r="B32" s="9" t="str">
        <f t="shared" si="5"/>
        <v>-</v>
      </c>
      <c r="C32" s="9" t="s">
        <v>723</v>
      </c>
      <c r="D32" s="27" t="s">
        <v>384</v>
      </c>
      <c r="E32" s="172" t="str">
        <f>IF($D32&gt;0,VLOOKUP($D32,Flight!$A$1:$E$91,2,FALSE),"")</f>
        <v>1805</v>
      </c>
      <c r="F32" s="46">
        <v>1745</v>
      </c>
      <c r="G32" s="43" t="s">
        <v>835</v>
      </c>
      <c r="H32" s="44" t="str">
        <f>IF($D32&gt;0,VLOOKUP($D32,Flight!$A$1:$E$91,3,FALSE),"")</f>
        <v>DXB</v>
      </c>
      <c r="I32" s="44" t="str">
        <f>IF($D32&gt;0,IF(VLOOKUP($D32,Flight!$A$1:$E$91,4,FALSE)&gt;1,VLOOKUP($D32,Flight!$A$1:$E115,4,FALSE),""),"")</f>
        <v>BKK</v>
      </c>
      <c r="J32" s="44" t="str">
        <f>IF($D32&gt;0,IF(VLOOKUP($D32,Flight!$A$1:$E$91,5,FALSE)&gt;1,VLOOKUP($D32,Flight!$A$1:$E$91,5,FALSE),""),"")</f>
        <v/>
      </c>
      <c r="K32" s="166">
        <v>0</v>
      </c>
      <c r="L32" s="166">
        <v>1</v>
      </c>
      <c r="M32" s="166">
        <v>3</v>
      </c>
    </row>
    <row r="33" spans="1:18">
      <c r="A33" s="284">
        <v>23</v>
      </c>
      <c r="B33" s="9" t="str">
        <f t="shared" si="5"/>
        <v>-</v>
      </c>
      <c r="C33" s="9" t="s">
        <v>722</v>
      </c>
      <c r="D33" s="27" t="s">
        <v>385</v>
      </c>
      <c r="E33" s="172" t="str">
        <f>IF($D33&gt;0,VLOOKUP($D33,Flight!$A$1:$E$91,2,FALSE),"")</f>
        <v>1810</v>
      </c>
      <c r="F33" s="45">
        <v>1808</v>
      </c>
      <c r="G33" s="43" t="s">
        <v>833</v>
      </c>
      <c r="H33" s="44" t="str">
        <f>IF($D33&gt;0,VLOOKUP($D33,Flight!$A$1:$E$91,3,FALSE),"")</f>
        <v>MNL</v>
      </c>
      <c r="I33" s="44" t="str">
        <f>IF($D33&gt;0,IF(VLOOKUP($D33,Flight!$A$1:$E$91,4,FALSE)&gt;1,VLOOKUP($D33,Flight!$A$1:$E116,4,FALSE),""),"")</f>
        <v/>
      </c>
      <c r="J33" s="44" t="str">
        <f>IF($D33&gt;0,IF(VLOOKUP($D33,Flight!$A$1:$E$91,5,FALSE)&gt;1,VLOOKUP($D33,Flight!$A$1:$E$91,5,FALSE),""),"")</f>
        <v/>
      </c>
      <c r="K33" s="166">
        <v>1</v>
      </c>
      <c r="L33" s="166">
        <v>1</v>
      </c>
      <c r="M33" s="166">
        <v>3</v>
      </c>
    </row>
    <row r="34" spans="1:18">
      <c r="A34" s="9">
        <v>24</v>
      </c>
      <c r="B34" s="9" t="s">
        <v>839</v>
      </c>
      <c r="C34" s="9" t="str">
        <f t="shared" si="5"/>
        <v>-</v>
      </c>
      <c r="D34" s="27" t="s">
        <v>610</v>
      </c>
      <c r="E34" s="172" t="str">
        <f>IF($D34&gt;0,VLOOKUP($D34,Flight!$A$1:$E$91,2,FALSE),"")</f>
        <v>1820</v>
      </c>
      <c r="F34" s="45"/>
      <c r="G34" s="43" t="str">
        <f t="shared" si="3"/>
        <v/>
      </c>
      <c r="H34" s="44" t="str">
        <f>IF($D34&gt;0,VLOOKUP($D34,Flight!$A$1:$E$91,3,FALSE),"")</f>
        <v>SIN</v>
      </c>
      <c r="I34" s="44" t="str">
        <f>IF($D34&gt;0,IF(VLOOKUP($D34,Flight!$A$1:$E$91,4,FALSE)&gt;1,VLOOKUP($D34,Flight!$A$1:$E117,4,FALSE),""),"")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2"/>
        <v>&lt;   Hall Operation   &gt;</v>
      </c>
      <c r="L34" s="166"/>
      <c r="M34" s="167"/>
      <c r="P34" s="84"/>
    </row>
    <row r="35" spans="1:18">
      <c r="A35" s="251" t="s">
        <v>31</v>
      </c>
      <c r="B35" s="251" t="s">
        <v>31</v>
      </c>
      <c r="C35" s="251" t="s">
        <v>725</v>
      </c>
      <c r="D35" s="252" t="s">
        <v>387</v>
      </c>
      <c r="E35" s="432" t="s">
        <v>822</v>
      </c>
      <c r="F35" s="419"/>
      <c r="G35" s="291" t="str">
        <f t="shared" si="3"/>
        <v/>
      </c>
      <c r="H35" s="254" t="str">
        <f>IF($D35&gt;0,VLOOKUP($D35,Flight!$A$1:$E$91,3,FALSE),"")</f>
        <v>DMK</v>
      </c>
      <c r="I35" s="254" t="str">
        <f>IF($D35&gt;0,IF(VLOOKUP($D35,Flight!$A$1:$E$91,4,FALSE)&gt;1,VLOOKUP($D35,Flight!$A$1:$E118,4,FALSE),""),"")</f>
        <v/>
      </c>
      <c r="J35" s="431" t="s">
        <v>838</v>
      </c>
      <c r="K35" s="402"/>
      <c r="L35" s="402"/>
      <c r="M35" s="403"/>
      <c r="O35" s="115"/>
      <c r="P35" s="87"/>
    </row>
    <row r="36" spans="1:18" ht="16.5">
      <c r="A36" s="9">
        <v>25</v>
      </c>
      <c r="B36" s="9" t="str">
        <f t="shared" si="5"/>
        <v>-</v>
      </c>
      <c r="C36" s="9" t="s">
        <v>723</v>
      </c>
      <c r="D36" s="27" t="s">
        <v>388</v>
      </c>
      <c r="E36" s="172" t="str">
        <f>IF($D36&gt;0,VLOOKUP($D36,Flight!$A$1:$E$91,2,FALSE),"")</f>
        <v>1950</v>
      </c>
      <c r="F36" s="45">
        <v>1940</v>
      </c>
      <c r="G36" s="43" t="s">
        <v>841</v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>
        <v>0</v>
      </c>
      <c r="L36" s="166">
        <v>1</v>
      </c>
      <c r="M36" s="166">
        <v>3</v>
      </c>
      <c r="O36" s="4"/>
      <c r="P36" s="88"/>
      <c r="Q36" s="4"/>
      <c r="R36" s="4"/>
    </row>
    <row r="37" spans="1:18">
      <c r="A37" s="9">
        <v>26</v>
      </c>
      <c r="B37" s="9" t="str">
        <f t="shared" si="5"/>
        <v>-</v>
      </c>
      <c r="C37" s="9" t="s">
        <v>724</v>
      </c>
      <c r="D37" s="27" t="s">
        <v>389</v>
      </c>
      <c r="E37" s="172" t="str">
        <f>IF($D37&gt;0,VLOOKUP($D37,Flight!$A$1:$E$91,2,FALSE),"")</f>
        <v>2030</v>
      </c>
      <c r="F37" s="45">
        <v>1945</v>
      </c>
      <c r="G37" s="43" t="s">
        <v>840</v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>
        <v>0</v>
      </c>
      <c r="L37" s="166">
        <v>1</v>
      </c>
      <c r="M37" s="167">
        <v>2</v>
      </c>
      <c r="O37" s="4"/>
      <c r="P37" s="4"/>
      <c r="Q37" s="4"/>
      <c r="R37" s="4"/>
    </row>
    <row r="38" spans="1:18" ht="17.25" customHeight="1">
      <c r="A38" s="251" t="s">
        <v>31</v>
      </c>
      <c r="B38" s="251" t="s">
        <v>31</v>
      </c>
      <c r="C38" s="251" t="s">
        <v>725</v>
      </c>
      <c r="D38" s="252" t="s">
        <v>613</v>
      </c>
      <c r="E38" s="432" t="s">
        <v>822</v>
      </c>
      <c r="F38" s="419"/>
      <c r="G38" s="291" t="str">
        <f t="shared" si="3"/>
        <v/>
      </c>
      <c r="H38" s="254" t="str">
        <f>IF($D38&gt;0,VLOOKUP($D38,Flight!$A$1:$E$91,3,FALSE),"")</f>
        <v>DEL</v>
      </c>
      <c r="I38" s="254" t="str">
        <f>IF($D38&gt;0,IF(VLOOKUP($D38,Flight!$A$1:$E$91,4,FALSE)&gt;1,VLOOKUP($D38,Flight!$A$1:$E121,4,FALSE),""),"")</f>
        <v/>
      </c>
      <c r="J38" s="431" t="s">
        <v>838</v>
      </c>
      <c r="K38" s="402"/>
      <c r="L38" s="402"/>
      <c r="M38" s="403"/>
      <c r="O38" s="4"/>
      <c r="P38" s="89"/>
      <c r="Q38" s="4"/>
      <c r="R38" s="4"/>
    </row>
    <row r="39" spans="1:18" ht="16.5">
      <c r="A39" s="9">
        <v>27</v>
      </c>
      <c r="B39" s="9" t="str">
        <f t="shared" si="5"/>
        <v>-</v>
      </c>
      <c r="C39" s="9" t="s">
        <v>722</v>
      </c>
      <c r="D39" s="27" t="s">
        <v>390</v>
      </c>
      <c r="E39" s="172">
        <v>2130</v>
      </c>
      <c r="F39" s="45">
        <v>2110</v>
      </c>
      <c r="G39" s="43" t="s">
        <v>843</v>
      </c>
      <c r="H39" s="44" t="str">
        <f>IF($D39&gt;0,VLOOKUP($D39,Flight!$A$1:$E$91,3,FALSE),"")</f>
        <v>DOH</v>
      </c>
      <c r="I39" s="44" t="str">
        <f>IF($D39&gt;0,IF(VLOOKUP($D39,Flight!$A$1:$E$91,4,FALSE)&gt;1,VLOOKUP($D39,Flight!$A$1:$E122,4,FALSE),""),"")</f>
        <v/>
      </c>
      <c r="J39" s="44" t="str">
        <f>IF($D39&gt;0,IF(VLOOKUP($D39,Flight!$A$1:$E$91,5,FALSE)&gt;1,VLOOKUP($D39,Flight!$A$1:$E$91,5,FALSE),""),"")</f>
        <v/>
      </c>
      <c r="K39" s="166">
        <v>1</v>
      </c>
      <c r="L39" s="166">
        <v>1</v>
      </c>
      <c r="M39" s="166">
        <v>3</v>
      </c>
      <c r="O39" s="4"/>
      <c r="P39" s="89"/>
      <c r="Q39" s="4"/>
      <c r="R39" s="4"/>
    </row>
    <row r="40" spans="1:18" ht="16.5">
      <c r="A40" s="9">
        <v>28</v>
      </c>
      <c r="B40" s="9" t="s">
        <v>844</v>
      </c>
      <c r="C40" s="9" t="s">
        <v>464</v>
      </c>
      <c r="D40" s="27" t="s">
        <v>392</v>
      </c>
      <c r="E40" s="172" t="str">
        <f>IF($D40&gt;0,VLOOKUP($D40,Flight!$A$1:$E$91,2,FALSE),"")</f>
        <v>2320</v>
      </c>
      <c r="F40" s="45"/>
      <c r="G40" s="43" t="str">
        <f t="shared" si="3"/>
        <v/>
      </c>
      <c r="H40" s="44" t="str">
        <f>IF($D40&gt;0,VLOOKUP($D40,Flight!$A$1:$E$91,3,FALSE),"")</f>
        <v>BKK</v>
      </c>
      <c r="I40" s="44" t="str">
        <f>IF($D40&gt;0,IF(VLOOKUP($D40,Flight!$A$1:$E$91,4,FALSE)&gt;1,VLOOKUP($D40,Flight!$A$1:$E123,4,FALSE),""),"")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2"/>
        <v>&lt;   Hall Operation   &gt;</v>
      </c>
      <c r="L40" s="166"/>
      <c r="M40" s="166"/>
      <c r="O40" s="4"/>
      <c r="P40" s="89"/>
      <c r="Q40" s="4"/>
      <c r="R40" s="4"/>
    </row>
    <row r="41" spans="1:18" ht="16.5">
      <c r="A41" s="9" t="str">
        <f t="shared" ref="A41" si="6">IF($A39="S/N",1,IF($F41="Wavied","-",IF($D41=0,"",ROW($A41)-ROW($A$7)-COUNTIF($A$7:$A$8,"@")-COUNTIF($A$7:$A$8,"-"))))</f>
        <v/>
      </c>
      <c r="B41" s="9" t="str">
        <f t="shared" si="5"/>
        <v/>
      </c>
      <c r="C41" s="9" t="str">
        <f t="shared" ref="C41" si="7">IF($E41&lt;&gt;"",IF(ISNUMBER(SEARCH("Hall Operation",$K41)),"-",IF($E41-715&lt;0,VLOOKUP($B$3,$E$61:$J$72,6,FALSE),IF($E41-2129&gt;0,VLOOKUP($L$3,$E$61:$J$72,6,FALSE),""))),"")</f>
        <v/>
      </c>
      <c r="D41" s="27"/>
      <c r="E41" s="172" t="str">
        <f>IF($D41&gt;0,VLOOKUP($D41,Flight!$A$1:$E$91,2,FALSE),"")</f>
        <v/>
      </c>
      <c r="F41" s="45"/>
      <c r="G41" s="43" t="str">
        <f t="shared" si="3"/>
        <v/>
      </c>
      <c r="H41" s="44" t="str">
        <f>IF($D41&gt;0,VLOOKUP($D41,Flight!$A$1:$E$91,3,FALSE),"")</f>
        <v/>
      </c>
      <c r="I41" s="44" t="str">
        <f>IF($D41&gt;0,IF(VLOOKUP($D41,Flight!$A$1:$E$91,4,FALSE)&gt;1,VLOOKUP($D41,Flight!$A$1:$E124,4,FALSE),""),"")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2"/>
        <v/>
      </c>
      <c r="L41" s="166"/>
      <c r="M41" s="166"/>
      <c r="O41" s="4"/>
      <c r="P41" s="89"/>
      <c r="Q41" s="4"/>
      <c r="R41" s="4"/>
    </row>
    <row r="42" spans="1:18">
      <c r="A42" s="376" t="s">
        <v>5</v>
      </c>
      <c r="B42" s="376"/>
      <c r="C42" s="376"/>
      <c r="D42" s="376"/>
      <c r="E42" s="376"/>
      <c r="F42" s="376"/>
      <c r="G42" s="50"/>
      <c r="H42" s="207" t="s">
        <v>40</v>
      </c>
      <c r="I42" s="377"/>
      <c r="J42" s="377"/>
      <c r="K42" s="377"/>
      <c r="L42" s="377"/>
      <c r="M42" s="377"/>
      <c r="N42" s="5"/>
    </row>
    <row r="43" spans="1:18">
      <c r="A43" s="379" t="s">
        <v>35</v>
      </c>
      <c r="B43" s="379"/>
      <c r="C43" s="379" t="s">
        <v>31</v>
      </c>
      <c r="D43" s="379"/>
      <c r="E43" s="379"/>
      <c r="F43" s="379"/>
      <c r="G43" s="379"/>
      <c r="H43" s="379"/>
      <c r="I43" s="378"/>
      <c r="J43" s="378"/>
      <c r="K43" s="378"/>
      <c r="L43" s="378"/>
      <c r="M43" s="378"/>
    </row>
    <row r="44" spans="1:18">
      <c r="A44" s="379"/>
      <c r="B44" s="379"/>
      <c r="C44" s="379"/>
      <c r="D44" s="379"/>
      <c r="E44" s="379"/>
      <c r="F44" s="379"/>
      <c r="G44" s="379"/>
      <c r="H44" s="379"/>
      <c r="I44" s="51"/>
      <c r="J44" s="51"/>
      <c r="K44" s="6"/>
      <c r="L44" s="6"/>
      <c r="M44" s="6"/>
    </row>
    <row r="45" spans="1:18">
      <c r="A45" s="389" t="s">
        <v>216</v>
      </c>
      <c r="B45" s="389"/>
      <c r="C45" s="212" t="s">
        <v>422</v>
      </c>
      <c r="D45" s="375" t="s">
        <v>421</v>
      </c>
      <c r="E45" s="375"/>
      <c r="F45" s="204" t="s">
        <v>215</v>
      </c>
      <c r="G45" s="390" t="s">
        <v>423</v>
      </c>
      <c r="H45" s="390"/>
      <c r="I45" s="391" t="s">
        <v>223</v>
      </c>
      <c r="J45" s="391"/>
      <c r="K45" s="375" t="s">
        <v>424</v>
      </c>
      <c r="L45" s="375"/>
      <c r="M45" s="375"/>
    </row>
    <row r="46" spans="1:18">
      <c r="A46" s="389" t="s">
        <v>217</v>
      </c>
      <c r="B46" s="389"/>
      <c r="C46" s="212" t="str">
        <f>VLOOKUP($D$46,Staff!$B$2:$D$41,2,FALSE)</f>
        <v>CIA</v>
      </c>
      <c r="D46" s="375" t="str">
        <f>VLOOKUP(VLOOKUP($E$58,$E$61:$J$72,6,FALSE),Staff!$A$2:$D$13,2,FALSE)</f>
        <v>KS CHU</v>
      </c>
      <c r="E46" s="375"/>
      <c r="F46" s="204" t="s">
        <v>215</v>
      </c>
      <c r="G46" s="390" t="str">
        <f>VLOOKUP($D$46,Staff!$B$2:$D$39,3,FALSE)</f>
        <v>9078 2260</v>
      </c>
      <c r="H46" s="390"/>
      <c r="I46" s="391" t="s">
        <v>224</v>
      </c>
      <c r="J46" s="391"/>
      <c r="K46" s="375" t="s">
        <v>425</v>
      </c>
      <c r="L46" s="375"/>
      <c r="M46" s="375"/>
    </row>
    <row r="47" spans="1:18">
      <c r="A47" s="200"/>
      <c r="B47" s="200"/>
      <c r="C47" s="209"/>
      <c r="D47" s="395"/>
      <c r="E47" s="395"/>
      <c r="F47" s="206"/>
      <c r="G47" s="396"/>
      <c r="H47" s="396"/>
      <c r="I47" s="390"/>
      <c r="J47" s="390"/>
      <c r="K47" s="143"/>
      <c r="L47" s="143"/>
      <c r="M47" s="143"/>
    </row>
    <row r="48" spans="1:18" s="112" customFormat="1">
      <c r="A48" s="397" t="s">
        <v>4</v>
      </c>
      <c r="B48" s="397"/>
      <c r="C48" s="396" t="s">
        <v>218</v>
      </c>
      <c r="D48" s="396"/>
      <c r="E48" s="396"/>
      <c r="F48" s="154" t="s">
        <v>213</v>
      </c>
      <c r="G48" s="398" t="str">
        <f>IF(COUNTIF($E$61:$E$64,$E$57)&gt;0,Staff!$G$14,"")&amp;IF(COUNTIF($E$65:$E$68,$E$57)&gt;0,Staff!$G$13,"")&amp;IF(COUNTIF($E$69:$E$72,$E$57)&gt;0,Staff!$G$12,"")</f>
        <v>CHONG, MAN LOK</v>
      </c>
      <c r="H48" s="398"/>
      <c r="I48" s="398"/>
      <c r="J48" s="203" t="s">
        <v>209</v>
      </c>
      <c r="K48" s="390" t="str">
        <f>VLOOKUP(VLOOKUP($B$3,$E$61:$J$72,6,FALSE),Staff!$F$22:$G$47,2,FALSE)</f>
        <v>CHAN, CHUN NGAI</v>
      </c>
      <c r="L48" s="390"/>
      <c r="M48" s="390"/>
      <c r="N48" s="12"/>
      <c r="P48" s="211"/>
      <c r="Q48" s="211"/>
      <c r="R48" s="211"/>
    </row>
    <row r="49" spans="1:18" s="112" customFormat="1" ht="31.5" customHeight="1">
      <c r="A49" s="155"/>
      <c r="B49" s="155"/>
      <c r="C49" s="396" t="s">
        <v>219</v>
      </c>
      <c r="D49" s="396"/>
      <c r="E49" s="396"/>
      <c r="F49" s="154" t="s">
        <v>214</v>
      </c>
      <c r="G49" s="375" t="s">
        <v>426</v>
      </c>
      <c r="H49" s="375"/>
      <c r="I49" s="375"/>
      <c r="J49" s="203" t="s">
        <v>208</v>
      </c>
      <c r="K49" s="435" t="s">
        <v>774</v>
      </c>
      <c r="L49" s="390"/>
      <c r="M49" s="390"/>
      <c r="N49" s="211"/>
      <c r="P49" s="211"/>
      <c r="Q49" s="211"/>
      <c r="R49" s="211"/>
    </row>
    <row r="50" spans="1:18" s="112" customFormat="1">
      <c r="A50" s="201"/>
      <c r="B50" s="201"/>
      <c r="C50" s="209"/>
      <c r="D50" s="401"/>
      <c r="E50" s="401"/>
      <c r="F50" s="401"/>
      <c r="G50" s="401"/>
      <c r="H50" s="401"/>
      <c r="I50" s="401"/>
      <c r="J50" s="203" t="s">
        <v>210</v>
      </c>
      <c r="K50" s="390" t="s">
        <v>427</v>
      </c>
      <c r="L50" s="390"/>
      <c r="M50" s="390"/>
      <c r="N50" s="211"/>
      <c r="P50" s="211"/>
      <c r="Q50" s="211"/>
      <c r="R50" s="211"/>
    </row>
    <row r="51" spans="1:18" s="112" customFormat="1">
      <c r="A51" s="392" t="s">
        <v>3</v>
      </c>
      <c r="B51" s="392"/>
      <c r="C51" s="394" t="s">
        <v>220</v>
      </c>
      <c r="D51" s="394"/>
      <c r="E51" s="394"/>
      <c r="F51" s="397" t="s">
        <v>408</v>
      </c>
      <c r="G51" s="397"/>
      <c r="H51" s="397"/>
      <c r="I51" s="397"/>
      <c r="J51" s="203" t="s">
        <v>211</v>
      </c>
      <c r="K51" s="390" t="s">
        <v>428</v>
      </c>
      <c r="L51" s="390"/>
      <c r="M51" s="390"/>
      <c r="N51" s="211"/>
      <c r="P51" s="211"/>
      <c r="Q51" s="211"/>
      <c r="R51" s="211"/>
    </row>
    <row r="52" spans="1:18" s="112" customFormat="1">
      <c r="A52" s="393" t="s">
        <v>2</v>
      </c>
      <c r="B52" s="393"/>
      <c r="C52" s="411" t="s">
        <v>221</v>
      </c>
      <c r="D52" s="411"/>
      <c r="E52" s="411"/>
      <c r="F52" s="412" t="s">
        <v>1</v>
      </c>
      <c r="G52" s="412"/>
      <c r="H52" s="400" t="s">
        <v>409</v>
      </c>
      <c r="I52" s="400"/>
      <c r="J52" s="203" t="s">
        <v>212</v>
      </c>
      <c r="K52" s="390" t="s">
        <v>429</v>
      </c>
      <c r="L52" s="390"/>
      <c r="M52" s="390"/>
      <c r="N52" s="211"/>
      <c r="P52" s="211"/>
      <c r="Q52" s="211"/>
      <c r="R52" s="211"/>
    </row>
    <row r="53" spans="1:18" s="112" customFormat="1">
      <c r="A53" s="155"/>
      <c r="B53" s="155"/>
      <c r="C53" s="201"/>
      <c r="D53" s="399"/>
      <c r="E53" s="399"/>
      <c r="F53" s="391"/>
      <c r="G53" s="391"/>
      <c r="H53" s="400" t="s">
        <v>410</v>
      </c>
      <c r="I53" s="400"/>
      <c r="J53" s="199"/>
      <c r="K53" s="200"/>
      <c r="L53" s="200"/>
      <c r="M53" s="47"/>
      <c r="N53" s="211"/>
      <c r="P53" s="211"/>
      <c r="Q53" s="211"/>
      <c r="R53" s="211"/>
    </row>
    <row r="54" spans="1:18" s="112" customFormat="1" ht="16.5" customHeight="1">
      <c r="A54" s="392" t="s">
        <v>0</v>
      </c>
      <c r="B54" s="392"/>
      <c r="C54" s="407" t="s">
        <v>222</v>
      </c>
      <c r="D54" s="407"/>
      <c r="E54" s="407"/>
      <c r="F54" s="218"/>
      <c r="G54" s="219"/>
      <c r="H54" s="394" t="s">
        <v>411</v>
      </c>
      <c r="I54" s="394"/>
      <c r="J54" s="205"/>
      <c r="K54" s="200"/>
      <c r="L54" s="200"/>
      <c r="M54" s="47"/>
      <c r="N54" s="211"/>
      <c r="P54" s="211"/>
      <c r="Q54" s="211"/>
      <c r="R54" s="211"/>
    </row>
    <row r="55" spans="1:18" s="112" customFormat="1">
      <c r="A55" s="211"/>
      <c r="B55" s="211"/>
      <c r="C55" s="408"/>
      <c r="D55" s="408"/>
      <c r="E55" s="408"/>
      <c r="F55" s="408"/>
      <c r="G55" s="408"/>
      <c r="H55" s="408"/>
      <c r="I55" s="54"/>
      <c r="J55" s="53"/>
      <c r="M55" s="211"/>
      <c r="N55" s="211"/>
      <c r="P55" s="211"/>
      <c r="Q55" s="211"/>
      <c r="R55" s="211"/>
    </row>
    <row r="56" spans="1:18" s="112" customFormat="1" ht="16.5" thickBot="1">
      <c r="A56" s="3"/>
      <c r="B56" s="3"/>
      <c r="C56" s="3"/>
      <c r="D56" s="2"/>
      <c r="E56" s="39"/>
      <c r="F56" s="202"/>
      <c r="G56" s="202"/>
      <c r="H56" s="202"/>
      <c r="I56" s="409"/>
      <c r="J56" s="409"/>
      <c r="M56" s="211"/>
      <c r="N56" s="211"/>
      <c r="P56" s="211"/>
      <c r="Q56" s="211"/>
      <c r="R56" s="211"/>
    </row>
    <row r="57" spans="1:18" s="112" customFormat="1">
      <c r="A57" s="211"/>
      <c r="B57" s="211"/>
      <c r="C57" s="211"/>
      <c r="D57" s="211"/>
      <c r="E57" s="90" t="s">
        <v>133</v>
      </c>
      <c r="F57" s="91" t="s">
        <v>135</v>
      </c>
      <c r="G57" s="91"/>
      <c r="H57" s="92"/>
      <c r="I57" s="211"/>
      <c r="J57" s="211"/>
      <c r="K57" s="211"/>
      <c r="L57" s="211"/>
      <c r="M57" s="211"/>
      <c r="N57" s="211"/>
      <c r="P57" s="211"/>
      <c r="Q57" s="211"/>
      <c r="R57" s="211"/>
    </row>
    <row r="58" spans="1:18" s="112" customFormat="1" ht="16.5" thickBot="1">
      <c r="A58" s="211"/>
      <c r="B58" s="211"/>
      <c r="C58" s="211"/>
      <c r="D58" s="211"/>
      <c r="E58" s="93" t="s">
        <v>134</v>
      </c>
      <c r="F58" s="94" t="s">
        <v>136</v>
      </c>
      <c r="G58" s="94"/>
      <c r="H58" s="95"/>
      <c r="I58" s="211"/>
      <c r="J58" s="211"/>
      <c r="K58" s="211"/>
      <c r="L58" s="211"/>
      <c r="M58" s="211"/>
      <c r="N58" s="211"/>
      <c r="P58" s="211"/>
      <c r="Q58" s="211"/>
      <c r="R58" s="211"/>
    </row>
    <row r="59" spans="1:18" s="112" customFormat="1">
      <c r="A59" s="211"/>
      <c r="B59" s="211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P59" s="211"/>
      <c r="Q59" s="211"/>
      <c r="R59" s="211"/>
    </row>
    <row r="60" spans="1:18" s="112" customFormat="1" ht="16.5" thickBot="1">
      <c r="A60" s="211"/>
      <c r="B60" s="211"/>
      <c r="C60" s="211"/>
      <c r="D60" s="85" t="s">
        <v>132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98</v>
      </c>
      <c r="J60" s="211"/>
      <c r="K60" s="96" t="s">
        <v>302</v>
      </c>
      <c r="L60" s="96" t="s">
        <v>303</v>
      </c>
      <c r="M60" s="96"/>
      <c r="N60" s="211"/>
      <c r="P60" s="211"/>
      <c r="Q60" s="211"/>
      <c r="R60" s="211"/>
    </row>
    <row r="61" spans="1:18" s="112" customFormat="1">
      <c r="A61" s="211"/>
      <c r="B61" s="211"/>
      <c r="C61" s="211"/>
      <c r="D61" s="97" t="s">
        <v>86</v>
      </c>
      <c r="E61" s="98" t="str">
        <f>_xlfn.IFNA(VLOOKUP(MOD((($D$1-WEEKDAY($D$1,2)+1)-45523)/7+21,24),Shift!$A$2:$H$25,WEEKDAY($D$1,2)+1),VLOOKUP(24,Shift!$A$2:$H$25,WEEKDAY($D$1,2)+1))</f>
        <v>P4</v>
      </c>
      <c r="F61" s="98">
        <v>1</v>
      </c>
      <c r="G61" s="98">
        <v>1</v>
      </c>
      <c r="H61" s="98">
        <v>2</v>
      </c>
      <c r="I61" s="99">
        <f t="shared" ref="I61:I72" si="8">IF(OR($E61="L",$E61="L#"),0,SUM($F61:$H61))</f>
        <v>4</v>
      </c>
      <c r="J61" s="136" t="s">
        <v>86</v>
      </c>
      <c r="K61" s="112" t="str">
        <f t="shared" ref="K61:K72" si="9">IF(AND($F61&gt;1,$F61&lt;&gt;"?"),$F61-1,"")</f>
        <v/>
      </c>
      <c r="L61" s="112" t="str">
        <f t="shared" ref="L61:L72" si="10">IF(AND($G61&gt;1,$G61&lt;&gt;"?"),$G61-1,"")</f>
        <v/>
      </c>
      <c r="N61" s="211"/>
      <c r="P61" s="211"/>
      <c r="Q61" s="211"/>
      <c r="R61" s="211"/>
    </row>
    <row r="62" spans="1:18" s="112" customFormat="1">
      <c r="A62" s="211"/>
      <c r="B62" s="211"/>
      <c r="C62" s="211"/>
      <c r="D62" s="100" t="s">
        <v>85</v>
      </c>
      <c r="E62" s="101" t="str">
        <f>_xlfn.IFNA(VLOOKUP(MOD((($D$1-WEEKDAY($D$1,2)+1)-45523)/7+3,24),Shift!$A$2:$H$25,WEEKDAY($D$1,2)+1),VLOOKUP(24,Shift!$A$2:$H$25,WEEKDAY($D$1,2)+1))</f>
        <v>P1 @</v>
      </c>
      <c r="F62" s="101">
        <v>1</v>
      </c>
      <c r="G62" s="101">
        <v>1</v>
      </c>
      <c r="H62" s="101">
        <v>3</v>
      </c>
      <c r="I62" s="102">
        <f t="shared" si="8"/>
        <v>5</v>
      </c>
      <c r="J62" s="137" t="s">
        <v>85</v>
      </c>
      <c r="K62" s="112" t="str">
        <f t="shared" si="9"/>
        <v/>
      </c>
      <c r="L62" s="112" t="str">
        <f t="shared" si="10"/>
        <v/>
      </c>
      <c r="N62" s="211"/>
      <c r="P62" s="211"/>
      <c r="Q62" s="211"/>
      <c r="R62" s="211"/>
    </row>
    <row r="63" spans="1:18" s="112" customFormat="1">
      <c r="A63" s="211"/>
      <c r="B63" s="211"/>
      <c r="C63" s="211"/>
      <c r="D63" s="100" t="s">
        <v>99</v>
      </c>
      <c r="E63" s="101" t="str">
        <f>_xlfn.IFNA(VLOOKUP(MOD((($D$1-WEEKDAY($D$1,2)+1)-45523)/7+9,24),Shift!$A$2:$H$25,WEEKDAY($D$1,2)+1),VLOOKUP(24,Shift!$A$2:$H$25,WEEKDAY($D$1,2)+1))</f>
        <v>P1</v>
      </c>
      <c r="F63" s="101">
        <v>1</v>
      </c>
      <c r="G63" s="101">
        <v>1</v>
      </c>
      <c r="H63" s="101">
        <v>2</v>
      </c>
      <c r="I63" s="102">
        <f t="shared" si="8"/>
        <v>4</v>
      </c>
      <c r="J63" s="137" t="s">
        <v>99</v>
      </c>
      <c r="K63" s="112" t="str">
        <f t="shared" si="9"/>
        <v/>
      </c>
      <c r="L63" s="112" t="str">
        <f t="shared" si="10"/>
        <v/>
      </c>
      <c r="N63" s="211"/>
      <c r="P63" s="211"/>
      <c r="Q63" s="211"/>
      <c r="R63" s="211"/>
    </row>
    <row r="64" spans="1:18" ht="16.5" thickBot="1">
      <c r="D64" s="103" t="s">
        <v>100</v>
      </c>
      <c r="E64" s="104" t="str">
        <f>_xlfn.IFNA(VLOOKUP(MOD((($D$1-WEEKDAY($D$1,2)+1)-45523)/7+15,24),Shift!$A$2:$H$25,WEEKDAY($D$1,2)+1),VLOOKUP(24,Shift!$A$2:$H$25,WEEKDAY($D$1,2)+1))</f>
        <v>P1</v>
      </c>
      <c r="F64" s="104">
        <v>1</v>
      </c>
      <c r="G64" s="104">
        <v>0</v>
      </c>
      <c r="H64" s="104">
        <v>3</v>
      </c>
      <c r="I64" s="105">
        <f t="shared" si="8"/>
        <v>4</v>
      </c>
      <c r="J64" s="138" t="s">
        <v>100</v>
      </c>
      <c r="K64" s="112" t="str">
        <f t="shared" si="9"/>
        <v/>
      </c>
      <c r="L64" s="112" t="str">
        <f t="shared" si="10"/>
        <v/>
      </c>
      <c r="M64" s="112"/>
    </row>
    <row r="65" spans="4:13">
      <c r="D65" s="97" t="s">
        <v>101</v>
      </c>
      <c r="E65" s="98" t="str">
        <f>_xlfn.IFNA(VLOOKUP(MOD((($D$1-WEEKDAY($D$1,2)+1)-45523)/7+19,24),Shift!$A$2:$H$25,WEEKDAY($D$1,2)+1),VLOOKUP(24,Shift!$A$2:$H$25,WEEKDAY($D$1,2)+1))</f>
        <v>L#</v>
      </c>
      <c r="F65" s="98">
        <f t="shared" ref="F65:H68" si="11">IF(OR($E65="L",$E65="L#"),0,"?")</f>
        <v>0</v>
      </c>
      <c r="G65" s="98">
        <f t="shared" si="11"/>
        <v>0</v>
      </c>
      <c r="H65" s="98">
        <f t="shared" si="11"/>
        <v>0</v>
      </c>
      <c r="I65" s="99">
        <f t="shared" si="8"/>
        <v>0</v>
      </c>
      <c r="J65" s="136" t="s">
        <v>101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100" t="s">
        <v>102</v>
      </c>
      <c r="E66" s="101" t="str">
        <f>_xlfn.IFNA(VLOOKUP(MOD((($D$1-WEEKDAY($D$1,2)+1)-45523)/7+1,24),Shift!$A$2:$H$25,WEEKDAY($D$1,2)+1),VLOOKUP(24,Shift!$A$2:$H$25,WEEKDAY($D$1,2)+1))</f>
        <v>L</v>
      </c>
      <c r="F66" s="101">
        <f t="shared" si="11"/>
        <v>0</v>
      </c>
      <c r="G66" s="101">
        <f t="shared" si="11"/>
        <v>0</v>
      </c>
      <c r="H66" s="101">
        <f t="shared" si="11"/>
        <v>0</v>
      </c>
      <c r="I66" s="102">
        <f t="shared" si="8"/>
        <v>0</v>
      </c>
      <c r="J66" s="137" t="s">
        <v>102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103</v>
      </c>
      <c r="E67" s="101" t="str">
        <f>_xlfn.IFNA(VLOOKUP(MOD((($D$1-WEEKDAY($D$1,2)+1)-45523)/7+7,24),Shift!$A$2:$H$25,WEEKDAY($D$1,2)+1),VLOOKUP(24,Shift!$A$2:$H$25,WEEKDAY($D$1,2)+1))</f>
        <v>A</v>
      </c>
      <c r="F67" s="101">
        <v>1</v>
      </c>
      <c r="G67" s="101">
        <v>1</v>
      </c>
      <c r="H67" s="101">
        <v>3</v>
      </c>
      <c r="I67" s="102">
        <f t="shared" si="8"/>
        <v>5</v>
      </c>
      <c r="J67" s="137" t="s">
        <v>103</v>
      </c>
      <c r="K67" s="112" t="str">
        <f t="shared" si="9"/>
        <v/>
      </c>
      <c r="L67" s="112" t="str">
        <f t="shared" si="10"/>
        <v/>
      </c>
      <c r="M67" s="112"/>
    </row>
    <row r="68" spans="4:13" ht="16.5" thickBot="1">
      <c r="D68" s="103" t="s">
        <v>104</v>
      </c>
      <c r="E68" s="104" t="str">
        <f>_xlfn.IFNA(VLOOKUP(MOD((($D$1-WEEKDAY($D$1,2)+1)-45523)/7+13,24),Shift!$A$2:$H$25,WEEKDAY($D$1,2)+1),VLOOKUP(24,Shift!$A$2:$H$25,WEEKDAY($D$1,2)+1))</f>
        <v>L</v>
      </c>
      <c r="F68" s="104">
        <f t="shared" si="11"/>
        <v>0</v>
      </c>
      <c r="G68" s="104">
        <f t="shared" si="11"/>
        <v>0</v>
      </c>
      <c r="H68" s="104">
        <f t="shared" si="11"/>
        <v>0</v>
      </c>
      <c r="I68" s="105">
        <f t="shared" si="8"/>
        <v>0</v>
      </c>
      <c r="J68" s="138" t="s">
        <v>104</v>
      </c>
      <c r="K68" s="112" t="str">
        <f t="shared" si="9"/>
        <v/>
      </c>
      <c r="L68" s="112" t="str">
        <f t="shared" si="10"/>
        <v/>
      </c>
      <c r="M68" s="112"/>
    </row>
    <row r="69" spans="4:13">
      <c r="D69" s="97" t="s">
        <v>105</v>
      </c>
      <c r="E69" s="98" t="str">
        <f>_xlfn.IFNA(VLOOKUP(MOD((($D$1-WEEKDAY($D$1,2)+1)-45523)/7+17,24),Shift!$A$2:$H$25,WEEKDAY($D$1,2)+1),VLOOKUP(24,Shift!$A$2:$H$25,WEEKDAY($D$1,2)+1))</f>
        <v>M</v>
      </c>
      <c r="F69" s="98">
        <v>1</v>
      </c>
      <c r="G69" s="98">
        <v>1</v>
      </c>
      <c r="H69" s="98">
        <v>2</v>
      </c>
      <c r="I69" s="99">
        <f t="shared" si="8"/>
        <v>4</v>
      </c>
      <c r="J69" s="136" t="s">
        <v>105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100" t="s">
        <v>106</v>
      </c>
      <c r="E70" s="101" t="str">
        <f>_xlfn.IFNA(VLOOKUP(MOD((($D$1-WEEKDAY($D$1,2)+1)-45523)/7+23,24),Shift!$A$2:$H$25,WEEKDAY($D$1,2)+1),VLOOKUP(24,Shift!$A$2:$H$25,WEEKDAY($D$1,2)+1))</f>
        <v>G1</v>
      </c>
      <c r="F70" s="101">
        <v>1</v>
      </c>
      <c r="G70" s="101">
        <v>1</v>
      </c>
      <c r="H70" s="101">
        <v>2</v>
      </c>
      <c r="I70" s="102">
        <f t="shared" si="8"/>
        <v>4</v>
      </c>
      <c r="J70" s="137" t="s">
        <v>106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107</v>
      </c>
      <c r="E71" s="101" t="str">
        <f>_xlfn.IFNA(VLOOKUP(MOD((($D$1-WEEKDAY($D$1,2)+1)-45523)/7+5,24),Shift!$A$2:$H$25,WEEKDAY($D$1,2)+1),VLOOKUP(24,Shift!$A$2:$H$25,WEEKDAY($D$1,2)+1))</f>
        <v>M1</v>
      </c>
      <c r="F71" s="101">
        <v>1</v>
      </c>
      <c r="G71" s="101">
        <v>1</v>
      </c>
      <c r="H71" s="101">
        <v>3</v>
      </c>
      <c r="I71" s="102">
        <f t="shared" si="8"/>
        <v>5</v>
      </c>
      <c r="J71" s="137" t="s">
        <v>107</v>
      </c>
      <c r="K71" s="112" t="str">
        <f t="shared" si="9"/>
        <v/>
      </c>
      <c r="L71" s="112" t="str">
        <f t="shared" si="10"/>
        <v/>
      </c>
      <c r="M71" s="112"/>
    </row>
    <row r="72" spans="4:13" ht="16.5" thickBot="1">
      <c r="D72" s="103" t="s">
        <v>108</v>
      </c>
      <c r="E72" s="104" t="str">
        <f>_xlfn.IFNA(VLOOKUP(MOD((($D$1-WEEKDAY($D$1,2)+1)-45523)/7+11,24),Shift!$A$2:$H$25,WEEKDAY($D$1,2)+1),VLOOKUP(24,Shift!$A$2:$H$25,WEEKDAY($D$1,2)+1))</f>
        <v>M @</v>
      </c>
      <c r="F72" s="104">
        <v>1</v>
      </c>
      <c r="G72" s="104">
        <v>1</v>
      </c>
      <c r="H72" s="104">
        <v>3</v>
      </c>
      <c r="I72" s="105">
        <f t="shared" si="8"/>
        <v>5</v>
      </c>
      <c r="J72" s="138" t="s">
        <v>108</v>
      </c>
      <c r="K72" s="112" t="str">
        <f t="shared" si="9"/>
        <v/>
      </c>
      <c r="L72" s="112" t="str">
        <f t="shared" si="10"/>
        <v/>
      </c>
      <c r="M72" s="112"/>
    </row>
    <row r="73" spans="4:13">
      <c r="D73" s="144" t="s">
        <v>87</v>
      </c>
      <c r="E73" s="98" t="s">
        <v>30</v>
      </c>
      <c r="F73" s="98">
        <v>0</v>
      </c>
      <c r="G73" s="98">
        <v>0</v>
      </c>
      <c r="H73" s="98">
        <v>1</v>
      </c>
      <c r="I73" s="99">
        <f>IF(OR($E73="L",$E73="L#",$E73="?"),0,SUM($F73:$H73))</f>
        <v>1</v>
      </c>
      <c r="J73" s="211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211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211"/>
    </row>
    <row r="76" spans="4:13" ht="16.5" thickBot="1">
      <c r="D76" s="146" t="s">
        <v>137</v>
      </c>
      <c r="E76" s="104" t="s">
        <v>127</v>
      </c>
      <c r="F76" s="106"/>
      <c r="G76" s="106"/>
      <c r="H76" s="106"/>
      <c r="I76" s="105">
        <f>IF(OR($E76="L",$E76="L#",$E76="?"),0,SUM($F76:$H76))</f>
        <v>0</v>
      </c>
      <c r="J76" s="211"/>
    </row>
    <row r="77" spans="4:13">
      <c r="D77" s="211"/>
      <c r="E77" s="96" t="s">
        <v>98</v>
      </c>
      <c r="F77" s="96" t="str">
        <f>SUM($F$61:$F$76)&amp;IF(SUM($F$61:$H$76)&gt;$I$77,"?","")</f>
        <v>9</v>
      </c>
      <c r="G77" s="96" t="str">
        <f>SUM($G$61:$G$76)&amp;IF(SUM($F$61:$H$76)&gt;$I$77,"?","")</f>
        <v>8</v>
      </c>
      <c r="H77" s="96" t="str">
        <f>SUM($H$61:$H$76)&amp;IF(SUM($F$61:$H$76)&gt;$I$77,"?","")</f>
        <v>24</v>
      </c>
      <c r="I77" s="96">
        <f>SUM(I61:I76)</f>
        <v>41</v>
      </c>
      <c r="J77" s="211"/>
    </row>
    <row r="78" spans="4:13">
      <c r="D78" s="211"/>
      <c r="E78" s="211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211"/>
      <c r="J78" s="211"/>
    </row>
    <row r="80" spans="4:13">
      <c r="D80" s="410" t="s">
        <v>281</v>
      </c>
      <c r="E80" s="410"/>
      <c r="F80" s="410"/>
    </row>
    <row r="81" spans="4:6">
      <c r="D81" s="49" t="str">
        <f>IF(Flight!$A$68=0,"",Flight!$A$68)</f>
        <v/>
      </c>
      <c r="E81" s="163"/>
      <c r="F81" s="164" t="str">
        <f>IF(D81="","",VLOOKUP(D81,Flight!$A$68:$C$91,3,FALSE))</f>
        <v/>
      </c>
    </row>
    <row r="82" spans="4:6">
      <c r="D82" s="49" t="str">
        <f>IF(Flight!$A69=0,"",Flight!$A69)</f>
        <v/>
      </c>
      <c r="F82" s="164" t="str">
        <f>IF(D82="","",VLOOKUP(D82,Flight!$A$68:$C$91,3,FALSE))</f>
        <v/>
      </c>
    </row>
    <row r="83" spans="4:6">
      <c r="D83" s="49" t="str">
        <f>IF(Flight!$A71=0,"",Flight!$A71)</f>
        <v>3A031</v>
      </c>
      <c r="F83" s="164" t="str">
        <f>IF(D83="","",VLOOKUP(D83,Flight!$A$68:$C$91,3,FALSE))</f>
        <v>ZTI</v>
      </c>
    </row>
    <row r="84" spans="4:6">
      <c r="D84" s="49" t="str">
        <f>IF(Flight!$A72=0,"",Flight!$A72)</f>
        <v>3A003</v>
      </c>
      <c r="F84" s="164" t="str">
        <f>IF(D84="","",VLOOKUP(D84,Flight!$A$68:$C$91,3,FALSE))</f>
        <v>ZYK</v>
      </c>
    </row>
    <row r="85" spans="4:6">
      <c r="D85" s="49" t="str">
        <f>IF(Flight!$A73=0,"",Flight!$A73)</f>
        <v>3A005</v>
      </c>
      <c r="F85" s="164" t="str">
        <f>IF(D85="","",VLOOKUP(D85,Flight!$A$68:$C$91,3,FALSE))</f>
        <v>HKM</v>
      </c>
    </row>
    <row r="86" spans="4:6">
      <c r="D86" s="49" t="str">
        <f>IF(Flight!$A74=0,"",Flight!$A74)</f>
        <v>3A007</v>
      </c>
      <c r="F86" s="164" t="str">
        <f>IF(D86="","",VLOOKUP(D86,Flight!$A$68:$C$91,3,FALSE))</f>
        <v>ZYK</v>
      </c>
    </row>
    <row r="87" spans="4:6">
      <c r="D87" s="49" t="str">
        <f>IF(Flight!$A75=0,"",Flight!$A75)</f>
        <v>3A008</v>
      </c>
      <c r="F87" s="164" t="str">
        <f>IF(D87="","",VLOOKUP(D87,Flight!$A$68:$C$91,3,FALSE))</f>
        <v>ZYK</v>
      </c>
    </row>
    <row r="88" spans="4:6">
      <c r="D88" s="49" t="str">
        <f>IF(Flight!$A76=0,"",Flight!$A76)</f>
        <v>3A009</v>
      </c>
      <c r="F88" s="164" t="str">
        <f>IF(D88="","",VLOOKUP(D88,Flight!$A$68:$C$91,3,FALSE))</f>
        <v>ZYK</v>
      </c>
    </row>
    <row r="89" spans="4:6">
      <c r="D89" s="49" t="str">
        <f>IF(Flight!$A77=0,"",Flight!$A77)</f>
        <v>3A010</v>
      </c>
      <c r="F89" s="164" t="str">
        <f>IF(D89="","",VLOOKUP(D89,Flight!$A$68:$C$91,3,FALSE))</f>
        <v>ZYK</v>
      </c>
    </row>
    <row r="90" spans="4:6">
      <c r="D90" s="49" t="str">
        <f>IF(Flight!$A78=0,"",Flight!$A78)</f>
        <v/>
      </c>
      <c r="F90" s="164" t="str">
        <f>IF(D90="","",VLOOKUP(D90,Flight!$A$68:$C$91,3,FALSE))</f>
        <v/>
      </c>
    </row>
    <row r="91" spans="4:6">
      <c r="D91" s="49" t="str">
        <f>IF(Flight!$A80=0,"",Flight!$A80)</f>
        <v>8S7121</v>
      </c>
      <c r="F91" s="164" t="str">
        <f>IF(D91="","",VLOOKUP(D91,Flight!$A$68:$C$91,3,FALSE))</f>
        <v>HKM</v>
      </c>
    </row>
    <row r="92" spans="4:6">
      <c r="D92" s="49" t="str">
        <f>IF(Flight!$A81=0,"",Flight!$A81)</f>
        <v>8S7108</v>
      </c>
      <c r="F92" s="164" t="str">
        <f>IF(D92="","",VLOOKUP(D92,Flight!$A$68:$C$91,3,FALSE))</f>
        <v>ZYK</v>
      </c>
    </row>
    <row r="93" spans="4:6">
      <c r="D93" s="49" t="str">
        <f>IF(Flight!$A82=0,"",Flight!$A82)</f>
        <v>8S7111</v>
      </c>
      <c r="F93" s="164" t="str">
        <f>IF(D93="","",VLOOKUP(D93,Flight!$A$68:$C$91,3,FALSE))</f>
        <v>ZYK</v>
      </c>
    </row>
    <row r="94" spans="4:6">
      <c r="D94" s="49" t="str">
        <f>IF(Flight!$A83=0,"",Flight!$A83)</f>
        <v>8S7131</v>
      </c>
      <c r="F94" s="164" t="str">
        <f>IF(D94="","",VLOOKUP(D94,Flight!$A$68:$C$91,3,FALSE))</f>
        <v>?</v>
      </c>
    </row>
    <row r="95" spans="4:6">
      <c r="D95" s="49" t="str">
        <f>IF(Flight!$A84=0,"",Flight!$A84)</f>
        <v>8S7119</v>
      </c>
      <c r="F95" s="164" t="str">
        <f>IF(D95="","",VLOOKUP(D95,Flight!$A$68:$C$91,3,FALSE))</f>
        <v>HKM</v>
      </c>
    </row>
    <row r="96" spans="4:6">
      <c r="D96" s="49" t="str">
        <f>IF(Flight!$A85=0,"",Flight!$A85)</f>
        <v>8S7126</v>
      </c>
      <c r="F96" s="164" t="str">
        <f>IF(D96="","",VLOOKUP(D96,Flight!$A$68:$C$91,3,FALSE))</f>
        <v>HKM</v>
      </c>
    </row>
    <row r="97" spans="4:6">
      <c r="D97" s="49" t="str">
        <f>IF(Flight!$A86=0,"",Flight!$A86)</f>
        <v>8S7128</v>
      </c>
      <c r="F97" s="164" t="str">
        <f>IF(D97="","",VLOOKUP(D97,Flight!$A$68:$C$91,3,FALSE))</f>
        <v>HKM</v>
      </c>
    </row>
    <row r="98" spans="4:6">
      <c r="D98" s="49" t="str">
        <f>IF(Flight!$A87=0,"",Flight!$A87)</f>
        <v>3A8010</v>
      </c>
      <c r="F98" s="164" t="str">
        <f>IF(D98="","",VLOOKUP(D98,Flight!$A$68:$C$91,3,FALSE))</f>
        <v>HZI</v>
      </c>
    </row>
    <row r="99" spans="4:6">
      <c r="D99" s="49" t="str">
        <f>IF(Flight!$A88=0,"",Flight!$A88)</f>
        <v>3A8015</v>
      </c>
      <c r="F99" s="164" t="str">
        <f>IF(D99="","",VLOOKUP(D99,Flight!$A$68:$C$91,3,FALSE))</f>
        <v>?</v>
      </c>
    </row>
    <row r="100" spans="4:6">
      <c r="D100" s="49" t="str">
        <f>IF(Flight!$A89=0,"",Flight!$A89)</f>
        <v>3A8016</v>
      </c>
      <c r="F100" s="164" t="str">
        <f>IF(D100="","",VLOOKUP(D100,Flight!$A$68:$C$91,3,FALSE))</f>
        <v>HZI</v>
      </c>
    </row>
    <row r="101" spans="4:6">
      <c r="D101" s="49" t="str">
        <f>IF(Flight!$A91=0,"",Flight!$A91)</f>
        <v xml:space="preserve">Last </v>
      </c>
      <c r="F101" s="164" t="str">
        <f>IF(D101="","",VLOOKUP(D101,Flight!$A$68:$C$91,3,FALSE))</f>
        <v>↑</v>
      </c>
    </row>
    <row r="102" spans="4:6">
      <c r="D102" s="49" t="str">
        <f>IF(Flight!$A92=0,"",Flight!$A92)</f>
        <v/>
      </c>
      <c r="F102" s="164" t="str">
        <f>IF(D102="","",VLOOKUP(D102,Flight!$A$68:$C$91,3,FALSE))</f>
        <v/>
      </c>
    </row>
    <row r="103" spans="4:6">
      <c r="D103" s="186"/>
      <c r="F103" s="187"/>
    </row>
    <row r="104" spans="4:6">
      <c r="D104" s="406" t="str">
        <f>IF(Flight!$A$93=0,"",Flight!$A$93)</f>
        <v>Target Flight</v>
      </c>
      <c r="E104" s="406"/>
      <c r="F104" s="406"/>
    </row>
    <row r="105" spans="4:6">
      <c r="D105" s="27" t="s">
        <v>59</v>
      </c>
      <c r="E105" s="158"/>
      <c r="F105" s="10" t="s">
        <v>38</v>
      </c>
    </row>
    <row r="106" spans="4:6">
      <c r="D106" s="27" t="s">
        <v>89</v>
      </c>
      <c r="E106" s="158"/>
      <c r="F106" s="10" t="s">
        <v>38</v>
      </c>
    </row>
    <row r="107" spans="4:6">
      <c r="D107" s="27" t="s">
        <v>254</v>
      </c>
      <c r="E107" s="158"/>
      <c r="F107" s="10" t="s">
        <v>38</v>
      </c>
    </row>
    <row r="108" spans="4:6">
      <c r="D108" s="27" t="s">
        <v>57</v>
      </c>
      <c r="E108" s="158"/>
      <c r="F108" s="10" t="s">
        <v>58</v>
      </c>
    </row>
    <row r="109" spans="4:6">
      <c r="D109" s="27" t="s">
        <v>198</v>
      </c>
      <c r="E109" s="158"/>
      <c r="F109" s="10" t="s">
        <v>199</v>
      </c>
    </row>
    <row r="110" spans="4:6">
      <c r="D110" s="27" t="s">
        <v>55</v>
      </c>
      <c r="E110" s="158"/>
      <c r="F110" s="10" t="s">
        <v>54</v>
      </c>
    </row>
    <row r="111" spans="4:6">
      <c r="D111" s="27" t="s">
        <v>39</v>
      </c>
      <c r="E111" s="158"/>
      <c r="F111" s="10" t="s">
        <v>38</v>
      </c>
    </row>
    <row r="112" spans="4:6">
      <c r="D112" s="27" t="s">
        <v>200</v>
      </c>
      <c r="E112" s="158"/>
      <c r="F112" s="10" t="s">
        <v>54</v>
      </c>
    </row>
    <row r="113" spans="4:6">
      <c r="D113" s="27" t="s">
        <v>201</v>
      </c>
      <c r="E113" s="158"/>
      <c r="F113" s="10" t="s">
        <v>38</v>
      </c>
    </row>
    <row r="114" spans="4:6">
      <c r="D114" s="161" t="s">
        <v>538</v>
      </c>
      <c r="E114" s="158"/>
      <c r="F114" s="159" t="s">
        <v>566</v>
      </c>
    </row>
    <row r="115" spans="4:6">
      <c r="D115" s="161"/>
      <c r="E115" s="158"/>
      <c r="F115" s="159"/>
    </row>
  </sheetData>
  <mergeCells count="84">
    <mergeCell ref="D53:E53"/>
    <mergeCell ref="F53:G53"/>
    <mergeCell ref="H53:I53"/>
    <mergeCell ref="D50:I50"/>
    <mergeCell ref="K50:M50"/>
    <mergeCell ref="F51:I51"/>
    <mergeCell ref="K51:M51"/>
    <mergeCell ref="D104:F104"/>
    <mergeCell ref="C54:E54"/>
    <mergeCell ref="H54:I54"/>
    <mergeCell ref="C55:H55"/>
    <mergeCell ref="I56:J56"/>
    <mergeCell ref="D80:F80"/>
    <mergeCell ref="A52:B52"/>
    <mergeCell ref="C52:E52"/>
    <mergeCell ref="F52:G52"/>
    <mergeCell ref="H52:I52"/>
    <mergeCell ref="K52:M52"/>
    <mergeCell ref="A48:B48"/>
    <mergeCell ref="C48:E48"/>
    <mergeCell ref="G48:I48"/>
    <mergeCell ref="K48:M48"/>
    <mergeCell ref="C49:E49"/>
    <mergeCell ref="G49:I49"/>
    <mergeCell ref="K49:M49"/>
    <mergeCell ref="A46:B46"/>
    <mergeCell ref="D46:E46"/>
    <mergeCell ref="G46:H46"/>
    <mergeCell ref="I46:J46"/>
    <mergeCell ref="G47:H47"/>
    <mergeCell ref="D47:E47"/>
    <mergeCell ref="I47:J47"/>
    <mergeCell ref="I6:I7"/>
    <mergeCell ref="J6:J7"/>
    <mergeCell ref="K6:M6"/>
    <mergeCell ref="A44:H44"/>
    <mergeCell ref="A42:F42"/>
    <mergeCell ref="I42:M43"/>
    <mergeCell ref="A43:H43"/>
    <mergeCell ref="A6:A7"/>
    <mergeCell ref="B6:C6"/>
    <mergeCell ref="D6:D7"/>
    <mergeCell ref="E6:E7"/>
    <mergeCell ref="F6:F7"/>
    <mergeCell ref="G6:G7"/>
    <mergeCell ref="F12:G12"/>
    <mergeCell ref="E26:F26"/>
    <mergeCell ref="J26:M26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F8:G8"/>
    <mergeCell ref="A54:B54"/>
    <mergeCell ref="D1:E1"/>
    <mergeCell ref="D2:E2"/>
    <mergeCell ref="G2:I2"/>
    <mergeCell ref="B3:C3"/>
    <mergeCell ref="D3:E3"/>
    <mergeCell ref="F3:G3"/>
    <mergeCell ref="H3:I3"/>
    <mergeCell ref="A45:B45"/>
    <mergeCell ref="D45:E45"/>
    <mergeCell ref="G45:H45"/>
    <mergeCell ref="I45:J45"/>
    <mergeCell ref="A51:B51"/>
    <mergeCell ref="C51:E51"/>
    <mergeCell ref="H6:H7"/>
    <mergeCell ref="E35:F35"/>
    <mergeCell ref="J35:M35"/>
    <mergeCell ref="E38:F38"/>
    <mergeCell ref="J38:M38"/>
    <mergeCell ref="K46:M46"/>
    <mergeCell ref="K45:M45"/>
  </mergeCells>
  <phoneticPr fontId="2" type="noConversion"/>
  <conditionalFormatting sqref="H8:H41 E8:E13 E21 E29 E36:E38 E40:E41">
    <cfRule type="cellIs" dxfId="164" priority="44" operator="equal">
      <formula>""</formula>
    </cfRule>
  </conditionalFormatting>
  <conditionalFormatting sqref="F61:H78">
    <cfRule type="cellIs" dxfId="163" priority="43" operator="equal">
      <formula>"?"</formula>
    </cfRule>
  </conditionalFormatting>
  <conditionalFormatting sqref="D115:D998 D8:D13 D21 D29 D36:D38 D40:D113">
    <cfRule type="duplicateValues" dxfId="162" priority="90"/>
  </conditionalFormatting>
  <conditionalFormatting sqref="D114">
    <cfRule type="duplicateValues" dxfId="161" priority="41"/>
  </conditionalFormatting>
  <conditionalFormatting sqref="E14:E15">
    <cfRule type="cellIs" dxfId="160" priority="39" operator="equal">
      <formula>""</formula>
    </cfRule>
  </conditionalFormatting>
  <conditionalFormatting sqref="D14:D15">
    <cfRule type="duplicateValues" dxfId="159" priority="40"/>
  </conditionalFormatting>
  <conditionalFormatting sqref="E16:E17">
    <cfRule type="cellIs" dxfId="158" priority="37" operator="equal">
      <formula>""</formula>
    </cfRule>
  </conditionalFormatting>
  <conditionalFormatting sqref="D16:D17">
    <cfRule type="duplicateValues" dxfId="157" priority="38"/>
  </conditionalFormatting>
  <conditionalFormatting sqref="E18:E19">
    <cfRule type="cellIs" dxfId="156" priority="35" operator="equal">
      <formula>""</formula>
    </cfRule>
  </conditionalFormatting>
  <conditionalFormatting sqref="D18:D19">
    <cfRule type="duplicateValues" dxfId="155" priority="36"/>
  </conditionalFormatting>
  <conditionalFormatting sqref="E20">
    <cfRule type="cellIs" dxfId="154" priority="33" operator="equal">
      <formula>""</formula>
    </cfRule>
  </conditionalFormatting>
  <conditionalFormatting sqref="D20">
    <cfRule type="duplicateValues" dxfId="153" priority="34"/>
  </conditionalFormatting>
  <conditionalFormatting sqref="E22">
    <cfRule type="cellIs" dxfId="152" priority="31" operator="equal">
      <formula>""</formula>
    </cfRule>
  </conditionalFormatting>
  <conditionalFormatting sqref="D22">
    <cfRule type="duplicateValues" dxfId="151" priority="32"/>
  </conditionalFormatting>
  <conditionalFormatting sqref="E23">
    <cfRule type="cellIs" dxfId="150" priority="29" operator="equal">
      <formula>""</formula>
    </cfRule>
  </conditionalFormatting>
  <conditionalFormatting sqref="D23">
    <cfRule type="duplicateValues" dxfId="149" priority="30"/>
  </conditionalFormatting>
  <conditionalFormatting sqref="E24">
    <cfRule type="cellIs" dxfId="148" priority="27" operator="equal">
      <formula>""</formula>
    </cfRule>
  </conditionalFormatting>
  <conditionalFormatting sqref="D24">
    <cfRule type="duplicateValues" dxfId="147" priority="28"/>
  </conditionalFormatting>
  <conditionalFormatting sqref="E25">
    <cfRule type="cellIs" dxfId="146" priority="25" operator="equal">
      <formula>""</formula>
    </cfRule>
  </conditionalFormatting>
  <conditionalFormatting sqref="D25">
    <cfRule type="duplicateValues" dxfId="145" priority="26"/>
  </conditionalFormatting>
  <conditionalFormatting sqref="E26">
    <cfRule type="cellIs" dxfId="144" priority="23" operator="equal">
      <formula>""</formula>
    </cfRule>
  </conditionalFormatting>
  <conditionalFormatting sqref="D26">
    <cfRule type="duplicateValues" dxfId="143" priority="24"/>
  </conditionalFormatting>
  <conditionalFormatting sqref="E27">
    <cfRule type="cellIs" dxfId="142" priority="21" operator="equal">
      <formula>""</formula>
    </cfRule>
  </conditionalFormatting>
  <conditionalFormatting sqref="D27">
    <cfRule type="duplicateValues" dxfId="141" priority="22"/>
  </conditionalFormatting>
  <conditionalFormatting sqref="E34">
    <cfRule type="cellIs" dxfId="140" priority="13" operator="equal">
      <formula>""</formula>
    </cfRule>
  </conditionalFormatting>
  <conditionalFormatting sqref="D34">
    <cfRule type="duplicateValues" dxfId="139" priority="14"/>
  </conditionalFormatting>
  <conditionalFormatting sqref="E35">
    <cfRule type="cellIs" dxfId="138" priority="11" operator="equal">
      <formula>""</formula>
    </cfRule>
  </conditionalFormatting>
  <conditionalFormatting sqref="D35">
    <cfRule type="duplicateValues" dxfId="137" priority="12"/>
  </conditionalFormatting>
  <conditionalFormatting sqref="E32">
    <cfRule type="cellIs" dxfId="136" priority="9" operator="equal">
      <formula>""</formula>
    </cfRule>
  </conditionalFormatting>
  <conditionalFormatting sqref="D32">
    <cfRule type="duplicateValues" dxfId="135" priority="10"/>
  </conditionalFormatting>
  <conditionalFormatting sqref="E33">
    <cfRule type="cellIs" dxfId="134" priority="7" operator="equal">
      <formula>""</formula>
    </cfRule>
  </conditionalFormatting>
  <conditionalFormatting sqref="D33">
    <cfRule type="duplicateValues" dxfId="133" priority="8"/>
  </conditionalFormatting>
  <conditionalFormatting sqref="E30:E31">
    <cfRule type="cellIs" dxfId="132" priority="5" operator="equal">
      <formula>""</formula>
    </cfRule>
  </conditionalFormatting>
  <conditionalFormatting sqref="D30:D31">
    <cfRule type="duplicateValues" dxfId="131" priority="6"/>
  </conditionalFormatting>
  <conditionalFormatting sqref="E28">
    <cfRule type="cellIs" dxfId="130" priority="3" operator="equal">
      <formula>""</formula>
    </cfRule>
  </conditionalFormatting>
  <conditionalFormatting sqref="D28">
    <cfRule type="duplicateValues" dxfId="129" priority="4"/>
  </conditionalFormatting>
  <conditionalFormatting sqref="E39">
    <cfRule type="cellIs" dxfId="128" priority="1" operator="equal">
      <formula>""</formula>
    </cfRule>
  </conditionalFormatting>
  <conditionalFormatting sqref="D39">
    <cfRule type="duplicateValues" dxfId="127" priority="2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Staff!$B$15:$B$39</xm:f>
          </x14:formula1>
          <xm:sqref>D45:E45</xm:sqref>
        </x14:dataValidation>
        <x14:dataValidation type="list" errorStyle="warning" allowBlank="1" showInputMessage="1">
          <x14:formula1>
            <xm:f>Staff!$B$15:$B$39</xm:f>
          </x14:formula1>
          <xm:sqref>D46:E46</xm:sqref>
        </x14:dataValidation>
        <x14:dataValidation type="list" allowBlank="1" showInputMessage="1" showErrorMessage="1">
          <x14:formula1>
            <xm:f>Staff!$G$23:$G$52</xm:f>
          </x14:formula1>
          <xm:sqref>K48:M52</xm:sqref>
        </x14:dataValidation>
        <x14:dataValidation type="list" allowBlank="1" showInputMessage="1">
          <x14:formula1>
            <xm:f>Staff!$G$12:$G$52</xm:f>
          </x14:formula1>
          <xm:sqref>G48:I49</xm:sqref>
        </x14:dataValidation>
        <x14:dataValidation type="list" allowBlank="1" showInputMessage="1">
          <x14:formula1>
            <xm:f>Staff!$G$2:$G$9</xm:f>
          </x14:formula1>
          <xm:sqref>K45:M46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7"/>
  <sheetViews>
    <sheetView view="pageBreakPreview" topLeftCell="A8" zoomScale="85" zoomScaleNormal="100" zoomScaleSheetLayoutView="85" workbookViewId="0">
      <selection activeCell="A40" sqref="A40"/>
    </sheetView>
  </sheetViews>
  <sheetFormatPr defaultRowHeight="15.75"/>
  <cols>
    <col min="1" max="1" width="9.125" style="211" customWidth="1"/>
    <col min="2" max="2" width="10.25" style="211" customWidth="1"/>
    <col min="3" max="3" width="9.75" style="211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02" customWidth="1"/>
    <col min="9" max="9" width="9" style="54" customWidth="1"/>
    <col min="10" max="10" width="9.125" style="54" customWidth="1"/>
    <col min="11" max="13" width="9.125" style="211" customWidth="1"/>
    <col min="14" max="14" width="9" style="211"/>
    <col min="15" max="15" width="10.75" style="112" bestFit="1" customWidth="1"/>
    <col min="16" max="16" width="12.25" style="211" bestFit="1" customWidth="1"/>
    <col min="17" max="16384" width="9" style="211"/>
  </cols>
  <sheetData>
    <row r="1" spans="1:16">
      <c r="A1" s="201"/>
      <c r="B1" s="201"/>
      <c r="C1" s="108" t="s">
        <v>20</v>
      </c>
      <c r="D1" s="355">
        <v>45752</v>
      </c>
      <c r="E1" s="355"/>
      <c r="F1" s="203" t="s">
        <v>23</v>
      </c>
      <c r="G1" s="110">
        <f>D1</f>
        <v>45752</v>
      </c>
      <c r="H1" s="210" t="s">
        <v>24</v>
      </c>
      <c r="I1" s="206"/>
      <c r="J1" s="206"/>
      <c r="K1" s="201"/>
      <c r="L1" s="201"/>
      <c r="M1" s="47"/>
    </row>
    <row r="2" spans="1:16" ht="17.25" customHeight="1" thickBot="1">
      <c r="A2" s="201"/>
      <c r="B2" s="201"/>
      <c r="C2" s="201"/>
      <c r="D2" s="356"/>
      <c r="E2" s="356"/>
      <c r="F2" s="206"/>
      <c r="G2" s="357"/>
      <c r="H2" s="357"/>
      <c r="I2" s="357"/>
      <c r="J2" s="206"/>
      <c r="K2" s="201"/>
      <c r="L2" s="201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","")&amp;IF($E$78=B$3,$D$78&amp;"("&amp;$I$78&amp;")"&amp;" ","")&amp;IF(COUNTIF($E$63:$E$77,B$3)=0,"-","")</f>
        <v xml:space="preserve">S1(4) S4(1) </v>
      </c>
      <c r="C4" s="367"/>
      <c r="D4" s="366" t="str">
        <f>IF($E$63=$E$59," &lt;"&amp;$D$63&amp;"("&amp;$I$63&amp;")&gt; "&amp;" ","")&amp;IF($E$63=D$3,$D$63&amp;"("&amp;$I$63&amp;")"&amp;" ","")&amp;IF($E$64=$E$59," &lt;"&amp;$D$64&amp;"("&amp;$I$64&amp;")&gt; "&amp;" ","")&amp;IF($E$64=D$3,$D$64&amp;"("&amp;$I$64&amp;")"&amp;" ","")&amp;IF($E$65=$E$59," &lt;"&amp;$D$65&amp;"("&amp;$I$65&amp;")&gt; "&amp;" ","")&amp;IF($E$65=D$3,$D$65&amp;"("&amp;$I$65&amp;")"&amp;" ","")&amp;IF($E$66=$E$59," &lt;"&amp;$D$66&amp;"("&amp;$I$66&amp;")&gt; "&amp;" ","")&amp;IF($E$66=D$3,$D$66&amp;"("&amp;$I$66&amp;")"&amp;" ","")&amp;IF($E$67=$E$59," &lt;"&amp;$D$67&amp;"("&amp;$I$67&amp;")&gt; "&amp;" ","")&amp;IF($E$67=D$3,$D$67&amp;"("&amp;$I$67&amp;")"&amp;" ","")&amp;IF($E$68=$E$59," &lt;"&amp;$D$68&amp;"("&amp;$I$68&amp;")&gt; "&amp;" ","")&amp;IF($E$68=D$3,$D$68&amp;"("&amp;$I$68&amp;")"&amp;" ","")&amp;IF($E$69=$E$59," &lt;"&amp;$D$69&amp;"("&amp;$I$69&amp;")&gt; "&amp;" ","")&amp;IF($E$69=D$3,$D$69&amp;"("&amp;$I$69&amp;")"&amp;" ","")&amp;IF($E$70=$E$59," &lt;"&amp;$D$70&amp;"("&amp;$I$70&amp;")&gt; "&amp;" ","")&amp;IF($E$70=D$3,$D$70&amp;"("&amp;$I$70&amp;")"&amp;" ","")&amp;IF($E$71=$E$59," &lt;"&amp;$D$71&amp;"("&amp;$I$71&amp;")&gt; "&amp;" ","")&amp;IF($E$71=D$3,$D$71&amp;"("&amp;$I$71&amp;")"&amp;" ","")&amp;IF($E$72=$E$59," &lt;"&amp;$D$72&amp;"("&amp;$I$72&amp;")&gt; "&amp;" ","")&amp;IF($E$72=D$3,$D$72&amp;"("&amp;$I$72&amp;")"&amp;" ","")&amp;IF($E$73=$E$59," &lt;"&amp;$D$73&amp;"("&amp;$I$73&amp;")&gt; "&amp;" ","")&amp;IF($E$73=D$3,$D$73&amp;"("&amp;$I$73&amp;")"&amp;" ","")&amp;IF($E$74=$E$59," &lt;"&amp;$D$74&amp;"("&amp;$I$74&amp;")&gt; "&amp;" ","")&amp;IF($E$74=D$3,$D$74&amp;"("&amp;$I$74&amp;")"&amp;" ","")&amp;IF($E$75=D$3,$D$75&amp;"("&amp;$I$75&amp;")"&amp;" ","")&amp;IF($E$76=D$3,$D$76&amp;"("&amp;$I$76&amp;")"&amp;" ","")&amp;IF($E$77=D$3,$D$77&amp;"("&amp;$I$77&amp;")"&amp;" ","")&amp;IF($E$78=D$3,$D$78&amp;"("&amp;$I$78&amp;")"&amp;" ","")&amp;IF(COUNTIF($E$63:$E$78,D$3)=0,"-","")</f>
        <v xml:space="preserve">S5(5)  &lt;S8(5)&gt;  </v>
      </c>
      <c r="E4" s="367"/>
      <c r="F4" s="366" t="str">
        <f>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","")&amp;IF($E$78=F$3,$D$78&amp;"("&amp;$I$78&amp;")"&amp;" ","")&amp;IF(COUNTIF($E$63:$E$77,F$3)=0,"-","")</f>
        <v>-</v>
      </c>
      <c r="G4" s="367"/>
      <c r="H4" s="366" t="str">
        <f>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","")&amp;IF($E$78=H$3,$D$78&amp;"("&amp;$I$78&amp;")"&amp;" ","")&amp;IF(COUNTIF($E$63:$E$77,H$3)=0,"-","")</f>
        <v xml:space="preserve">S6(4) </v>
      </c>
      <c r="I4" s="367"/>
      <c r="J4" s="366" t="str">
        <f>IF($E$63=$E$60," &lt;"&amp;$D$63&amp;"("&amp;$I$63&amp;")&gt; "&amp;" ","")&amp;IF($E$63=J$3,$D$63&amp;"("&amp;$I$63&amp;")"&amp;" ","")&amp;IF($E$64=$E$60," &lt;"&amp;$D$64&amp;"("&amp;$I$64&amp;")&gt; "&amp;" ","")&amp;IF($E$64=J$3,$D$64&amp;"("&amp;$I$64&amp;")"&amp;" ","")&amp;IF($E$65=$E$60," &lt;"&amp;$D$65&amp;"("&amp;$I$65&amp;")&gt; "&amp;" ","")&amp;IF($E$65=J$3,$D$65&amp;"("&amp;$I$65&amp;")"&amp;" ","")&amp;IF($E$66=$E$60," &lt;"&amp;$D$66&amp;"("&amp;$I$66&amp;")&gt; "&amp;" ","")&amp;IF($E$66=J$3,$D$66&amp;"("&amp;$I$66&amp;")"&amp;" ","")&amp;IF($E$67=$E$60," &lt;"&amp;$D$67&amp;"("&amp;$I$67&amp;")&gt; "&amp;" ","")&amp;IF($E$67=J$3,$D$67&amp;"("&amp;$I$67&amp;")"&amp;" ","")&amp;IF($E$68=$E$60," &lt;"&amp;$D$68&amp;"("&amp;$I$68&amp;")&gt; "&amp;" ","")&amp;IF($E$68=J$3,$D$68&amp;"("&amp;$I$68&amp;")"&amp;" ","")&amp;IF($E$69=$E$60," &lt;"&amp;$D$69&amp;"("&amp;$I$69&amp;")&gt; "&amp;" ","")&amp;IF($E$69=J$3,$D$69&amp;"("&amp;$I$69&amp;")"&amp;" ","")&amp;IF($E$70=$E$60," &lt;"&amp;$D$70&amp;"("&amp;$I$70&amp;")&gt; "&amp;" ","")&amp;IF($E$70=J$3,$D$70&amp;"("&amp;$I$70&amp;")"&amp;" ","")&amp;IF($E$71=$E$60," &lt;"&amp;$D$71&amp;"("&amp;$I$71&amp;")&gt; "&amp;" ","")&amp;IF($E$71=J$3,$D$71&amp;"("&amp;$I$71&amp;")"&amp;" ","")&amp;IF($E$72=$E$60," &lt;"&amp;$D$72&amp;"("&amp;$I$72&amp;")&gt; "&amp;" ","")&amp;IF($E$72=J$3,$D$72&amp;"("&amp;$I$72&amp;")"&amp;" ","")&amp;IF($E$73=$E$60," &lt;"&amp;$D$73&amp;"("&amp;$I$73&amp;")&gt; "&amp;" ","")&amp;IF($E$73=J$3,$D$73&amp;"("&amp;$I$73&amp;")"&amp;" ","")&amp;IF($E$74=$E$60," &lt;"&amp;$D$74&amp;"("&amp;$I$74&amp;")&gt; "&amp;" ","")&amp;IF($E$74=J$3,$D$74&amp;"("&amp;$I$74&amp;")"&amp;" ","")&amp;IF($E$75=J$3,$D$75&amp;"("&amp;$I$75&amp;")"&amp;" ","")&amp;IF($E$76=J$3,$D$76&amp;"("&amp;$I$76&amp;")"&amp;" ","")&amp;IF($E$77=J$3,$D$77&amp;"("&amp;$I$77&amp;")"&amp;" ","")&amp;IF($E$78=J$3,$D$78&amp;"("&amp;$I$78&amp;")"&amp;" ","")&amp;IF(COUNTIF($E$63:$E$78,J$3)=0,"-","")</f>
        <v xml:space="preserve">S2(5)  &lt;S3(5)&gt;  S4(1) </v>
      </c>
      <c r="K4" s="367"/>
      <c r="L4" s="366" t="str">
        <f>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","")&amp;IF($E$78=L$3,$D$78&amp;"("&amp;$I$78&amp;")"&amp;" ","")&amp;IF(COUNTIF($E$63:$E$77,L$3)=0,"-","")</f>
        <v xml:space="preserve">S4(5)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08" t="s">
        <v>52</v>
      </c>
      <c r="C7" s="208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13" si="0">IF($E8&lt;&gt;"",IF($E8-715&lt;0,VLOOKUP($B$3,$E$63:$J$74,6,FALSE),IF(AND($E8-2130&gt;0,_xlfn.IFNA(MATCH($D8,$D$107:$D$117,0)&lt;20,"")=TRUE),VLOOKUP($L$3,$E$63:$J$74,6,FALSE),"-")),"")</f>
        <v>S1</v>
      </c>
      <c r="C8" s="9" t="str">
        <f t="shared" ref="C8:C16" si="1">IF($E8&lt;&gt;"",IF(ISNUMBER(SEARCH("Hall Operation",$K8)),"-",IF($E8-715&lt;0,VLOOKUP($B$3,$E$63:$J$74,6,FALSE),IF($E8-2129&gt;0,VLOOKUP($L$3,$E$63:$J$74,6,FALSE),""))),"")</f>
        <v>-</v>
      </c>
      <c r="D8" s="27" t="s">
        <v>690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16" si="2">IF($D8=0,"",IF(OR(ISNUMBER(SEARCH("S",$B8)),_xlfn.IFNA(MATCH($D8,$D$107:$D$117,0)&lt;20,"")=TRUE),"&lt;   Hall Operation   &gt;",""))</f>
        <v>&lt;   Hall Operation   &gt;</v>
      </c>
      <c r="L8" s="166"/>
      <c r="M8" s="166"/>
      <c r="N8" s="173"/>
    </row>
    <row r="9" spans="1:16">
      <c r="A9" s="9">
        <f>IF($F9="Wavied","-",IF($D9=0,"",ROW($A9)-ROW($A$8)+1-COUNTIF($A$8:$A8,"@")-COUNTIF($A$8:$A8,"-")))</f>
        <v>2</v>
      </c>
      <c r="B9" s="9" t="str">
        <f t="shared" si="0"/>
        <v>S1</v>
      </c>
      <c r="C9" s="9" t="str">
        <f t="shared" si="1"/>
        <v>-</v>
      </c>
      <c r="D9" s="27" t="s">
        <v>367</v>
      </c>
      <c r="E9" s="172" t="str">
        <f>IF($D9&gt;0,VLOOKUP($D9,Flight!$A$1:$E$91,2,FALSE),"")</f>
        <v>0545</v>
      </c>
      <c r="F9" s="43"/>
      <c r="G9" s="43" t="str">
        <f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IF($D9&gt;0,IF(VLOOKUP($D9,Flight!$A$1:$E$91,4,FALSE)&gt;1,VLOOKUP($D9,Flight!$A$1:$E94,4,FALSE),""),"")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>IF($F10="Wavied","-",IF($D10=0,"",ROW($A10)-ROW($A$8)+1-COUNTIF($A$8:$A9,"@")-COUNTIF($A$8:$A9,"-")))</f>
        <v>3</v>
      </c>
      <c r="B10" s="9" t="str">
        <f t="shared" si="0"/>
        <v>S1</v>
      </c>
      <c r="C10" s="9" t="str">
        <f t="shared" si="1"/>
        <v>-</v>
      </c>
      <c r="D10" s="27" t="s">
        <v>368</v>
      </c>
      <c r="E10" s="172" t="str">
        <f>IF($D10&gt;0,VLOOKUP($D10,Flight!$A$1:$E$91,2,FALSE),"")</f>
        <v>0555</v>
      </c>
      <c r="F10" s="46"/>
      <c r="G10" s="43" t="str">
        <f>IF(A10="@",IF(H10="ZYK","Berth 3",IF(H10="HKM","Bay 7","")),"")</f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IF($D10&gt;0,IF(VLOOKUP($D10,Flight!$A$1:$E$91,4,FALSE)&gt;1,VLOOKUP($D10,Flight!$A$1:$E96,4,FALSE),""),"")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  <c r="P10" s="87"/>
    </row>
    <row r="11" spans="1:16">
      <c r="A11" s="9">
        <f>IF($F11="Wavied","-",IF($D11=0,"",ROW($A11)-ROW($A$8)+1-COUNTIF($A$8:$A10,"@")-COUNTIF($A$8:$A10,"-")))</f>
        <v>4</v>
      </c>
      <c r="B11" s="9" t="str">
        <f t="shared" si="0"/>
        <v>S1</v>
      </c>
      <c r="C11" s="9" t="str">
        <f t="shared" si="1"/>
        <v>-</v>
      </c>
      <c r="D11" s="213" t="s">
        <v>691</v>
      </c>
      <c r="E11" s="172" t="str">
        <f>IF($D11&gt;0,VLOOKUP($D11,Flight!$A$1:$E$91,2,FALSE),"")</f>
        <v>0615</v>
      </c>
      <c r="F11" s="45"/>
      <c r="G11" s="43" t="str">
        <f t="shared" ref="G11:G43" si="3">IF(A11="@",IF(H11="ZYK","Berth 3",IF(H11="HKM","Bay 7","")),"")</f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 ht="16.5" customHeight="1">
      <c r="A12" s="9">
        <f>IF($F12="Wavied","-",IF($D12=0,"",ROW($A12)-ROW($A$8)+1-COUNTIF($A$8:$A11,"@")-COUNTIF($A$8:$A11,"-")))</f>
        <v>5</v>
      </c>
      <c r="B12" s="9" t="str">
        <f t="shared" si="0"/>
        <v>S1</v>
      </c>
      <c r="C12" s="9" t="str">
        <f t="shared" si="1"/>
        <v>-</v>
      </c>
      <c r="D12" s="213" t="s">
        <v>365</v>
      </c>
      <c r="E12" s="172" t="str">
        <f>IF($D12&gt;0,VLOOKUP($D12,Flight!$A$1:$E$91,2,FALSE),"")</f>
        <v>0640</v>
      </c>
      <c r="F12" s="45"/>
      <c r="G12" s="43" t="str">
        <f>IF(A12="@",IF(H12="ZYK","Berth 3",IF(H12="HKM","Bay 7","")),"")</f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IF($D12&gt;0,IF(VLOOKUP($D12,Flight!$A$1:$E$91,4,FALSE)&gt;1,VLOOKUP($D12,Flight!$A$1:$E92,4,FALSE),""),"")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 t="s">
        <v>897</v>
      </c>
      <c r="B13" s="270" t="str">
        <f t="shared" si="0"/>
        <v>S1</v>
      </c>
      <c r="C13" s="270"/>
      <c r="D13" s="271" t="s">
        <v>393</v>
      </c>
      <c r="E13" s="272" t="str">
        <f>IF($D13&gt;0,VLOOKUP($D13,Flight!$A$1:$E$91,2,FALSE),"")</f>
        <v>0700</v>
      </c>
      <c r="F13" s="304" t="s">
        <v>524</v>
      </c>
      <c r="G13" s="305" t="str">
        <f t="shared" si="3"/>
        <v/>
      </c>
      <c r="H13" s="273" t="str">
        <f>IF($D13&gt;0,VLOOKUP($D13,Flight!$A$1:$E$91,3,FALSE),"")</f>
        <v>BOM</v>
      </c>
      <c r="I13" s="273" t="str">
        <f>IF($D13&gt;0,IF(VLOOKUP($D13,Flight!$A$1:$E$91,4,FALSE)&gt;1,VLOOKUP($D13,Flight!$A$1:$E95,4,FALSE),""),"")</f>
        <v/>
      </c>
      <c r="J13" s="273" t="str">
        <f>IF($D13&gt;0,IF(VLOOKUP($D13,Flight!$A$1:$E$91,5,FALSE)&gt;1,VLOOKUP($D13,Flight!$A$1:$E$91,5,FALSE),""),"")</f>
        <v/>
      </c>
      <c r="K13" s="294" t="s">
        <v>845</v>
      </c>
      <c r="L13" s="294"/>
      <c r="M13" s="294"/>
    </row>
    <row r="14" spans="1:16">
      <c r="A14" s="9">
        <f>IF($F14="Wavied","-",IF($D14=0,"",ROW($A14)-ROW($A$8)+1-COUNTIF($A$8:$A13,"@")-COUNTIF($A$8:$A13,"-")))</f>
        <v>6</v>
      </c>
      <c r="B14" s="9" t="s">
        <v>701</v>
      </c>
      <c r="C14" s="9" t="str">
        <f t="shared" si="1"/>
        <v>-</v>
      </c>
      <c r="D14" s="213" t="s">
        <v>369</v>
      </c>
      <c r="E14" s="172" t="str">
        <f>IF($D14&gt;0,VLOOKUP($D14,Flight!$A$1:$E$91,2,FALSE),"")</f>
        <v>0905</v>
      </c>
      <c r="F14" s="46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>IF($F15="Wavied","-",IF($D15=0,"",ROW($A15)-ROW($A$8)+1-COUNTIF($A$8:$A14,"@")-COUNTIF($A$8:$A14,"-")))</f>
        <v>7</v>
      </c>
      <c r="B15" s="9" t="s">
        <v>464</v>
      </c>
      <c r="C15" s="9" t="s">
        <v>848</v>
      </c>
      <c r="D15" s="213" t="s">
        <v>370</v>
      </c>
      <c r="E15" s="172" t="str">
        <f>IF($D15&gt;0,VLOOKUP($D15,Flight!$A$1:$E$91,2,FALSE),"")</f>
        <v>0935</v>
      </c>
      <c r="F15" s="45" t="s">
        <v>849</v>
      </c>
      <c r="G15" s="43" t="s">
        <v>852</v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>
        <v>1</v>
      </c>
      <c r="L15" s="166">
        <v>1</v>
      </c>
      <c r="M15" s="166">
        <v>3</v>
      </c>
      <c r="O15" s="114"/>
    </row>
    <row r="16" spans="1:16" ht="16.5" customHeight="1">
      <c r="A16" s="9">
        <f>IF($F16="Wavied","-",IF($D16=0,"",ROW($A16)-ROW($A$8)+1-COUNTIF($A$8:$A15,"@")-COUNTIF($A$8:$A15,"-")))</f>
        <v>8</v>
      </c>
      <c r="B16" s="9" t="s">
        <v>701</v>
      </c>
      <c r="C16" s="9" t="str">
        <f t="shared" si="1"/>
        <v>-</v>
      </c>
      <c r="D16" s="213" t="s">
        <v>394</v>
      </c>
      <c r="E16" s="172" t="str">
        <f>IF($D16&gt;0,VLOOKUP($D16,Flight!$A$1:$E$91,2,FALSE),"")</f>
        <v>0950</v>
      </c>
      <c r="F16" s="45"/>
      <c r="G16" s="43" t="str">
        <f>IF(A16="@",IF(H16="ZYK","Berth 3",IF(H16="HKM","Bay 7","")),"")</f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IF($D16&gt;0,IF(VLOOKUP($D16,Flight!$A$1:$E$91,4,FALSE)&gt;1,VLOOKUP($D16,Flight!$A$1:$E100,4,FALSE),""),"")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>
      <c r="A17" s="9" t="s">
        <v>897</v>
      </c>
      <c r="B17" s="251" t="s">
        <v>848</v>
      </c>
      <c r="C17" s="251" t="s">
        <v>850</v>
      </c>
      <c r="D17" s="252" t="s">
        <v>371</v>
      </c>
      <c r="E17" s="432" t="s">
        <v>822</v>
      </c>
      <c r="F17" s="419"/>
      <c r="G17" s="291" t="str">
        <f t="shared" si="3"/>
        <v/>
      </c>
      <c r="H17" s="254" t="str">
        <f>IF($D17&gt;0,VLOOKUP($D17,Flight!$A$1:$E$91,3,FALSE),"")</f>
        <v>BOM</v>
      </c>
      <c r="I17" s="254" t="str">
        <f>IF($D17&gt;0,IF(VLOOKUP($D17,Flight!$A$1:$E$91,4,FALSE)&gt;1,VLOOKUP($D17,Flight!$A$1:$E99,4,FALSE),""),"")</f>
        <v/>
      </c>
      <c r="J17" s="306"/>
      <c r="K17" s="294" t="s">
        <v>811</v>
      </c>
      <c r="L17" s="294"/>
      <c r="M17" s="294"/>
      <c r="O17" s="114"/>
    </row>
    <row r="18" spans="1:15">
      <c r="A18" s="9">
        <f>IF($F18="Wavied","-",IF($D18=0,"",ROW($A18)-ROW($A$8)+1-COUNTIF($A$8:$A17,"@")-COUNTIF($A$8:$A17,"-")))</f>
        <v>9</v>
      </c>
      <c r="B18" s="9" t="str">
        <f>IF($E18&lt;&gt;"",IF($E18-715&lt;0,VLOOKUP($B$3,$E$63:$J$74,6,FALSE),IF(AND($E18-2130&gt;0,_xlfn.IFNA(MATCH($D18,$D$107:$D$117,0)&lt;20,"")=TRUE),VLOOKUP($L$3,$E$63:$J$74,6,FALSE),"-")),"")</f>
        <v>-</v>
      </c>
      <c r="C18" s="9" t="s">
        <v>701</v>
      </c>
      <c r="D18" s="27" t="s">
        <v>372</v>
      </c>
      <c r="E18" s="172" t="str">
        <f>IF($D18&gt;0,VLOOKUP($D18,Flight!$A$1:$E$91,2,FALSE),"")</f>
        <v>1000</v>
      </c>
      <c r="F18" s="45" t="s">
        <v>846</v>
      </c>
      <c r="G18" s="43" t="s">
        <v>847</v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>
        <v>2</v>
      </c>
      <c r="L18" s="166">
        <v>0</v>
      </c>
      <c r="M18" s="166">
        <v>3</v>
      </c>
      <c r="O18" s="114"/>
    </row>
    <row r="19" spans="1:15">
      <c r="A19" s="9" t="s">
        <v>897</v>
      </c>
      <c r="B19" s="251" t="s">
        <v>31</v>
      </c>
      <c r="C19" s="251" t="s">
        <v>689</v>
      </c>
      <c r="D19" s="252" t="s">
        <v>373</v>
      </c>
      <c r="E19" s="432" t="s">
        <v>822</v>
      </c>
      <c r="F19" s="419"/>
      <c r="G19" s="291" t="str">
        <f t="shared" si="3"/>
        <v/>
      </c>
      <c r="H19" s="254" t="str">
        <f>IF($D19&gt;0,VLOOKUP($D19,Flight!$A$1:$E$91,3,FALSE),"")</f>
        <v>MNL</v>
      </c>
      <c r="I19" s="254" t="str">
        <f>IF($D19&gt;0,IF(VLOOKUP($D19,Flight!$A$1:$E$91,4,FALSE)&gt;1,VLOOKUP($D19,Flight!$A$1:$E102,4,FALSE),""),"")</f>
        <v/>
      </c>
      <c r="J19" s="294"/>
      <c r="K19" s="294" t="s">
        <v>811</v>
      </c>
      <c r="L19" s="294"/>
      <c r="M19" s="294"/>
      <c r="O19" s="114"/>
    </row>
    <row r="20" spans="1:15">
      <c r="A20" s="9">
        <f>IF($F20="Wavied","-",IF($D20=0,"",ROW($A20)-ROW($A$8)+1-COUNTIF($A$8:$A19,"@")-COUNTIF($A$8:$A19,"-")))</f>
        <v>10</v>
      </c>
      <c r="B20" s="9" t="s">
        <v>687</v>
      </c>
      <c r="C20" s="9" t="str">
        <f>IF($E20&lt;&gt;"",IF(ISNUMBER(SEARCH("Hall Operation",$K20)),"-",IF($E20-715&lt;0,VLOOKUP($B$3,$E$63:$J$74,6,FALSE),IF($E20-2129&gt;0,VLOOKUP($L$3,$E$63:$J$74,6,FALSE),""))),"")</f>
        <v>-</v>
      </c>
      <c r="D20" s="9" t="s">
        <v>374</v>
      </c>
      <c r="E20" s="172" t="str">
        <f>IF($D20&gt;0,VLOOKUP($D20,Flight!$A$1:$E$91,2,FALSE),"")</f>
        <v>1115</v>
      </c>
      <c r="F20" s="45"/>
      <c r="G20" s="43" t="str">
        <f t="shared" si="3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>IF($D20=0,"",IF(OR(ISNUMBER(SEARCH("S",B20)),_xlfn.IFNA(MATCH($D20,$D$107:$D$117,0)&lt;20,"")=TRUE),"&lt;   Hall Operation   &gt;",""))</f>
        <v>&lt;   Hall Operation   &gt;</v>
      </c>
      <c r="L20" s="166"/>
      <c r="M20" s="166"/>
      <c r="O20" s="114"/>
    </row>
    <row r="21" spans="1:15" ht="15.75" customHeight="1">
      <c r="A21" s="9">
        <f>IF($F21="Wavied","-",IF($D21=0,"",ROW($A21)-ROW($A$8)+1-COUNTIF($A$8:$A20,"@")-COUNTIF($A$8:$A20,"-")))</f>
        <v>11</v>
      </c>
      <c r="B21" s="9" t="str">
        <f>IF($E21&lt;&gt;"",IF($E21-715&lt;0,VLOOKUP($B$3,$E$63:$J$74,6,FALSE),IF(AND($E21-2130&gt;0,_xlfn.IFNA(MATCH($D21,$D$107:$D$117,0)&lt;20,"")=TRUE),VLOOKUP($L$3,$E$63:$J$74,6,FALSE),"-")),"")</f>
        <v>-</v>
      </c>
      <c r="C21" s="9" t="s">
        <v>689</v>
      </c>
      <c r="D21" s="9" t="s">
        <v>375</v>
      </c>
      <c r="E21" s="172" t="str">
        <f>IF($D21&gt;0,VLOOKUP($D21,Flight!$A$1:$E$91,2,FALSE),"")</f>
        <v>1145</v>
      </c>
      <c r="F21" s="256" t="s">
        <v>851</v>
      </c>
      <c r="G21" s="43" t="s">
        <v>853</v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>
        <v>1</v>
      </c>
      <c r="L21" s="166">
        <v>1</v>
      </c>
      <c r="M21" s="166">
        <v>3</v>
      </c>
      <c r="O21" s="114"/>
    </row>
    <row r="22" spans="1:15" s="269" customFormat="1" ht="15.75" customHeight="1">
      <c r="A22" s="9">
        <f>IF($F22="Wavied","-",IF($D22=0,"",ROW($A22)-ROW($A$8)+1-COUNTIF($A$8:$A21,"@")-COUNTIF($A$8:$A21,"-")))</f>
        <v>12</v>
      </c>
      <c r="B22" s="9" t="s">
        <v>687</v>
      </c>
      <c r="C22" s="9" t="str">
        <f>IF($E22&lt;&gt;"",IF(ISNUMBER(SEARCH("Hall Operation",$K22)),"-",IF($E22-715&lt;0,VLOOKUP($B$3,$E$63:$J$74,6,FALSE),IF($E22-2129&gt;0,VLOOKUP($L$3,$E$63:$J$74,6,FALSE),""))),"")</f>
        <v>-</v>
      </c>
      <c r="D22" s="9" t="s">
        <v>692</v>
      </c>
      <c r="E22" s="172">
        <v>1200</v>
      </c>
      <c r="F22" s="44"/>
      <c r="G22" s="43"/>
      <c r="H22" s="44" t="s">
        <v>693</v>
      </c>
      <c r="I22" s="44"/>
      <c r="J22" s="44"/>
      <c r="K22" s="166" t="str">
        <f>IF($D22=0,"",IF(OR(ISNUMBER(SEARCH("S",B22)),_xlfn.IFNA(MATCH($D22,$D$107:$D$117,0)&lt;20,"")=TRUE),"&lt;   Hall Operation   &gt;",""))</f>
        <v>&lt;   Hall Operation   &gt;</v>
      </c>
      <c r="L22" s="166"/>
      <c r="M22" s="166"/>
      <c r="O22" s="114"/>
    </row>
    <row r="23" spans="1:15">
      <c r="A23" s="9">
        <f>IF($F23="Wavied","-",IF($D23=0,"",ROW($A23)-ROW($A$8)+1-COUNTIF($A$8:$A22,"@")-COUNTIF($A$8:$A22,"-")))</f>
        <v>13</v>
      </c>
      <c r="B23" s="9" t="str">
        <f>IF($E23&lt;&gt;"",IF($E23-715&lt;0,VLOOKUP($B$3,$E$63:$J$74,6,FALSE),IF(AND($E23-2130&gt;0,_xlfn.IFNA(MATCH($D23,$D$107:$D$117,0)&lt;20,"")=TRUE),VLOOKUP($L$3,$E$63:$J$74,6,FALSE),"-")),"")</f>
        <v>-</v>
      </c>
      <c r="C23" s="9" t="s">
        <v>689</v>
      </c>
      <c r="D23" s="215" t="s">
        <v>376</v>
      </c>
      <c r="E23" s="172" t="str">
        <f>IF($D23&gt;0,VLOOKUP($D23,Flight!$A$1:$E$91,2,FALSE),"")</f>
        <v>1305</v>
      </c>
      <c r="F23" s="44">
        <v>1320</v>
      </c>
      <c r="G23" s="43" t="s">
        <v>862</v>
      </c>
      <c r="H23" s="44" t="str">
        <f>IF($D23&gt;0,VLOOKUP($D23,Flight!$A$1:$E$91,3,FALSE),"")</f>
        <v>DMK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>
        <v>1</v>
      </c>
      <c r="L23" s="166">
        <v>1</v>
      </c>
      <c r="M23" s="166">
        <v>3</v>
      </c>
      <c r="O23" s="114"/>
    </row>
    <row r="24" spans="1:15">
      <c r="A24" s="9">
        <f>IF($F24="Wavied","-",IF($D24=0,"",ROW($A24)-ROW($A$8)+1-COUNTIF($A$8:$A23,"@")-COUNTIF($A$8:$A23,"-")))</f>
        <v>14</v>
      </c>
      <c r="B24" s="9" t="str">
        <f>IF($E24&lt;&gt;"",IF($E24-715&lt;0,VLOOKUP($B$3,$E$63:$J$74,6,FALSE),IF(AND($E24-2130&gt;0,_xlfn.IFNA(MATCH($D24,$D$107:$D$117,0)&lt;20,"")=TRUE),VLOOKUP($L$3,$E$63:$J$74,6,FALSE),"-")),"")</f>
        <v>-</v>
      </c>
      <c r="C24" s="9" t="s">
        <v>88</v>
      </c>
      <c r="D24" s="213" t="s">
        <v>377</v>
      </c>
      <c r="E24" s="172" t="str">
        <f>IF($D24&gt;0,VLOOKUP($D24,Flight!$A$1:$E$91,2,FALSE),"")</f>
        <v>1310</v>
      </c>
      <c r="F24" s="256" t="s">
        <v>854</v>
      </c>
      <c r="G24" s="43" t="s">
        <v>855</v>
      </c>
      <c r="H24" s="44" t="str">
        <f>IF($D24&gt;0,VLOOKUP($D24,Flight!$A$1:$E$91,3,FALSE),"")</f>
        <v>DEL</v>
      </c>
      <c r="I24" s="44" t="str">
        <f>IF($D24&gt;0,IF(VLOOKUP($D24,Flight!$A$1:$E$91,4,FALSE)&gt;1,VLOOKUP($D24,Flight!$A$1:$E106,4,FALSE),""),"")</f>
        <v/>
      </c>
      <c r="J24" s="44" t="str">
        <f>IF($D24&gt;0,IF(VLOOKUP($D24,Flight!$A$1:$E$91,5,FALSE)&gt;1,VLOOKUP($D24,Flight!$A$1:$E$91,5,FALSE),""),"")</f>
        <v/>
      </c>
      <c r="K24" s="166">
        <v>2</v>
      </c>
      <c r="L24" s="166">
        <v>0</v>
      </c>
      <c r="M24" s="166">
        <v>3</v>
      </c>
      <c r="O24" s="114"/>
    </row>
    <row r="25" spans="1:15">
      <c r="A25" s="9">
        <f>IF($F25="Wavied","-",IF($D25=0,"",ROW($A25)-ROW($A$8)+1-COUNTIF($A$8:$A24,"@")-COUNTIF($A$8:$A24,"-")))</f>
        <v>15</v>
      </c>
      <c r="B25" s="9" t="str">
        <f>IF($E25&lt;&gt;"",IF($E25-715&lt;0,VLOOKUP($B$3,$E$63:$J$74,6,FALSE),IF(AND($E25-2130&gt;0,_xlfn.IFNA(MATCH($D25,$D$107:$D$117,0)&lt;20,"")=TRUE),VLOOKUP($L$3,$E$63:$J$74,6,FALSE),"-")),"")</f>
        <v>-</v>
      </c>
      <c r="C25" s="9" t="s">
        <v>689</v>
      </c>
      <c r="D25" s="27" t="s">
        <v>378</v>
      </c>
      <c r="E25" s="172" t="str">
        <f>IF($D25&gt;0,VLOOKUP($D25,Flight!$A$1:$E$91,2,FALSE),"")</f>
        <v>1415</v>
      </c>
      <c r="F25" s="45">
        <v>1426</v>
      </c>
      <c r="G25" s="43" t="s">
        <v>861</v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IF($D25&gt;0,IF(VLOOKUP($D25,Flight!$A$1:$E$91,4,FALSE)&gt;1,VLOOKUP($D25,Flight!$A$1:$E107,4,FALSE),""),"")</f>
        <v/>
      </c>
      <c r="J25" s="44" t="str">
        <f>IF($D25&gt;0,IF(VLOOKUP($D25,Flight!$A$1:$E$91,5,FALSE)&gt;1,VLOOKUP($D25,Flight!$A$1:$E$91,5,FALSE),""),"")</f>
        <v/>
      </c>
      <c r="K25" s="166">
        <v>1</v>
      </c>
      <c r="L25" s="166">
        <v>1</v>
      </c>
      <c r="M25" s="166">
        <v>2</v>
      </c>
      <c r="O25" s="114"/>
    </row>
    <row r="26" spans="1:15">
      <c r="A26" s="9">
        <f>IF($F26="Wavied","-",IF($D26=0,"",ROW($A26)-ROW($A$8)+1-COUNTIF($A$8:$A25,"@")-COUNTIF($A$8:$A25,"-")))</f>
        <v>16</v>
      </c>
      <c r="B26" s="9" t="s">
        <v>88</v>
      </c>
      <c r="C26" s="9" t="s">
        <v>31</v>
      </c>
      <c r="D26" s="27" t="s">
        <v>379</v>
      </c>
      <c r="E26" s="172" t="str">
        <f>IF($D26&gt;0,VLOOKUP($D26,Flight!$A$1:$E$91,2,FALSE),"")</f>
        <v>1420</v>
      </c>
      <c r="F26" s="45"/>
      <c r="G26" s="43" t="str">
        <f t="shared" si="3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IF($D26&gt;0,IF(VLOOKUP($D26,Flight!$A$1:$E$91,4,FALSE)&gt;1,VLOOKUP($D26,Flight!$A$1:$E108,4,FALSE),""),"")</f>
        <v/>
      </c>
      <c r="J26" s="44" t="str">
        <f>IF($D26&gt;0,IF(VLOOKUP($D26,Flight!$A$1:$E$91,5,FALSE)&gt;1,VLOOKUP($D26,Flight!$A$1:$E$91,5,FALSE),""),"")</f>
        <v/>
      </c>
      <c r="K26" s="166" t="s">
        <v>866</v>
      </c>
      <c r="L26" s="166"/>
      <c r="M26" s="166"/>
      <c r="O26" s="114"/>
    </row>
    <row r="27" spans="1:15" s="269" customFormat="1">
      <c r="A27" s="9">
        <f>IF($F27="Wavied","-",IF($D27=0,"",ROW($A27)-ROW($A$8)+1-COUNTIF($A$8:$A26,"@")-COUNTIF($A$8:$A26,"-")))</f>
        <v>17</v>
      </c>
      <c r="B27" s="9" t="s">
        <v>865</v>
      </c>
      <c r="C27" s="9" t="s">
        <v>464</v>
      </c>
      <c r="D27" s="27" t="s">
        <v>694</v>
      </c>
      <c r="E27" s="172">
        <v>1450</v>
      </c>
      <c r="F27" s="45"/>
      <c r="G27" s="43"/>
      <c r="H27" s="44" t="s">
        <v>693</v>
      </c>
      <c r="I27" s="44"/>
      <c r="J27" s="44"/>
      <c r="K27" s="422" t="s">
        <v>866</v>
      </c>
      <c r="L27" s="423"/>
      <c r="M27" s="424"/>
      <c r="O27" s="114"/>
    </row>
    <row r="28" spans="1:15">
      <c r="A28" s="9">
        <f>IF($F28="Wavied","-",IF($D28=0,"",ROW($A28)-ROW($A$8)+1-COUNTIF($A$8:$A27,"@")-COUNTIF($A$8:$A27,"-")))</f>
        <v>18</v>
      </c>
      <c r="B28" s="9" t="str">
        <f t="shared" ref="B28:C38" si="4">IF($E28&lt;&gt;"",IF($E28-715&lt;0,VLOOKUP($B$3,$E$63:$J$74,6,FALSE),IF(AND($E28-2130&gt;0,_xlfn.IFNA(MATCH($D28,$D$107:$D$117,0)&lt;20,"")=TRUE),VLOOKUP($L$3,$E$63:$J$74,6,FALSE),"-")),"")</f>
        <v>-</v>
      </c>
      <c r="C28" s="9" t="s">
        <v>207</v>
      </c>
      <c r="D28" s="27" t="s">
        <v>380</v>
      </c>
      <c r="E28" s="172">
        <v>1455</v>
      </c>
      <c r="F28" s="256" t="s">
        <v>859</v>
      </c>
      <c r="G28" s="43" t="s">
        <v>860</v>
      </c>
      <c r="H28" s="44" t="str">
        <f>IF($D28&gt;0,VLOOKUP($D28,Flight!$A$1:$E$91,3,FALSE),"")</f>
        <v>ADD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>
        <v>1</v>
      </c>
      <c r="L28" s="166">
        <v>1</v>
      </c>
      <c r="M28" s="166">
        <v>3</v>
      </c>
      <c r="O28" s="114"/>
    </row>
    <row r="29" spans="1:15">
      <c r="A29" s="9">
        <f>IF($F29="Wavied","-",IF($D29=0,"",ROW($A29)-ROW($A$8)+1-COUNTIF($A$8:$A28,"@")-COUNTIF($A$8:$A28,"-")))</f>
        <v>19</v>
      </c>
      <c r="B29" s="9" t="s">
        <v>856</v>
      </c>
      <c r="C29" s="9" t="s">
        <v>857</v>
      </c>
      <c r="D29" s="27" t="s">
        <v>381</v>
      </c>
      <c r="E29" s="172" t="str">
        <f>IF($D29&gt;0,VLOOKUP($D29,Flight!$A$1:$E$91,2,FALSE),"")</f>
        <v>1510</v>
      </c>
      <c r="F29" s="45"/>
      <c r="G29" s="43" t="str">
        <f t="shared" si="3"/>
        <v/>
      </c>
      <c r="H29" s="44" t="str">
        <f>IF($D29&gt;0,VLOOKUP($D29,Flight!$A$1:$E$91,3,FALSE),"")</f>
        <v>DOH</v>
      </c>
      <c r="I29" s="44" t="str">
        <f>IF($D29&gt;0,IF(VLOOKUP($D29,Flight!$A$1:$E$91,4,FALSE)&gt;1,VLOOKUP($D29,Flight!$A$1:$E110,4,FALSE),""),"")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ref="K29:K36" si="5">IF($D29=0,"",IF(OR(ISNUMBER(SEARCH("S",$B29)),_xlfn.IFNA(MATCH($D29,$D$107:$D$117,0)&lt;20,"")=TRUE),"&lt;   Hall Operation   &gt;",""))</f>
        <v>&lt;   Hall Operation   &gt;</v>
      </c>
      <c r="L29" s="166"/>
      <c r="M29" s="166"/>
      <c r="O29" s="114"/>
    </row>
    <row r="30" spans="1:15">
      <c r="A30" s="9">
        <f>IF($F30="Wavied","-",IF($D30=0,"",ROW($A30)-ROW($A$8)+1-COUNTIF($A$8:$A29,"@")-COUNTIF($A$8:$A29,"-")))</f>
        <v>20</v>
      </c>
      <c r="B30" s="9" t="s">
        <v>864</v>
      </c>
      <c r="C30" s="9"/>
      <c r="D30" s="27" t="s">
        <v>382</v>
      </c>
      <c r="E30" s="172" t="str">
        <f>IF($D30&gt;0,VLOOKUP($D30,Flight!$A$1:$E$91,2,FALSE),"")</f>
        <v>1715</v>
      </c>
      <c r="F30" s="45"/>
      <c r="G30" s="43" t="str">
        <f t="shared" si="3"/>
        <v/>
      </c>
      <c r="H30" s="44" t="str">
        <f>IF($D30&gt;0,VLOOKUP($D30,Flight!$A$1:$E$91,3,FALSE),"")</f>
        <v>IST</v>
      </c>
      <c r="I30" s="44" t="str">
        <f>IF($D30&gt;0,IF(VLOOKUP($D30,Flight!$A$1:$E$91,4,FALSE)&gt;1,VLOOKUP($D30,Flight!$A$1:$E111,4,FALSE),""),"")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5"/>
        <v>&lt;   Hall Operation   &gt;</v>
      </c>
      <c r="L30" s="166"/>
      <c r="M30" s="166"/>
    </row>
    <row r="31" spans="1:15" s="307" customFormat="1">
      <c r="A31" s="9" t="s">
        <v>897</v>
      </c>
      <c r="B31" s="251" t="s">
        <v>863</v>
      </c>
      <c r="C31" s="251" t="s">
        <v>704</v>
      </c>
      <c r="D31" s="252" t="s">
        <v>391</v>
      </c>
      <c r="E31" s="432" t="s">
        <v>822</v>
      </c>
      <c r="F31" s="419"/>
      <c r="G31" s="291" t="str">
        <f>IF(A31="@",IF(H31="ZYK","Berth 3",IF(H31="HKM","Bay 7","")),"")</f>
        <v/>
      </c>
      <c r="H31" s="254" t="str">
        <f>IF($D31&gt;0,VLOOKUP($D31,Flight!$A$1:$E$91,3,FALSE),"")</f>
        <v>MNL</v>
      </c>
      <c r="I31" s="254" t="str">
        <f>IF($D31&gt;0,IF(VLOOKUP($D31,Flight!$A$1:$E$91,4,FALSE)&gt;1,VLOOKUP($D31,Flight!$A$1:$E114,4,FALSE),""),"")</f>
        <v/>
      </c>
      <c r="J31" s="254" t="str">
        <f>IF($D31&gt;0,IF(VLOOKUP($D31,Flight!$A$1:$E$91,5,FALSE)&gt;1,VLOOKUP($D31,Flight!$A$1:$E$91,5,FALSE),""),"")</f>
        <v/>
      </c>
      <c r="K31" s="292" t="s">
        <v>811</v>
      </c>
      <c r="L31" s="292"/>
      <c r="M31" s="292"/>
      <c r="O31" s="308"/>
    </row>
    <row r="32" spans="1:15">
      <c r="A32" s="9">
        <f>IF($F32="Wavied","-",IF($D32=0,"",ROW($A32)-ROW($A$8)+1-COUNTIF($A$8:$A31,"@")-COUNTIF($A$8:$A31,"-")))</f>
        <v>21</v>
      </c>
      <c r="B32" s="9" t="s">
        <v>864</v>
      </c>
      <c r="C32" s="9"/>
      <c r="D32" s="27" t="s">
        <v>383</v>
      </c>
      <c r="E32" s="172" t="str">
        <f>IF($D32&gt;0,VLOOKUP($D32,Flight!$A$1:$E$91,2,FALSE),"")</f>
        <v>1755</v>
      </c>
      <c r="F32" s="49"/>
      <c r="G32" s="43" t="str">
        <f t="shared" si="3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IF($D32&gt;0,IF(VLOOKUP($D32,Flight!$A$1:$E$91,4,FALSE)&gt;1,VLOOKUP($D32,Flight!$A$1:$E112,4,FALSE),""),"")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5"/>
        <v>&lt;   Hall Operation   &gt;</v>
      </c>
      <c r="L32" s="166"/>
      <c r="M32" s="166"/>
    </row>
    <row r="33" spans="1:18">
      <c r="A33" s="9">
        <f>IF($F33="Wavied","-",IF($D33=0,"",ROW($A33)-ROW($A$8)+1-COUNTIF($A$8:$A32,"@")-COUNTIF($A$8:$A32,"-")))</f>
        <v>22</v>
      </c>
      <c r="B33" s="9" t="str">
        <f t="shared" si="4"/>
        <v>-</v>
      </c>
      <c r="C33" s="9" t="s">
        <v>702</v>
      </c>
      <c r="D33" s="27" t="s">
        <v>384</v>
      </c>
      <c r="E33" s="172" t="str">
        <f>IF($D33&gt;0,VLOOKUP($D33,Flight!$A$1:$E$91,2,FALSE),"")</f>
        <v>1805</v>
      </c>
      <c r="F33" s="45">
        <v>1736</v>
      </c>
      <c r="G33" s="43" t="s">
        <v>867</v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IF($D33&gt;0,IF(VLOOKUP($D33,Flight!$A$1:$E$91,4,FALSE)&gt;1,VLOOKUP($D33,Flight!$A$1:$E113,4,FALSE),""),"")</f>
        <v>BKK</v>
      </c>
      <c r="J33" s="44" t="str">
        <f>IF($D33&gt;0,IF(VLOOKUP($D33,Flight!$A$1:$E$91,5,FALSE)&gt;1,VLOOKUP($D33,Flight!$A$1:$E$91,5,FALSE),""),"")</f>
        <v/>
      </c>
      <c r="K33" s="166">
        <v>0</v>
      </c>
      <c r="L33" s="166">
        <v>1</v>
      </c>
      <c r="M33" s="166">
        <v>3</v>
      </c>
    </row>
    <row r="34" spans="1:18">
      <c r="A34" s="9">
        <f>IF($F34="Wavied","-",IF($D34=0,"",ROW($A34)-ROW($A$8)+1-COUNTIF($A$8:$A33,"@")-COUNTIF($A$8:$A33,"-")))</f>
        <v>23</v>
      </c>
      <c r="B34" s="9" t="str">
        <f t="shared" si="4"/>
        <v>-</v>
      </c>
      <c r="C34" s="9" t="s">
        <v>704</v>
      </c>
      <c r="D34" s="27" t="s">
        <v>385</v>
      </c>
      <c r="E34" s="172" t="str">
        <f>IF($D34&gt;0,VLOOKUP($D34,Flight!$A$1:$E$91,2,FALSE),"")</f>
        <v>1810</v>
      </c>
      <c r="F34" s="46">
        <v>1816</v>
      </c>
      <c r="G34" s="43" t="s">
        <v>870</v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IF($D34&gt;0,IF(VLOOKUP($D34,Flight!$A$1:$E$91,4,FALSE)&gt;1,VLOOKUP($D34,Flight!$A$1:$E115,4,FALSE),""),"")</f>
        <v/>
      </c>
      <c r="J34" s="44"/>
      <c r="K34" s="166">
        <v>2</v>
      </c>
      <c r="L34" s="166">
        <v>1</v>
      </c>
      <c r="M34" s="166">
        <v>3</v>
      </c>
    </row>
    <row r="35" spans="1:18">
      <c r="A35" s="9" t="s">
        <v>897</v>
      </c>
      <c r="B35" s="251" t="s">
        <v>31</v>
      </c>
      <c r="C35" s="251" t="s">
        <v>703</v>
      </c>
      <c r="D35" s="252" t="s">
        <v>387</v>
      </c>
      <c r="E35" s="432" t="s">
        <v>822</v>
      </c>
      <c r="F35" s="419"/>
      <c r="G35" s="291" t="str">
        <f t="shared" si="3"/>
        <v/>
      </c>
      <c r="H35" s="254" t="str">
        <f>IF($D35&gt;0,VLOOKUP($D35,Flight!$A$1:$E$91,3,FALSE),"")</f>
        <v>DMK</v>
      </c>
      <c r="I35" s="254" t="str">
        <f>IF($D35&gt;0,IF(VLOOKUP($D35,Flight!$A$1:$E$91,4,FALSE)&gt;1,VLOOKUP($D35,Flight!$A$1:$E117,4,FALSE),""),"")</f>
        <v/>
      </c>
      <c r="J35" s="254" t="str">
        <f>IF($D35&gt;0,IF(VLOOKUP($D35,Flight!$A$1:$E$91,5,FALSE)&gt;1,VLOOKUP($D35,Flight!$A$1:$E$91,5,FALSE),""),"")</f>
        <v/>
      </c>
      <c r="K35" s="292" t="s">
        <v>811</v>
      </c>
      <c r="L35" s="292"/>
      <c r="M35" s="292"/>
      <c r="P35" s="84"/>
    </row>
    <row r="36" spans="1:18">
      <c r="A36" s="9">
        <f>IF($F36="Wavied","-",IF($D36=0,"",ROW($A36)-ROW($A$8)+1-COUNTIF($A$8:$A35,"@")-COUNTIF($A$8:$A35,"-")))</f>
        <v>24</v>
      </c>
      <c r="B36" s="9" t="s">
        <v>868</v>
      </c>
      <c r="C36" s="9" t="str">
        <f t="shared" si="4"/>
        <v>-</v>
      </c>
      <c r="D36" s="27" t="s">
        <v>388</v>
      </c>
      <c r="E36" s="172" t="str">
        <f>IF($D36&gt;0,VLOOKUP($D36,Flight!$A$1:$E$91,2,FALSE),"")</f>
        <v>1950</v>
      </c>
      <c r="F36" s="45"/>
      <c r="G36" s="43" t="str">
        <f t="shared" si="3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IF($D36&gt;0,IF(VLOOKUP($D36,Flight!$A$1:$E$91,4,FALSE)&gt;1,VLOOKUP($D36,Flight!$A$1:$E118,4,FALSE),""),"")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5"/>
        <v>&lt;   Hall Operation   &gt;</v>
      </c>
      <c r="L36" s="166"/>
      <c r="M36" s="167"/>
      <c r="O36" s="115"/>
      <c r="P36" s="87"/>
    </row>
    <row r="37" spans="1:18">
      <c r="A37" s="9">
        <f>IF($F37="Wavied","-",IF($D37=0,"",ROW($A37)-ROW($A$8)+1-COUNTIF($A$8:$A36,"@")-COUNTIF($A$8:$A36,"-")))</f>
        <v>25</v>
      </c>
      <c r="B37" s="9" t="str">
        <f t="shared" si="4"/>
        <v>-</v>
      </c>
      <c r="C37" s="9" t="s">
        <v>703</v>
      </c>
      <c r="D37" s="27" t="s">
        <v>695</v>
      </c>
      <c r="E37" s="172">
        <v>1955</v>
      </c>
      <c r="F37" s="45">
        <v>2020</v>
      </c>
      <c r="G37" s="43" t="s">
        <v>873</v>
      </c>
      <c r="H37" s="44" t="s">
        <v>696</v>
      </c>
      <c r="I37" s="44"/>
      <c r="J37" s="44"/>
      <c r="K37" s="166">
        <v>1</v>
      </c>
      <c r="L37" s="166">
        <v>0</v>
      </c>
      <c r="M37" s="166">
        <v>2</v>
      </c>
      <c r="O37" s="4"/>
      <c r="P37" s="4"/>
      <c r="Q37" s="4"/>
      <c r="R37" s="4"/>
    </row>
    <row r="38" spans="1:18" s="269" customFormat="1">
      <c r="A38" s="9">
        <f>IF($F38="Wavied","-",IF($D38=0,"",ROW($A38)-ROW($A$8)+1-COUNTIF($A$8:$A37,"@")-COUNTIF($A$8:$A37,"-")))</f>
        <v>26</v>
      </c>
      <c r="B38" s="9" t="s">
        <v>868</v>
      </c>
      <c r="C38" s="9" t="str">
        <f t="shared" si="4"/>
        <v>-</v>
      </c>
      <c r="D38" s="27" t="s">
        <v>697</v>
      </c>
      <c r="E38" s="172">
        <v>2030</v>
      </c>
      <c r="F38" s="45"/>
      <c r="G38" s="43"/>
      <c r="H38" s="44" t="s">
        <v>698</v>
      </c>
      <c r="I38" s="44"/>
      <c r="J38" s="44"/>
      <c r="K38" s="436" t="s">
        <v>869</v>
      </c>
      <c r="L38" s="436"/>
      <c r="M38" s="437"/>
      <c r="O38" s="4"/>
      <c r="P38" s="4"/>
      <c r="Q38" s="4"/>
      <c r="R38" s="4"/>
    </row>
    <row r="39" spans="1:18" s="269" customFormat="1" ht="16.5">
      <c r="A39" s="9" t="s">
        <v>897</v>
      </c>
      <c r="B39" s="270"/>
      <c r="C39" s="270"/>
      <c r="D39" s="271" t="s">
        <v>699</v>
      </c>
      <c r="E39" s="272">
        <v>2120</v>
      </c>
      <c r="F39" s="433" t="s">
        <v>524</v>
      </c>
      <c r="G39" s="438"/>
      <c r="H39" s="273" t="s">
        <v>700</v>
      </c>
      <c r="I39" s="273"/>
      <c r="J39" s="273"/>
      <c r="K39" s="436" t="s">
        <v>523</v>
      </c>
      <c r="L39" s="436"/>
      <c r="M39" s="437"/>
      <c r="O39" s="4"/>
      <c r="P39" s="4"/>
      <c r="Q39" s="4"/>
      <c r="R39" s="4"/>
    </row>
    <row r="40" spans="1:18" ht="16.5">
      <c r="A40" s="9" t="s">
        <v>897</v>
      </c>
      <c r="B40" s="251" t="s">
        <v>31</v>
      </c>
      <c r="C40" s="251" t="s">
        <v>872</v>
      </c>
      <c r="D40" s="252" t="s">
        <v>390</v>
      </c>
      <c r="E40" s="432" t="s">
        <v>822</v>
      </c>
      <c r="F40" s="419"/>
      <c r="G40" s="291" t="str">
        <f t="shared" si="3"/>
        <v/>
      </c>
      <c r="H40" s="254" t="str">
        <f>IF($D40&gt;0,VLOOKUP($D40,Flight!$A$1:$E$91,3,FALSE),"")</f>
        <v>DOH</v>
      </c>
      <c r="I40" s="254" t="str">
        <f>IF($D40&gt;0,IF(VLOOKUP($D40,Flight!$A$1:$E$91,4,FALSE)&gt;1,VLOOKUP($D40,Flight!$A$1:$E121,4,FALSE),""),"")</f>
        <v/>
      </c>
      <c r="J40" s="431" t="s">
        <v>871</v>
      </c>
      <c r="K40" s="402"/>
      <c r="L40" s="402"/>
      <c r="M40" s="403"/>
      <c r="O40" s="4"/>
      <c r="P40" s="89"/>
      <c r="Q40" s="4"/>
      <c r="R40" s="4"/>
    </row>
    <row r="41" spans="1:18" s="307" customFormat="1" ht="16.5">
      <c r="A41" s="9" t="s">
        <v>897</v>
      </c>
      <c r="B41" s="251" t="s">
        <v>31</v>
      </c>
      <c r="C41" s="251" t="s">
        <v>87</v>
      </c>
      <c r="D41" s="252" t="s">
        <v>392</v>
      </c>
      <c r="E41" s="432" t="s">
        <v>822</v>
      </c>
      <c r="F41" s="419"/>
      <c r="G41" s="291" t="str">
        <f t="shared" si="3"/>
        <v/>
      </c>
      <c r="H41" s="254" t="str">
        <f>IF($D41&gt;0,VLOOKUP($D41,Flight!$A$1:$E$91,3,FALSE),"")</f>
        <v>BKK</v>
      </c>
      <c r="I41" s="254" t="str">
        <f>IF($D41&gt;0,IF(VLOOKUP($D41,Flight!$A$1:$E$91,4,FALSE)&gt;1,VLOOKUP($D41,Flight!$A$1:$E123,4,FALSE),""),"")</f>
        <v/>
      </c>
      <c r="J41" s="431" t="s">
        <v>871</v>
      </c>
      <c r="K41" s="402"/>
      <c r="L41" s="402"/>
      <c r="M41" s="403"/>
      <c r="O41" s="309"/>
      <c r="P41" s="310"/>
      <c r="Q41" s="309"/>
      <c r="R41" s="309"/>
    </row>
    <row r="42" spans="1:18" ht="16.5">
      <c r="A42" s="9"/>
      <c r="B42" s="9" t="str">
        <f>IF($E42&lt;&gt;"",IF($E42-715&lt;0,VLOOKUP($B$3,$E$63:$J$74,6,FALSE),IF(AND($E42-2130&gt;0,_xlfn.IFNA(MATCH($D42,$D$107:$D$117,0)&lt;20,"")=TRUE),VLOOKUP($L$3,$E$63:$J$74,6,FALSE),"-")),"")</f>
        <v/>
      </c>
      <c r="C42" s="9" t="str">
        <f>IF($E42&lt;&gt;"",IF(ISNUMBER(SEARCH("Hall Operation",$K42)),"-",IF($E42-715&lt;0,VLOOKUP($B$3,$E$63:$J$74,6,FALSE),IF($E42-2129&gt;0,VLOOKUP($L$3,$E$63:$J$74,6,FALSE),""))),"")</f>
        <v/>
      </c>
      <c r="D42" s="27"/>
      <c r="E42" s="172" t="str">
        <f>IF($D42&gt;0,VLOOKUP($D42,Flight!$A$1:$E$91,2,FALSE),"")</f>
        <v/>
      </c>
      <c r="F42" s="45"/>
      <c r="G42" s="43" t="str">
        <f t="shared" si="3"/>
        <v/>
      </c>
      <c r="H42" s="44" t="str">
        <f>IF($D42&gt;0,VLOOKUP($D42,Flight!$A$1:$E$91,3,FALSE),"")</f>
        <v/>
      </c>
      <c r="I42" s="44" t="str">
        <f>IF($D42&gt;0,IF(VLOOKUP($D42,Flight!$A$1:$E$91,4,FALSE)&gt;1,VLOOKUP($D42,Flight!$A$1:$E124,4,FALSE),""),"")</f>
        <v/>
      </c>
      <c r="J42" s="44" t="str">
        <f>IF($D42&gt;0,IF(VLOOKUP($D42,Flight!$A$1:$E$91,5,FALSE)&gt;1,VLOOKUP($D42,Flight!$A$1:$E$91,5,FALSE),""),"")</f>
        <v/>
      </c>
      <c r="K42" s="166" t="str">
        <f>IF($D42=0,"",IF(OR(ISNUMBER(SEARCH("S",$B42)),_xlfn.IFNA(MATCH($D42,$D$107:$D$117,0)&lt;20,"")=TRUE),"&lt;   Hall Operation   &gt;",""))</f>
        <v/>
      </c>
      <c r="L42" s="166"/>
      <c r="M42" s="166"/>
      <c r="O42" s="4"/>
      <c r="P42" s="89"/>
      <c r="Q42" s="4"/>
      <c r="R42" s="4"/>
    </row>
    <row r="43" spans="1:18" ht="16.5">
      <c r="A43" s="9" t="str">
        <f t="shared" ref="A43" si="6">IF($A41="S/N",1,IF($F43="Wavied","-",IF($D43=0,"",ROW($A43)-ROW($A$7)-COUNTIF($A$7:$A$8,"@")-COUNTIF($A$7:$A$8,"-"))))</f>
        <v/>
      </c>
      <c r="B43" s="9" t="str">
        <f>IF($E43&lt;&gt;"",IF($E43-715&lt;0,VLOOKUP($B$3,$E$63:$J$74,6,FALSE),IF(AND($E43-2130&gt;0,_xlfn.IFNA(MATCH($D43,$D$107:$D$117,0)&lt;20,"")=TRUE),VLOOKUP($L$3,$E$63:$J$74,6,FALSE),"-")),"")</f>
        <v/>
      </c>
      <c r="C43" s="9" t="str">
        <f>IF($E43&lt;&gt;"",IF(ISNUMBER(SEARCH("Hall Operation",$K43)),"-",IF($E43-715&lt;0,VLOOKUP($B$3,$E$63:$J$74,6,FALSE),IF($E43-2129&gt;0,VLOOKUP($L$3,$E$63:$J$74,6,FALSE),""))),"")</f>
        <v/>
      </c>
      <c r="D43" s="27"/>
      <c r="E43" s="172" t="str">
        <f>IF($D43&gt;0,VLOOKUP($D43,Flight!$A$1:$E$91,2,FALSE),"")</f>
        <v/>
      </c>
      <c r="F43" s="45"/>
      <c r="G43" s="43" t="str">
        <f t="shared" si="3"/>
        <v/>
      </c>
      <c r="H43" s="44" t="str">
        <f>IF($D43&gt;0,VLOOKUP($D43,Flight!$A$1:$E$91,3,FALSE),"")</f>
        <v/>
      </c>
      <c r="I43" s="44" t="str">
        <f>IF($D43&gt;0,IF(VLOOKUP($D43,Flight!$A$1:$E$91,4,FALSE)&gt;1,VLOOKUP($D43,Flight!$A$1:$E125,4,FALSE),""),"")</f>
        <v/>
      </c>
      <c r="J43" s="44" t="str">
        <f>IF($D43&gt;0,IF(VLOOKUP($D43,Flight!$A$1:$E$91,5,FALSE)&gt;1,VLOOKUP($D43,Flight!$A$1:$E$91,5,FALSE),""),"")</f>
        <v/>
      </c>
      <c r="K43" s="166" t="str">
        <f>IF($D43=0,"",IF(OR(ISNUMBER(SEARCH("S",$B43)),_xlfn.IFNA(MATCH($D43,$D$107:$D$117,0)&lt;20,"")=TRUE),"&lt;   Hall Operation   &gt;",""))</f>
        <v/>
      </c>
      <c r="L43" s="166"/>
      <c r="M43" s="166"/>
      <c r="O43" s="4"/>
      <c r="P43" s="89"/>
      <c r="Q43" s="4"/>
      <c r="R43" s="4"/>
    </row>
    <row r="44" spans="1:18">
      <c r="A44" s="376" t="s">
        <v>5</v>
      </c>
      <c r="B44" s="376"/>
      <c r="C44" s="376"/>
      <c r="D44" s="376"/>
      <c r="E44" s="376"/>
      <c r="F44" s="376"/>
      <c r="G44" s="50"/>
      <c r="H44" s="207" t="s">
        <v>40</v>
      </c>
      <c r="I44" s="377"/>
      <c r="J44" s="377"/>
      <c r="K44" s="377"/>
      <c r="L44" s="377"/>
      <c r="M44" s="377"/>
      <c r="N44" s="5"/>
    </row>
    <row r="45" spans="1:18">
      <c r="A45" s="379" t="s">
        <v>35</v>
      </c>
      <c r="B45" s="379"/>
      <c r="C45" s="379" t="s">
        <v>31</v>
      </c>
      <c r="D45" s="379"/>
      <c r="E45" s="379"/>
      <c r="F45" s="379"/>
      <c r="G45" s="379"/>
      <c r="H45" s="379"/>
      <c r="I45" s="378"/>
      <c r="J45" s="378"/>
      <c r="K45" s="378"/>
      <c r="L45" s="378"/>
      <c r="M45" s="378"/>
    </row>
    <row r="46" spans="1:18">
      <c r="A46" s="379"/>
      <c r="B46" s="379"/>
      <c r="C46" s="379"/>
      <c r="D46" s="379"/>
      <c r="E46" s="379"/>
      <c r="F46" s="379"/>
      <c r="G46" s="379"/>
      <c r="H46" s="379"/>
      <c r="I46" s="51"/>
      <c r="J46" s="51"/>
      <c r="K46" s="6"/>
      <c r="L46" s="6"/>
      <c r="M46" s="6"/>
    </row>
    <row r="47" spans="1:18">
      <c r="A47" s="389" t="s">
        <v>216</v>
      </c>
      <c r="B47" s="389"/>
      <c r="C47" s="212" t="str">
        <f>VLOOKUP($D$47,Staff!$B$2:$D$41,2,FALSE)</f>
        <v>CIA</v>
      </c>
      <c r="D47" s="375" t="str">
        <f>VLOOKUP(VLOOKUP($E$59,$E$63:$J$74,6,FALSE),Staff!$A$2:$D$13,2,FALSE)</f>
        <v>WW LAW</v>
      </c>
      <c r="E47" s="375"/>
      <c r="F47" s="204" t="s">
        <v>215</v>
      </c>
      <c r="G47" s="390" t="str">
        <f>VLOOKUP($D$47,Staff!$B$2:$D$39,3,FALSE)</f>
        <v>6018 0589</v>
      </c>
      <c r="H47" s="390"/>
      <c r="I47" s="391" t="s">
        <v>223</v>
      </c>
      <c r="J47" s="391"/>
      <c r="K47" s="375" t="str">
        <f>IF(COUNTIF($E$63:$E$66,$E$59)&gt;0,Staff!$G$2,"")&amp;IF(COUNTIF($E$67:$E$70,$E$59)&gt;0,Staff!$G$3,"")&amp;IF(COUNTIF($E$71:$E$74,$E$59)&gt;0,Staff!$G$4,"")</f>
        <v>HO, KING KAI</v>
      </c>
      <c r="L47" s="375"/>
      <c r="M47" s="375"/>
    </row>
    <row r="48" spans="1:18">
      <c r="A48" s="389" t="s">
        <v>217</v>
      </c>
      <c r="B48" s="389"/>
      <c r="C48" s="212" t="str">
        <f>VLOOKUP($D$48,Staff!$B$2:$D$41,2,FALSE)</f>
        <v>CIA</v>
      </c>
      <c r="D48" s="375" t="str">
        <f>VLOOKUP(VLOOKUP($E$60,$E$63:$J$74,6,FALSE),Staff!$A$2:$D$13,2,FALSE)</f>
        <v>WO LO</v>
      </c>
      <c r="E48" s="375"/>
      <c r="F48" s="204" t="s">
        <v>215</v>
      </c>
      <c r="G48" s="390" t="str">
        <f>VLOOKUP($D$48,Staff!$B$2:$D$39,3,FALSE)</f>
        <v>9425 1098</v>
      </c>
      <c r="H48" s="390"/>
      <c r="I48" s="391" t="s">
        <v>224</v>
      </c>
      <c r="J48" s="391"/>
      <c r="K48" s="375" t="s">
        <v>425</v>
      </c>
      <c r="L48" s="375"/>
      <c r="M48" s="375"/>
    </row>
    <row r="49" spans="1:14">
      <c r="A49" s="200"/>
      <c r="B49" s="200"/>
      <c r="C49" s="209"/>
      <c r="D49" s="395"/>
      <c r="E49" s="395"/>
      <c r="F49" s="206"/>
      <c r="G49" s="396"/>
      <c r="H49" s="396"/>
      <c r="I49" s="390"/>
      <c r="J49" s="390"/>
      <c r="K49" s="143"/>
      <c r="L49" s="143"/>
      <c r="M49" s="143"/>
    </row>
    <row r="50" spans="1:14">
      <c r="A50" s="397" t="s">
        <v>4</v>
      </c>
      <c r="B50" s="397"/>
      <c r="C50" s="396" t="s">
        <v>218</v>
      </c>
      <c r="D50" s="396"/>
      <c r="E50" s="396"/>
      <c r="F50" s="154" t="s">
        <v>213</v>
      </c>
      <c r="G50" s="398" t="str">
        <f>IF(COUNTIF($E$63:$E$66,$E$59)&gt;0,Staff!$G$14,"")&amp;IF(COUNTIF($E$67:$E$70,$E$59)&gt;0,Staff!$G$13,"")&amp;IF(COUNTIF($E$71:$E$74,$E$59)&gt;0,Staff!$G$12,"")</f>
        <v>CHIU, OI YU (F)</v>
      </c>
      <c r="H50" s="398"/>
      <c r="I50" s="398"/>
      <c r="J50" s="203" t="s">
        <v>209</v>
      </c>
      <c r="K50" s="390" t="str">
        <f>VLOOKUP(VLOOKUP($B$3,$E$63:$J$74,6,FALSE),Staff!$F$22:$G$47,2,FALSE)</f>
        <v>WAN, KAM HONG</v>
      </c>
      <c r="L50" s="390"/>
      <c r="M50" s="390"/>
      <c r="N50" s="12"/>
    </row>
    <row r="51" spans="1:14">
      <c r="A51" s="155"/>
      <c r="B51" s="155"/>
      <c r="C51" s="396" t="s">
        <v>219</v>
      </c>
      <c r="D51" s="396"/>
      <c r="E51" s="396"/>
      <c r="F51" s="154" t="s">
        <v>214</v>
      </c>
      <c r="G51" s="375" t="s">
        <v>426</v>
      </c>
      <c r="H51" s="375"/>
      <c r="I51" s="375"/>
      <c r="J51" s="203" t="s">
        <v>208</v>
      </c>
      <c r="K51" s="390" t="s">
        <v>674</v>
      </c>
      <c r="L51" s="390"/>
      <c r="M51" s="390"/>
    </row>
    <row r="52" spans="1:14">
      <c r="A52" s="201"/>
      <c r="B52" s="201"/>
      <c r="C52" s="209"/>
      <c r="D52" s="401"/>
      <c r="E52" s="401"/>
      <c r="F52" s="401"/>
      <c r="G52" s="401"/>
      <c r="H52" s="401"/>
      <c r="I52" s="401"/>
      <c r="J52" s="203" t="s">
        <v>210</v>
      </c>
      <c r="K52" s="390" t="s">
        <v>706</v>
      </c>
      <c r="L52" s="390"/>
      <c r="M52" s="390"/>
    </row>
    <row r="53" spans="1:14">
      <c r="A53" s="392" t="s">
        <v>3</v>
      </c>
      <c r="B53" s="393"/>
      <c r="C53" s="394" t="s">
        <v>220</v>
      </c>
      <c r="D53" s="394"/>
      <c r="E53" s="394"/>
      <c r="F53" s="397" t="s">
        <v>408</v>
      </c>
      <c r="G53" s="397"/>
      <c r="H53" s="397"/>
      <c r="I53" s="397"/>
      <c r="J53" s="203" t="s">
        <v>211</v>
      </c>
      <c r="K53" s="390" t="s">
        <v>430</v>
      </c>
      <c r="L53" s="390"/>
      <c r="M53" s="390"/>
    </row>
    <row r="54" spans="1:14">
      <c r="A54" s="393" t="s">
        <v>2</v>
      </c>
      <c r="B54" s="393"/>
      <c r="C54" s="411" t="s">
        <v>221</v>
      </c>
      <c r="D54" s="411"/>
      <c r="E54" s="411"/>
      <c r="F54" s="412" t="s">
        <v>1</v>
      </c>
      <c r="G54" s="412"/>
      <c r="H54" s="400" t="s">
        <v>409</v>
      </c>
      <c r="I54" s="400"/>
      <c r="J54" s="203" t="s">
        <v>212</v>
      </c>
      <c r="K54" s="390" t="s">
        <v>428</v>
      </c>
      <c r="L54" s="390"/>
      <c r="M54" s="390"/>
    </row>
    <row r="55" spans="1:14">
      <c r="A55" s="155"/>
      <c r="B55" s="155"/>
      <c r="C55" s="201"/>
      <c r="D55" s="399"/>
      <c r="E55" s="399"/>
      <c r="F55" s="391"/>
      <c r="G55" s="391"/>
      <c r="H55" s="400" t="s">
        <v>410</v>
      </c>
      <c r="I55" s="400"/>
      <c r="J55" s="199"/>
      <c r="K55" s="200"/>
      <c r="L55" s="200"/>
      <c r="M55" s="47"/>
    </row>
    <row r="56" spans="1:14" ht="16.5" customHeight="1">
      <c r="A56" s="392" t="s">
        <v>0</v>
      </c>
      <c r="B56" s="392"/>
      <c r="C56" s="407" t="s">
        <v>222</v>
      </c>
      <c r="D56" s="407"/>
      <c r="E56" s="407"/>
      <c r="F56" s="218"/>
      <c r="G56" s="219"/>
      <c r="H56" s="394" t="s">
        <v>411</v>
      </c>
      <c r="I56" s="394"/>
      <c r="J56" s="205"/>
      <c r="K56" s="200"/>
      <c r="L56" s="200"/>
      <c r="M56" s="47"/>
    </row>
    <row r="57" spans="1:14">
      <c r="C57" s="408"/>
      <c r="D57" s="408"/>
      <c r="E57" s="408"/>
      <c r="F57" s="408"/>
      <c r="G57" s="408"/>
      <c r="H57" s="408"/>
      <c r="J57" s="53"/>
      <c r="K57" s="112"/>
      <c r="L57" s="112"/>
    </row>
    <row r="58" spans="1:14" ht="16.5" thickBot="1">
      <c r="A58" s="3"/>
      <c r="B58" s="3"/>
      <c r="C58" s="3"/>
      <c r="D58" s="2"/>
      <c r="E58" s="39"/>
      <c r="F58" s="202"/>
      <c r="G58" s="202"/>
      <c r="I58" s="409"/>
      <c r="J58" s="409"/>
      <c r="K58" s="112"/>
      <c r="L58" s="112"/>
    </row>
    <row r="59" spans="1:14">
      <c r="D59" s="211"/>
      <c r="E59" s="90" t="s">
        <v>133</v>
      </c>
      <c r="F59" s="91" t="s">
        <v>135</v>
      </c>
      <c r="G59" s="91"/>
      <c r="H59" s="92"/>
      <c r="I59" s="211"/>
      <c r="J59" s="211"/>
    </row>
    <row r="60" spans="1:14" ht="16.5" thickBot="1">
      <c r="D60" s="211"/>
      <c r="E60" s="93" t="s">
        <v>134</v>
      </c>
      <c r="F60" s="94" t="s">
        <v>136</v>
      </c>
      <c r="G60" s="94"/>
      <c r="H60" s="95"/>
      <c r="I60" s="211"/>
      <c r="J60" s="211"/>
    </row>
    <row r="61" spans="1:14">
      <c r="D61" s="211"/>
      <c r="E61" s="211"/>
      <c r="F61" s="211"/>
      <c r="G61" s="211"/>
      <c r="H61" s="211"/>
      <c r="I61" s="211"/>
      <c r="J61" s="211"/>
    </row>
    <row r="62" spans="1:14" ht="16.5" thickBot="1">
      <c r="D62" s="85" t="s">
        <v>132</v>
      </c>
      <c r="E62" s="85" t="s">
        <v>19</v>
      </c>
      <c r="F62" s="85" t="s">
        <v>8</v>
      </c>
      <c r="G62" s="85" t="s">
        <v>7</v>
      </c>
      <c r="H62" s="85" t="s">
        <v>6</v>
      </c>
      <c r="I62" s="85" t="s">
        <v>98</v>
      </c>
      <c r="J62" s="211"/>
      <c r="K62" s="96" t="s">
        <v>302</v>
      </c>
      <c r="L62" s="96" t="s">
        <v>303</v>
      </c>
      <c r="M62" s="96"/>
    </row>
    <row r="63" spans="1:14">
      <c r="D63" s="97" t="s">
        <v>86</v>
      </c>
      <c r="E63" s="98" t="str">
        <f>_xlfn.IFNA(VLOOKUP(MOD((($D$1-WEEKDAY($D$1,2)+1)-45523)/7+21,24),Shift!$A$2:$H$25,WEEKDAY($D$1,2)+1),VLOOKUP(24,Shift!$A$2:$H$25,WEEKDAY($D$1,2)+1))</f>
        <v>A</v>
      </c>
      <c r="F63" s="98">
        <v>1</v>
      </c>
      <c r="G63" s="98">
        <v>1</v>
      </c>
      <c r="H63" s="98">
        <v>2</v>
      </c>
      <c r="I63" s="99">
        <f t="shared" ref="I63:I74" si="7">IF(OR($E63="L",$E63="L#"),0,SUM($F63:$H63))</f>
        <v>4</v>
      </c>
      <c r="J63" s="136" t="s">
        <v>86</v>
      </c>
      <c r="K63" s="112" t="str">
        <f>IF(AND($F63&gt;1,$F63&lt;&gt;"?"),$F63-1,"")</f>
        <v/>
      </c>
      <c r="L63" s="112" t="str">
        <f>IF(AND($G63&gt;1,$G63&lt;&gt;"?"),$G63-1,"")</f>
        <v/>
      </c>
      <c r="M63" s="112"/>
    </row>
    <row r="64" spans="1:14">
      <c r="D64" s="100" t="s">
        <v>85</v>
      </c>
      <c r="E64" s="101" t="str">
        <f>_xlfn.IFNA(VLOOKUP(MOD((($D$1-WEEKDAY($D$1,2)+1)-45523)/7+3,24),Shift!$A$2:$H$25,WEEKDAY($D$1,2)+1),VLOOKUP(24,Shift!$A$2:$H$25,WEEKDAY($D$1,2)+1))</f>
        <v>P1</v>
      </c>
      <c r="F64" s="101">
        <v>1</v>
      </c>
      <c r="G64" s="101">
        <v>1</v>
      </c>
      <c r="H64" s="101">
        <v>3</v>
      </c>
      <c r="I64" s="102">
        <f t="shared" si="7"/>
        <v>5</v>
      </c>
      <c r="J64" s="137" t="s">
        <v>85</v>
      </c>
      <c r="K64" s="112" t="str">
        <f t="shared" ref="K64:K74" si="8">IF(AND($F64&gt;1,$F64&lt;&gt;"?"),$F64-1,"")</f>
        <v/>
      </c>
      <c r="L64" s="112" t="str">
        <f t="shared" ref="L64:L74" si="9">IF(AND($G64&gt;1,$G64&lt;&gt;"?"),$G64-1,"")</f>
        <v/>
      </c>
      <c r="M64" s="112"/>
    </row>
    <row r="65" spans="4:13">
      <c r="D65" s="100" t="s">
        <v>99</v>
      </c>
      <c r="E65" s="101" t="str">
        <f>_xlfn.IFNA(VLOOKUP(MOD((($D$1-WEEKDAY($D$1,2)+1)-45523)/7+9,24),Shift!$A$2:$H$25,WEEKDAY($D$1,2)+1),VLOOKUP(24,Shift!$A$2:$H$25,WEEKDAY($D$1,2)+1))</f>
        <v>P1 @</v>
      </c>
      <c r="F65" s="101">
        <v>1</v>
      </c>
      <c r="G65" s="101">
        <v>1</v>
      </c>
      <c r="H65" s="101">
        <v>3</v>
      </c>
      <c r="I65" s="102">
        <f t="shared" si="7"/>
        <v>5</v>
      </c>
      <c r="J65" s="137" t="s">
        <v>99</v>
      </c>
      <c r="K65" s="112" t="str">
        <f t="shared" si="8"/>
        <v/>
      </c>
      <c r="L65" s="112" t="str">
        <f t="shared" si="9"/>
        <v/>
      </c>
      <c r="M65" s="112"/>
    </row>
    <row r="66" spans="4:13" ht="16.5" thickBot="1">
      <c r="D66" s="103" t="s">
        <v>100</v>
      </c>
      <c r="E66" s="104" t="str">
        <f>_xlfn.IFNA(VLOOKUP(MOD((($D$1-WEEKDAY($D$1,2)+1)-45523)/7+15,24),Shift!$A$2:$H$25,WEEKDAY($D$1,2)+1),VLOOKUP(24,Shift!$A$2:$H$25,WEEKDAY($D$1,2)+1))</f>
        <v>P4</v>
      </c>
      <c r="F66" s="104">
        <v>1</v>
      </c>
      <c r="G66" s="104">
        <v>1</v>
      </c>
      <c r="H66" s="104">
        <v>3</v>
      </c>
      <c r="I66" s="105">
        <f t="shared" si="7"/>
        <v>5</v>
      </c>
      <c r="J66" s="138" t="s">
        <v>100</v>
      </c>
      <c r="K66" s="112" t="str">
        <f t="shared" si="8"/>
        <v/>
      </c>
      <c r="L66" s="112" t="str">
        <f t="shared" si="9"/>
        <v/>
      </c>
      <c r="M66" s="112"/>
    </row>
    <row r="67" spans="4:13">
      <c r="D67" s="97" t="s">
        <v>101</v>
      </c>
      <c r="E67" s="98" t="str">
        <f>_xlfn.IFNA(VLOOKUP(MOD((($D$1-WEEKDAY($D$1,2)+1)-45523)/7+19,24),Shift!$A$2:$H$25,WEEKDAY($D$1,2)+1),VLOOKUP(24,Shift!$A$2:$H$25,WEEKDAY($D$1,2)+1))</f>
        <v>M</v>
      </c>
      <c r="F67" s="98">
        <v>2</v>
      </c>
      <c r="G67" s="98">
        <v>0</v>
      </c>
      <c r="H67" s="98">
        <v>3</v>
      </c>
      <c r="I67" s="99">
        <f t="shared" si="7"/>
        <v>5</v>
      </c>
      <c r="J67" s="136" t="s">
        <v>101</v>
      </c>
      <c r="K67" s="112">
        <f t="shared" si="8"/>
        <v>1</v>
      </c>
      <c r="L67" s="112" t="str">
        <f t="shared" si="9"/>
        <v/>
      </c>
      <c r="M67" s="112"/>
    </row>
    <row r="68" spans="4:13">
      <c r="D68" s="100" t="s">
        <v>102</v>
      </c>
      <c r="E68" s="101" t="str">
        <f>_xlfn.IFNA(VLOOKUP(MOD((($D$1-WEEKDAY($D$1,2)+1)-45523)/7+1,24),Shift!$A$2:$H$25,WEEKDAY($D$1,2)+1),VLOOKUP(24,Shift!$A$2:$H$25,WEEKDAY($D$1,2)+1))</f>
        <v>G1</v>
      </c>
      <c r="F68" s="101">
        <v>0</v>
      </c>
      <c r="G68" s="101">
        <v>1</v>
      </c>
      <c r="H68" s="101">
        <v>3</v>
      </c>
      <c r="I68" s="102">
        <f t="shared" si="7"/>
        <v>4</v>
      </c>
      <c r="J68" s="137" t="s">
        <v>102</v>
      </c>
      <c r="K68" s="112" t="str">
        <f t="shared" si="8"/>
        <v/>
      </c>
      <c r="L68" s="112" t="str">
        <f t="shared" si="9"/>
        <v/>
      </c>
      <c r="M68" s="112"/>
    </row>
    <row r="69" spans="4:13">
      <c r="D69" s="100" t="s">
        <v>103</v>
      </c>
      <c r="E69" s="101" t="str">
        <f>_xlfn.IFNA(VLOOKUP(MOD((($D$1-WEEKDAY($D$1,2)+1)-45523)/7+7,24),Shift!$A$2:$H$25,WEEKDAY($D$1,2)+1),VLOOKUP(24,Shift!$A$2:$H$25,WEEKDAY($D$1,2)+1))</f>
        <v>L</v>
      </c>
      <c r="F69" s="101">
        <f t="shared" ref="F69:H74" si="10">IF(OR($E69="L",$E69="L#"),0,"?")</f>
        <v>0</v>
      </c>
      <c r="G69" s="101">
        <f t="shared" si="10"/>
        <v>0</v>
      </c>
      <c r="H69" s="101">
        <f t="shared" si="10"/>
        <v>0</v>
      </c>
      <c r="I69" s="102">
        <f t="shared" si="7"/>
        <v>0</v>
      </c>
      <c r="J69" s="137" t="s">
        <v>103</v>
      </c>
      <c r="K69" s="112" t="str">
        <f t="shared" si="8"/>
        <v/>
      </c>
      <c r="L69" s="112" t="str">
        <f t="shared" si="9"/>
        <v/>
      </c>
      <c r="M69" s="112"/>
    </row>
    <row r="70" spans="4:13" ht="16.5" thickBot="1">
      <c r="D70" s="103" t="s">
        <v>104</v>
      </c>
      <c r="E70" s="104" t="str">
        <f>_xlfn.IFNA(VLOOKUP(MOD((($D$1-WEEKDAY($D$1,2)+1)-45523)/7+13,24),Shift!$A$2:$H$25,WEEKDAY($D$1,2)+1),VLOOKUP(24,Shift!$A$2:$H$25,WEEKDAY($D$1,2)+1))</f>
        <v>M @</v>
      </c>
      <c r="F70" s="104">
        <v>1</v>
      </c>
      <c r="G70" s="104">
        <v>1</v>
      </c>
      <c r="H70" s="104">
        <v>3</v>
      </c>
      <c r="I70" s="105">
        <f t="shared" si="7"/>
        <v>5</v>
      </c>
      <c r="J70" s="138" t="s">
        <v>104</v>
      </c>
      <c r="K70" s="112" t="str">
        <f t="shared" si="8"/>
        <v/>
      </c>
      <c r="L70" s="112" t="str">
        <f t="shared" si="9"/>
        <v/>
      </c>
      <c r="M70" s="112"/>
    </row>
    <row r="71" spans="4:13">
      <c r="D71" s="97" t="s">
        <v>105</v>
      </c>
      <c r="E71" s="98" t="str">
        <f>_xlfn.IFNA(VLOOKUP(MOD((($D$1-WEEKDAY($D$1,2)+1)-45523)/7+17,24),Shift!$A$2:$H$25,WEEKDAY($D$1,2)+1),VLOOKUP(24,Shift!$A$2:$H$25,WEEKDAY($D$1,2)+1))</f>
        <v>L</v>
      </c>
      <c r="F71" s="98">
        <f t="shared" si="10"/>
        <v>0</v>
      </c>
      <c r="G71" s="98">
        <f t="shared" si="10"/>
        <v>0</v>
      </c>
      <c r="H71" s="98">
        <f t="shared" si="10"/>
        <v>0</v>
      </c>
      <c r="I71" s="99">
        <f t="shared" si="7"/>
        <v>0</v>
      </c>
      <c r="J71" s="136" t="s">
        <v>105</v>
      </c>
      <c r="K71" s="112" t="str">
        <f t="shared" si="8"/>
        <v/>
      </c>
      <c r="L71" s="112" t="str">
        <f t="shared" si="9"/>
        <v/>
      </c>
      <c r="M71" s="112"/>
    </row>
    <row r="72" spans="4:13">
      <c r="D72" s="100" t="s">
        <v>106</v>
      </c>
      <c r="E72" s="101" t="str">
        <f>_xlfn.IFNA(VLOOKUP(MOD((($D$1-WEEKDAY($D$1,2)+1)-45523)/7+23,24),Shift!$A$2:$H$25,WEEKDAY($D$1,2)+1),VLOOKUP(24,Shift!$A$2:$H$25,WEEKDAY($D$1,2)+1))</f>
        <v>L</v>
      </c>
      <c r="F72" s="101">
        <f t="shared" si="10"/>
        <v>0</v>
      </c>
      <c r="G72" s="101">
        <f t="shared" si="10"/>
        <v>0</v>
      </c>
      <c r="H72" s="101">
        <f t="shared" si="10"/>
        <v>0</v>
      </c>
      <c r="I72" s="102">
        <f t="shared" si="7"/>
        <v>0</v>
      </c>
      <c r="J72" s="137" t="s">
        <v>106</v>
      </c>
      <c r="K72" s="112" t="str">
        <f t="shared" si="8"/>
        <v/>
      </c>
      <c r="L72" s="112" t="str">
        <f t="shared" si="9"/>
        <v/>
      </c>
      <c r="M72" s="112"/>
    </row>
    <row r="73" spans="4:13">
      <c r="D73" s="100" t="s">
        <v>107</v>
      </c>
      <c r="E73" s="101" t="str">
        <f>_xlfn.IFNA(VLOOKUP(MOD((($D$1-WEEKDAY($D$1,2)+1)-45523)/7+5,24),Shift!$A$2:$H$25,WEEKDAY($D$1,2)+1),VLOOKUP(24,Shift!$A$2:$H$25,WEEKDAY($D$1,2)+1))</f>
        <v>L#</v>
      </c>
      <c r="F73" s="101">
        <f t="shared" si="10"/>
        <v>0</v>
      </c>
      <c r="G73" s="101">
        <f t="shared" si="10"/>
        <v>0</v>
      </c>
      <c r="H73" s="101">
        <f t="shared" si="10"/>
        <v>0</v>
      </c>
      <c r="I73" s="102">
        <f t="shared" si="7"/>
        <v>0</v>
      </c>
      <c r="J73" s="137" t="s">
        <v>107</v>
      </c>
      <c r="K73" s="112" t="str">
        <f t="shared" si="8"/>
        <v/>
      </c>
      <c r="L73" s="112" t="str">
        <f t="shared" si="9"/>
        <v/>
      </c>
      <c r="M73" s="112"/>
    </row>
    <row r="74" spans="4:13" ht="16.5" thickBot="1">
      <c r="D74" s="103" t="s">
        <v>108</v>
      </c>
      <c r="E74" s="104" t="str">
        <f>_xlfn.IFNA(VLOOKUP(MOD((($D$1-WEEKDAY($D$1,2)+1)-45523)/7+11,24),Shift!$A$2:$H$25,WEEKDAY($D$1,2)+1),VLOOKUP(24,Shift!$A$2:$H$25,WEEKDAY($D$1,2)+1))</f>
        <v>L</v>
      </c>
      <c r="F74" s="104">
        <f t="shared" si="10"/>
        <v>0</v>
      </c>
      <c r="G74" s="104">
        <f t="shared" si="10"/>
        <v>0</v>
      </c>
      <c r="H74" s="104">
        <f t="shared" si="10"/>
        <v>0</v>
      </c>
      <c r="I74" s="105">
        <f t="shared" si="7"/>
        <v>0</v>
      </c>
      <c r="J74" s="138" t="s">
        <v>108</v>
      </c>
      <c r="K74" s="112" t="str">
        <f t="shared" si="8"/>
        <v/>
      </c>
      <c r="L74" s="112" t="str">
        <f t="shared" si="9"/>
        <v/>
      </c>
      <c r="M74" s="112"/>
    </row>
    <row r="75" spans="4:13">
      <c r="D75" s="144" t="s">
        <v>87</v>
      </c>
      <c r="E75" s="98" t="s">
        <v>29</v>
      </c>
      <c r="F75" s="98">
        <v>1</v>
      </c>
      <c r="G75" s="98"/>
      <c r="H75" s="98"/>
      <c r="I75" s="99">
        <f>IF(OR($E75="L",$E75="L#",$E75="?"),0,SUM($F75:$H75))</f>
        <v>1</v>
      </c>
      <c r="J75" s="211"/>
    </row>
    <row r="76" spans="4:13">
      <c r="D76" s="145" t="s">
        <v>87</v>
      </c>
      <c r="E76" s="101" t="s">
        <v>25</v>
      </c>
      <c r="F76" s="101"/>
      <c r="G76" s="101"/>
      <c r="H76" s="101">
        <v>1</v>
      </c>
      <c r="I76" s="102">
        <f>IF(OR($E76="L",$E76="L#",$E76="?"),0,SUM($F76:$H76))</f>
        <v>1</v>
      </c>
      <c r="J76" s="211"/>
    </row>
    <row r="77" spans="4:13">
      <c r="D77" s="145" t="s">
        <v>137</v>
      </c>
      <c r="E77" s="101" t="s">
        <v>127</v>
      </c>
      <c r="F77" s="101"/>
      <c r="G77" s="101"/>
      <c r="H77" s="101"/>
      <c r="I77" s="102">
        <f>IF(OR($E77="L",$E77="L#",$E77="?"),0,SUM($F77:$H77))</f>
        <v>0</v>
      </c>
      <c r="J77" s="211"/>
    </row>
    <row r="78" spans="4:13" ht="16.5" thickBot="1">
      <c r="D78" s="146" t="s">
        <v>137</v>
      </c>
      <c r="E78" s="104" t="s">
        <v>127</v>
      </c>
      <c r="F78" s="106"/>
      <c r="G78" s="106"/>
      <c r="H78" s="106"/>
      <c r="I78" s="105">
        <f>IF(OR($E78="L",$E78="L#",$E78="?"),0,SUM($F78:$H78))</f>
        <v>0</v>
      </c>
      <c r="J78" s="211"/>
    </row>
    <row r="79" spans="4:13">
      <c r="D79" s="211"/>
      <c r="E79" s="96" t="s">
        <v>98</v>
      </c>
      <c r="F79" s="96" t="str">
        <f>SUM($F$63:$F$78)&amp;IF(SUM($F$63:$H$78)&gt;$I$79,"?","")</f>
        <v>8</v>
      </c>
      <c r="G79" s="96" t="str">
        <f>SUM($G$63:$G$78)&amp;IF(SUM($F$63:$H$78)&gt;$I$79,"?","")</f>
        <v>6</v>
      </c>
      <c r="H79" s="96" t="str">
        <f>SUM($H$63:$H$78)&amp;IF(SUM($F$63:$H$78)&gt;$I$79,"?","")</f>
        <v>21</v>
      </c>
      <c r="I79" s="96">
        <f>SUM(I63:I78)</f>
        <v>35</v>
      </c>
      <c r="J79" s="211"/>
    </row>
    <row r="80" spans="4:13">
      <c r="D80" s="211"/>
      <c r="E80" s="211"/>
      <c r="F80" s="112" t="str">
        <f>IF(SUM($F$63:$F$78)&gt;0,IF(SUM($K$63:$K$74)&gt;0,SUM($F$63:$F$78)-SUM($K$63:$K$74)&amp;"+"&amp;SUM(K63:K74)&amp;"(Fam)",""),"")</f>
        <v>7+1(Fam)</v>
      </c>
      <c r="G80" s="112" t="str">
        <f>IF(SUM($G$63:$G$78)&gt;0,IF(SUM($L$63:$L$74)&gt;0,SUM($G$63:$G$78)-SUM($L$63:$L$74)&amp;"+"&amp;SUM(L63:L74)&amp;"(Fam)",""),"")</f>
        <v/>
      </c>
      <c r="H80" s="112"/>
      <c r="I80" s="211"/>
      <c r="J80" s="211"/>
    </row>
    <row r="82" spans="4:6">
      <c r="D82" s="410" t="s">
        <v>281</v>
      </c>
      <c r="E82" s="410"/>
      <c r="F82" s="410"/>
    </row>
    <row r="83" spans="4:6">
      <c r="D83" s="49" t="str">
        <f>IF(Flight!$A$68=0,"",Flight!$A$68)</f>
        <v/>
      </c>
      <c r="E83" s="163"/>
      <c r="F83" s="164" t="str">
        <f>IF(D83="","",VLOOKUP(D83,Flight!$A$68:$C$91,3,FALSE))</f>
        <v/>
      </c>
    </row>
    <row r="84" spans="4:6">
      <c r="D84" s="49" t="str">
        <f>IF(Flight!$A69=0,"",Flight!$A69)</f>
        <v/>
      </c>
      <c r="F84" s="164" t="str">
        <f>IF(D84="","",VLOOKUP(D84,Flight!$A$68:$C$91,3,FALSE))</f>
        <v/>
      </c>
    </row>
    <row r="85" spans="4:6">
      <c r="D85" s="49" t="str">
        <f>IF(Flight!$A71=0,"",Flight!$A71)</f>
        <v>3A031</v>
      </c>
      <c r="F85" s="164" t="str">
        <f>IF(D85="","",VLOOKUP(D85,Flight!$A$68:$C$91,3,FALSE))</f>
        <v>ZTI</v>
      </c>
    </row>
    <row r="86" spans="4:6">
      <c r="D86" s="49" t="str">
        <f>IF(Flight!$A72=0,"",Flight!$A72)</f>
        <v>3A003</v>
      </c>
      <c r="F86" s="164" t="str">
        <f>IF(D86="","",VLOOKUP(D86,Flight!$A$68:$C$91,3,FALSE))</f>
        <v>ZYK</v>
      </c>
    </row>
    <row r="87" spans="4:6">
      <c r="D87" s="49" t="str">
        <f>IF(Flight!$A73=0,"",Flight!$A73)</f>
        <v>3A005</v>
      </c>
      <c r="F87" s="164" t="str">
        <f>IF(D87="","",VLOOKUP(D87,Flight!$A$68:$C$91,3,FALSE))</f>
        <v>HKM</v>
      </c>
    </row>
    <row r="88" spans="4:6">
      <c r="D88" s="49" t="str">
        <f>IF(Flight!$A74=0,"",Flight!$A74)</f>
        <v>3A007</v>
      </c>
      <c r="F88" s="164" t="str">
        <f>IF(D88="","",VLOOKUP(D88,Flight!$A$68:$C$91,3,FALSE))</f>
        <v>ZYK</v>
      </c>
    </row>
    <row r="89" spans="4:6">
      <c r="D89" s="49" t="str">
        <f>IF(Flight!$A75=0,"",Flight!$A75)</f>
        <v>3A008</v>
      </c>
      <c r="F89" s="164" t="str">
        <f>IF(D89="","",VLOOKUP(D89,Flight!$A$68:$C$91,3,FALSE))</f>
        <v>ZYK</v>
      </c>
    </row>
    <row r="90" spans="4:6">
      <c r="D90" s="49" t="str">
        <f>IF(Flight!$A76=0,"",Flight!$A76)</f>
        <v>3A009</v>
      </c>
      <c r="F90" s="164" t="str">
        <f>IF(D90="","",VLOOKUP(D90,Flight!$A$68:$C$91,3,FALSE))</f>
        <v>ZYK</v>
      </c>
    </row>
    <row r="91" spans="4:6">
      <c r="D91" s="49" t="str">
        <f>IF(Flight!$A77=0,"",Flight!$A77)</f>
        <v>3A010</v>
      </c>
      <c r="F91" s="164" t="str">
        <f>IF(D91="","",VLOOKUP(D91,Flight!$A$68:$C$91,3,FALSE))</f>
        <v>ZYK</v>
      </c>
    </row>
    <row r="92" spans="4:6">
      <c r="D92" s="49" t="str">
        <f>IF(Flight!$A78=0,"",Flight!$A78)</f>
        <v/>
      </c>
      <c r="F92" s="164" t="str">
        <f>IF(D92="","",VLOOKUP(D92,Flight!$A$68:$C$91,3,FALSE))</f>
        <v/>
      </c>
    </row>
    <row r="93" spans="4:6">
      <c r="D93" s="49" t="str">
        <f>IF(Flight!$A80=0,"",Flight!$A80)</f>
        <v>8S7121</v>
      </c>
      <c r="F93" s="164" t="str">
        <f>IF(D93="","",VLOOKUP(D93,Flight!$A$68:$C$91,3,FALSE))</f>
        <v>HKM</v>
      </c>
    </row>
    <row r="94" spans="4:6">
      <c r="D94" s="49" t="str">
        <f>IF(Flight!$A81=0,"",Flight!$A81)</f>
        <v>8S7108</v>
      </c>
      <c r="F94" s="164" t="str">
        <f>IF(D94="","",VLOOKUP(D94,Flight!$A$68:$C$91,3,FALSE))</f>
        <v>ZYK</v>
      </c>
    </row>
    <row r="95" spans="4:6">
      <c r="D95" s="49" t="str">
        <f>IF(Flight!$A82=0,"",Flight!$A82)</f>
        <v>8S7111</v>
      </c>
      <c r="F95" s="164" t="str">
        <f>IF(D95="","",VLOOKUP(D95,Flight!$A$68:$C$91,3,FALSE))</f>
        <v>ZYK</v>
      </c>
    </row>
    <row r="96" spans="4:6">
      <c r="D96" s="49" t="str">
        <f>IF(Flight!$A83=0,"",Flight!$A83)</f>
        <v>8S7131</v>
      </c>
      <c r="F96" s="164" t="str">
        <f>IF(D96="","",VLOOKUP(D96,Flight!$A$68:$C$91,3,FALSE))</f>
        <v>?</v>
      </c>
    </row>
    <row r="97" spans="4:6">
      <c r="D97" s="49" t="str">
        <f>IF(Flight!$A84=0,"",Flight!$A84)</f>
        <v>8S7119</v>
      </c>
      <c r="F97" s="164" t="str">
        <f>IF(D97="","",VLOOKUP(D97,Flight!$A$68:$C$91,3,FALSE))</f>
        <v>HKM</v>
      </c>
    </row>
    <row r="98" spans="4:6">
      <c r="D98" s="49" t="str">
        <f>IF(Flight!$A85=0,"",Flight!$A85)</f>
        <v>8S7126</v>
      </c>
      <c r="F98" s="164" t="str">
        <f>IF(D98="","",VLOOKUP(D98,Flight!$A$68:$C$91,3,FALSE))</f>
        <v>HKM</v>
      </c>
    </row>
    <row r="99" spans="4:6">
      <c r="D99" s="49" t="str">
        <f>IF(Flight!$A86=0,"",Flight!$A86)</f>
        <v>8S7128</v>
      </c>
      <c r="F99" s="164" t="str">
        <f>IF(D99="","",VLOOKUP(D99,Flight!$A$68:$C$91,3,FALSE))</f>
        <v>HKM</v>
      </c>
    </row>
    <row r="100" spans="4:6">
      <c r="D100" s="49" t="str">
        <f>IF(Flight!$A87=0,"",Flight!$A87)</f>
        <v>3A8010</v>
      </c>
      <c r="F100" s="164" t="str">
        <f>IF(D100="","",VLOOKUP(D100,Flight!$A$68:$C$91,3,FALSE))</f>
        <v>HZI</v>
      </c>
    </row>
    <row r="101" spans="4:6">
      <c r="D101" s="49" t="str">
        <f>IF(Flight!$A88=0,"",Flight!$A88)</f>
        <v>3A8015</v>
      </c>
      <c r="F101" s="164" t="str">
        <f>IF(D101="","",VLOOKUP(D101,Flight!$A$68:$C$91,3,FALSE))</f>
        <v>?</v>
      </c>
    </row>
    <row r="102" spans="4:6">
      <c r="D102" s="49" t="str">
        <f>IF(Flight!$A89=0,"",Flight!$A89)</f>
        <v>3A8016</v>
      </c>
      <c r="F102" s="164" t="str">
        <f>IF(D102="","",VLOOKUP(D102,Flight!$A$68:$C$91,3,FALSE))</f>
        <v>HZI</v>
      </c>
    </row>
    <row r="103" spans="4:6">
      <c r="D103" s="49" t="str">
        <f>IF(Flight!$A91=0,"",Flight!$A91)</f>
        <v xml:space="preserve">Last </v>
      </c>
      <c r="F103" s="164" t="str">
        <f>IF(D103="","",VLOOKUP(D103,Flight!$A$68:$C$91,3,FALSE))</f>
        <v>↑</v>
      </c>
    </row>
    <row r="104" spans="4:6">
      <c r="D104" s="49" t="str">
        <f>IF(Flight!$A92=0,"",Flight!$A92)</f>
        <v/>
      </c>
      <c r="F104" s="164" t="str">
        <f>IF(D104="","",VLOOKUP(D104,Flight!$A$68:$C$91,3,FALSE))</f>
        <v/>
      </c>
    </row>
    <row r="105" spans="4:6">
      <c r="D105" s="186"/>
      <c r="F105" s="187"/>
    </row>
    <row r="106" spans="4:6">
      <c r="D106" s="406" t="str">
        <f>IF(Flight!$A$93=0,"",Flight!$A$93)</f>
        <v>Target Flight</v>
      </c>
      <c r="E106" s="406"/>
      <c r="F106" s="406"/>
    </row>
    <row r="107" spans="4:6">
      <c r="D107" s="27" t="s">
        <v>59</v>
      </c>
      <c r="E107" s="158"/>
      <c r="F107" s="10" t="s">
        <v>38</v>
      </c>
    </row>
    <row r="108" spans="4:6">
      <c r="D108" s="27" t="s">
        <v>89</v>
      </c>
      <c r="E108" s="158"/>
      <c r="F108" s="10" t="s">
        <v>38</v>
      </c>
    </row>
    <row r="109" spans="4:6">
      <c r="D109" s="27" t="s">
        <v>254</v>
      </c>
      <c r="E109" s="158"/>
      <c r="F109" s="10" t="s">
        <v>38</v>
      </c>
    </row>
    <row r="110" spans="4:6">
      <c r="D110" s="27" t="s">
        <v>57</v>
      </c>
      <c r="E110" s="158"/>
      <c r="F110" s="10" t="s">
        <v>58</v>
      </c>
    </row>
    <row r="111" spans="4:6">
      <c r="D111" s="27" t="s">
        <v>198</v>
      </c>
      <c r="E111" s="158"/>
      <c r="F111" s="10" t="s">
        <v>199</v>
      </c>
    </row>
    <row r="112" spans="4:6">
      <c r="D112" s="27" t="s">
        <v>55</v>
      </c>
      <c r="E112" s="158"/>
      <c r="F112" s="10" t="s">
        <v>54</v>
      </c>
    </row>
    <row r="113" spans="4:6">
      <c r="D113" s="27" t="s">
        <v>39</v>
      </c>
      <c r="E113" s="158"/>
      <c r="F113" s="10" t="s">
        <v>38</v>
      </c>
    </row>
    <row r="114" spans="4:6">
      <c r="D114" s="27" t="s">
        <v>200</v>
      </c>
      <c r="E114" s="158"/>
      <c r="F114" s="10" t="s">
        <v>54</v>
      </c>
    </row>
    <row r="115" spans="4:6">
      <c r="D115" s="27" t="s">
        <v>201</v>
      </c>
      <c r="E115" s="158"/>
      <c r="F115" s="10" t="s">
        <v>38</v>
      </c>
    </row>
    <row r="116" spans="4:6">
      <c r="D116" s="161" t="s">
        <v>538</v>
      </c>
      <c r="E116" s="158"/>
      <c r="F116" s="159" t="s">
        <v>566</v>
      </c>
    </row>
    <row r="117" spans="4:6">
      <c r="D117" s="161"/>
      <c r="E117" s="158"/>
      <c r="F117" s="159"/>
    </row>
  </sheetData>
  <mergeCells count="88">
    <mergeCell ref="D106:F106"/>
    <mergeCell ref="D82:F82"/>
    <mergeCell ref="K50:M50"/>
    <mergeCell ref="C51:E51"/>
    <mergeCell ref="G51:I51"/>
    <mergeCell ref="K51:M51"/>
    <mergeCell ref="D55:E55"/>
    <mergeCell ref="F55:G55"/>
    <mergeCell ref="H55:I55"/>
    <mergeCell ref="D52:I52"/>
    <mergeCell ref="K52:M52"/>
    <mergeCell ref="F53:I53"/>
    <mergeCell ref="A56:B56"/>
    <mergeCell ref="C56:E56"/>
    <mergeCell ref="H56:I56"/>
    <mergeCell ref="C57:H57"/>
    <mergeCell ref="I58:J58"/>
    <mergeCell ref="A54:B54"/>
    <mergeCell ref="C54:E54"/>
    <mergeCell ref="F54:G54"/>
    <mergeCell ref="H54:I54"/>
    <mergeCell ref="K54:M54"/>
    <mergeCell ref="A45:H45"/>
    <mergeCell ref="K53:M53"/>
    <mergeCell ref="A47:B47"/>
    <mergeCell ref="D47:E47"/>
    <mergeCell ref="G47:H47"/>
    <mergeCell ref="I47:J47"/>
    <mergeCell ref="A53:B53"/>
    <mergeCell ref="C53:E53"/>
    <mergeCell ref="D49:E49"/>
    <mergeCell ref="G49:H49"/>
    <mergeCell ref="I49:J49"/>
    <mergeCell ref="A48:B48"/>
    <mergeCell ref="D48:E48"/>
    <mergeCell ref="F6:F7"/>
    <mergeCell ref="G50:I50"/>
    <mergeCell ref="G48:H48"/>
    <mergeCell ref="I48:J48"/>
    <mergeCell ref="A50:B50"/>
    <mergeCell ref="C50:E50"/>
    <mergeCell ref="E41:F41"/>
    <mergeCell ref="J41:M41"/>
    <mergeCell ref="E40:F40"/>
    <mergeCell ref="J40:M40"/>
    <mergeCell ref="G6:G7"/>
    <mergeCell ref="K47:M47"/>
    <mergeCell ref="H6:H7"/>
    <mergeCell ref="K48:M48"/>
    <mergeCell ref="A44:F44"/>
    <mergeCell ref="I44:M45"/>
    <mergeCell ref="I6:I7"/>
    <mergeCell ref="J6:J7"/>
    <mergeCell ref="K6:M6"/>
    <mergeCell ref="A46:H46"/>
    <mergeCell ref="K39:M39"/>
    <mergeCell ref="F39:G39"/>
    <mergeCell ref="E17:F17"/>
    <mergeCell ref="E19:F19"/>
    <mergeCell ref="E31:F31"/>
    <mergeCell ref="K27:M27"/>
    <mergeCell ref="E35:F35"/>
    <mergeCell ref="K38:M38"/>
    <mergeCell ref="A6:A7"/>
    <mergeCell ref="B6:C6"/>
    <mergeCell ref="D6:D7"/>
    <mergeCell ref="E6:E7"/>
    <mergeCell ref="B3:C3"/>
    <mergeCell ref="D3:E3"/>
    <mergeCell ref="F3:G3"/>
    <mergeCell ref="H3:I3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D1:E1"/>
    <mergeCell ref="D2:E2"/>
    <mergeCell ref="G2:I2"/>
    <mergeCell ref="H5:I5"/>
    <mergeCell ref="J5:K5"/>
  </mergeCells>
  <phoneticPr fontId="2" type="noConversion"/>
  <conditionalFormatting sqref="E8:E30 H8:H43 E32:E40 E42:E43">
    <cfRule type="cellIs" dxfId="126" priority="8" operator="equal">
      <formula>""</formula>
    </cfRule>
  </conditionalFormatting>
  <conditionalFormatting sqref="F63:H80">
    <cfRule type="cellIs" dxfId="125" priority="7" operator="equal">
      <formula>"?"</formula>
    </cfRule>
  </conditionalFormatting>
  <conditionalFormatting sqref="D42:D115 D117:D1000">
    <cfRule type="duplicateValues" dxfId="124" priority="6"/>
  </conditionalFormatting>
  <conditionalFormatting sqref="D116">
    <cfRule type="duplicateValues" dxfId="123" priority="4"/>
  </conditionalFormatting>
  <conditionalFormatting sqref="D8:D41">
    <cfRule type="duplicateValues" dxfId="122" priority="138"/>
  </conditionalFormatting>
  <conditionalFormatting sqref="E31">
    <cfRule type="cellIs" dxfId="121" priority="3" operator="equal">
      <formula>""</formula>
    </cfRule>
  </conditionalFormatting>
  <conditionalFormatting sqref="E41">
    <cfRule type="cellIs" dxfId="120" priority="1" operator="equal">
      <formula>""</formula>
    </cfRule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>
          <x14:formula1>
            <xm:f>Staff!$B$15:$B$39</xm:f>
          </x14:formula1>
          <xm:sqref>D47:E47</xm:sqref>
        </x14:dataValidation>
        <x14:dataValidation type="list" errorStyle="warning" allowBlank="1" showInputMessage="1">
          <x14:formula1>
            <xm:f>Staff!$B$15:$B$39</xm:f>
          </x14:formula1>
          <xm:sqref>D48:E48</xm:sqref>
        </x14:dataValidation>
        <x14:dataValidation type="list" allowBlank="1" showInputMessage="1" showErrorMessage="1">
          <x14:formula1>
            <xm:f>Staff!$G$23:$G$52</xm:f>
          </x14:formula1>
          <xm:sqref>K50:M54</xm:sqref>
        </x14:dataValidation>
        <x14:dataValidation type="list" allowBlank="1" showInputMessage="1">
          <x14:formula1>
            <xm:f>Staff!$G$12:$G$52</xm:f>
          </x14:formula1>
          <xm:sqref>G50:I51</xm:sqref>
        </x14:dataValidation>
        <x14:dataValidation type="list" allowBlank="1" showInputMessage="1">
          <x14:formula1>
            <xm:f>Staff!$G$2:$G$9</xm:f>
          </x14:formula1>
          <xm:sqref>K47:M48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topLeftCell="A3" zoomScale="70" zoomScaleNormal="100" zoomScaleSheetLayoutView="70" workbookViewId="0">
      <selection activeCell="E18" sqref="E18:G18"/>
    </sheetView>
  </sheetViews>
  <sheetFormatPr defaultRowHeight="15.75"/>
  <cols>
    <col min="1" max="1" width="9.125" style="211" customWidth="1"/>
    <col min="2" max="2" width="10.25" style="211" customWidth="1"/>
    <col min="3" max="3" width="9.75" style="211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02" customWidth="1"/>
    <col min="9" max="9" width="9" style="54" customWidth="1"/>
    <col min="10" max="10" width="9.125" style="54" customWidth="1"/>
    <col min="11" max="13" width="9.125" style="211" customWidth="1"/>
    <col min="14" max="14" width="9" style="211"/>
    <col min="15" max="15" width="10.75" style="112" bestFit="1" customWidth="1"/>
    <col min="16" max="16" width="12.25" style="211" bestFit="1" customWidth="1"/>
    <col min="17" max="16384" width="9" style="211"/>
  </cols>
  <sheetData>
    <row r="1" spans="1:16">
      <c r="A1" s="201"/>
      <c r="B1" s="201"/>
      <c r="C1" s="108" t="s">
        <v>20</v>
      </c>
      <c r="D1" s="355">
        <v>45753</v>
      </c>
      <c r="E1" s="355"/>
      <c r="F1" s="203" t="s">
        <v>23</v>
      </c>
      <c r="G1" s="110">
        <f>D1</f>
        <v>45753</v>
      </c>
      <c r="H1" s="210" t="s">
        <v>24</v>
      </c>
      <c r="I1" s="206"/>
      <c r="J1" s="206"/>
      <c r="K1" s="201"/>
      <c r="L1" s="201"/>
      <c r="M1" s="47"/>
    </row>
    <row r="2" spans="1:16" ht="17.25" customHeight="1" thickBot="1">
      <c r="A2" s="201"/>
      <c r="B2" s="201"/>
      <c r="C2" s="201"/>
      <c r="D2" s="356"/>
      <c r="E2" s="356"/>
      <c r="F2" s="206"/>
      <c r="G2" s="357"/>
      <c r="H2" s="357"/>
      <c r="I2" s="357"/>
      <c r="J2" s="206"/>
      <c r="K2" s="201"/>
      <c r="L2" s="201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S4(5)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S5(5)  &lt;S6(5)&gt; 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 xml:space="preserve">S7(4) 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S8(5)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S9(3) S10(5)  &lt;S11(4)&gt; 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S12(5) </v>
      </c>
      <c r="M4" s="444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08" t="s">
        <v>52</v>
      </c>
      <c r="C7" s="208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s="307" customFormat="1" ht="16.5" customHeight="1">
      <c r="A8" s="251" t="s">
        <v>464</v>
      </c>
      <c r="B8" s="251" t="s">
        <v>464</v>
      </c>
      <c r="C8" s="251" t="s">
        <v>87</v>
      </c>
      <c r="D8" s="311" t="s">
        <v>623</v>
      </c>
      <c r="E8" s="432" t="s">
        <v>822</v>
      </c>
      <c r="F8" s="419"/>
      <c r="G8" s="291" t="str">
        <f>IF(A8="@",IF(H8="ZYK","Berth 3",IF(H8="HKM","Bay 7","")),"")</f>
        <v/>
      </c>
      <c r="H8" s="254" t="str">
        <f>IF($D8&gt;0,VLOOKUP($D8,Flight!$A$1:$E$91,3,FALSE),"")</f>
        <v>BKK</v>
      </c>
      <c r="I8" s="254" t="str">
        <f>IF($D8&gt;0,IF(VLOOKUP($D8,Flight!$A$1:$E$91,4,FALSE)&gt;1,VLOOKUP($D8,Flight!$A$1:$E91,4,FALSE),""),"")</f>
        <v/>
      </c>
      <c r="J8" s="254" t="str">
        <f>IF($D8&gt;0,IF(VLOOKUP($D8,Flight!$A$1:$E$91,5,FALSE)&gt;1,VLOOKUP($D8,Flight!$A$1:$E$91,5,FALSE),""),"")</f>
        <v/>
      </c>
      <c r="K8" s="292" t="s">
        <v>811</v>
      </c>
      <c r="L8" s="292"/>
      <c r="M8" s="292"/>
      <c r="N8" s="312"/>
      <c r="O8" s="308"/>
    </row>
    <row r="9" spans="1:16" s="260" customFormat="1" ht="16.5" customHeight="1">
      <c r="A9" s="9">
        <f>IF($A7="S/N",1,IF($F9="Wavied","-",IF($D9=0,"",ROW($A9)-ROW($A$7)-COUNTIF($A$7:$A$8,"@")-COUNTIF($A$7:$A$8,"-"))))</f>
        <v>1</v>
      </c>
      <c r="B9" s="9" t="str">
        <f t="shared" ref="B9:B11" si="0">IF($E9&lt;&gt;"",IF($E9-715&lt;0,VLOOKUP($B$3,$E$62:$J$73,6,FALSE),IF(AND($E9-2130&gt;0,_xlfn.IFNA(MATCH($D9,$D$106:$D$116,0)&lt;20,"")=TRUE),VLOOKUP($L$3,$E$62:$J$73,6,FALSE),"-")),"")</f>
        <v>S4</v>
      </c>
      <c r="C9" s="9" t="s">
        <v>633</v>
      </c>
      <c r="D9" s="165" t="s">
        <v>624</v>
      </c>
      <c r="E9" s="172" t="str">
        <f>IF($D9&gt;0,VLOOKUP($D9,Flight!$A$1:$E$91,2,FALSE),"")</f>
        <v>0545</v>
      </c>
      <c r="F9" s="43"/>
      <c r="G9" s="43"/>
      <c r="H9" s="44" t="str">
        <f>IF($D9&gt;0,VLOOKUP($D9,Flight!$A$1:$E$91,3,FALSE),"")</f>
        <v>CGK</v>
      </c>
      <c r="I9" s="44"/>
      <c r="J9" s="44"/>
      <c r="K9" s="166" t="str">
        <f t="shared" ref="K9:K39" si="1">IF($D9=0,"",IF(OR(ISNUMBER(SEARCH("S",$B9)),_xlfn.IFNA(MATCH($D9,$D$106:$D$116,0)&lt;20,"")=TRUE),"&lt;   Hall Operation   &gt;",""))</f>
        <v>&lt;   Hall Operation   &gt;</v>
      </c>
      <c r="L9" s="166"/>
      <c r="M9" s="166"/>
      <c r="N9" s="173"/>
      <c r="O9" s="112"/>
    </row>
    <row r="10" spans="1:16" s="260" customFormat="1" ht="16.5" customHeight="1">
      <c r="A10" s="9">
        <f t="shared" ref="A10:A11" si="2">IF($A8="S/N",1,IF($F10="Wavied","-",IF($D10=0,"",ROW($A10)-ROW($A$7)-COUNTIF($A$7:$A$8,"@")-COUNTIF($A$7:$A$8,"-"))))</f>
        <v>2</v>
      </c>
      <c r="B10" s="9" t="str">
        <f t="shared" si="0"/>
        <v>S4</v>
      </c>
      <c r="C10" s="9" t="s">
        <v>633</v>
      </c>
      <c r="D10" s="165" t="s">
        <v>625</v>
      </c>
      <c r="E10" s="172" t="str">
        <f>IF($D10&gt;0,VLOOKUP($D10,Flight!$A$1:$E$91,2,FALSE),"")</f>
        <v>0555</v>
      </c>
      <c r="F10" s="43"/>
      <c r="G10" s="43"/>
      <c r="H10" s="44" t="str">
        <f>IF($D10&gt;0,VLOOKUP($D10,Flight!$A$1:$E$91,3,FALSE),"")</f>
        <v>BKK</v>
      </c>
      <c r="I10" s="44"/>
      <c r="J10" s="44"/>
      <c r="K10" s="166" t="str">
        <f t="shared" si="1"/>
        <v>&lt;   Hall Operation   &gt;</v>
      </c>
      <c r="L10" s="166"/>
      <c r="M10" s="166"/>
      <c r="N10" s="173"/>
      <c r="O10" s="112"/>
    </row>
    <row r="11" spans="1:16" ht="16.5" customHeight="1">
      <c r="A11" s="9">
        <f t="shared" si="2"/>
        <v>3</v>
      </c>
      <c r="B11" s="9" t="str">
        <f t="shared" si="0"/>
        <v>S4</v>
      </c>
      <c r="C11" s="9" t="str">
        <f>IF($E11&lt;&gt;"",IF(ISNUMBER(SEARCH("Hall Operation",$K11)),"-",IF($E11-715&lt;0,VLOOKUP($B$3,$E$62:$J$73,6,FALSE),IF($E11-2129&gt;0,VLOOKUP($L$3,$E$62:$J$73,6,FALSE),""))),"")</f>
        <v>-</v>
      </c>
      <c r="D11" s="216" t="s">
        <v>89</v>
      </c>
      <c r="E11" s="172" t="str">
        <f>IF($D11&gt;0,VLOOKUP($D11,Flight!$A$1:$E$91,2,FALSE),"")</f>
        <v>0615</v>
      </c>
      <c r="F11" s="45"/>
      <c r="G11" s="43" t="str">
        <f t="shared" ref="G11:G42" si="3">IF(A11="@",IF(H11="ZYK","Berth 3",IF(H11="HKM","Bay 7","")),"")</f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IF($D11&gt;0,IF(VLOOKUP($D11,Flight!$A$1:$E$91,4,FALSE)&gt;1,VLOOKUP($D11,Flight!$A$1:$E92,4,FALSE),""),"")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1"/>
        <v>&lt;   Hall Operation   &gt;</v>
      </c>
      <c r="L11" s="166"/>
      <c r="M11" s="166"/>
    </row>
    <row r="12" spans="1:16" s="313" customFormat="1">
      <c r="A12" s="270" t="s">
        <v>464</v>
      </c>
      <c r="B12" s="270" t="s">
        <v>464</v>
      </c>
      <c r="C12" s="270" t="s">
        <v>87</v>
      </c>
      <c r="D12" s="271" t="s">
        <v>365</v>
      </c>
      <c r="E12" s="442" t="s">
        <v>822</v>
      </c>
      <c r="F12" s="443"/>
      <c r="G12" s="305" t="str">
        <f t="shared" si="3"/>
        <v/>
      </c>
      <c r="H12" s="273" t="str">
        <f>IF($D12&gt;0,VLOOKUP($D12,Flight!$A$1:$E$91,3,FALSE),"")</f>
        <v>DEL</v>
      </c>
      <c r="I12" s="273" t="str">
        <f>IF($D12&gt;0,IF(VLOOKUP($D12,Flight!$A$1:$E$91,4,FALSE)&gt;1,VLOOKUP($D12,Flight!$A$1:$E93,4,FALSE),""),"")</f>
        <v/>
      </c>
      <c r="J12" s="273" t="str">
        <f>IF($D12&gt;0,IF(VLOOKUP($D12,Flight!$A$1:$E$91,5,FALSE)&gt;1,VLOOKUP($D12,Flight!$A$1:$E$91,5,FALSE),""),"")</f>
        <v/>
      </c>
      <c r="K12" s="294" t="s">
        <v>811</v>
      </c>
      <c r="L12" s="294"/>
      <c r="M12" s="294"/>
      <c r="O12" s="314"/>
    </row>
    <row r="13" spans="1:16" s="313" customFormat="1">
      <c r="A13" s="270" t="s">
        <v>464</v>
      </c>
      <c r="B13" s="270" t="s">
        <v>464</v>
      </c>
      <c r="C13" s="270" t="s">
        <v>87</v>
      </c>
      <c r="D13" s="271" t="s">
        <v>626</v>
      </c>
      <c r="E13" s="442" t="s">
        <v>822</v>
      </c>
      <c r="F13" s="443"/>
      <c r="G13" s="305" t="str">
        <f t="shared" si="3"/>
        <v/>
      </c>
      <c r="H13" s="273" t="str">
        <f>IF($D13&gt;0,VLOOKUP($D13,Flight!$A$1:$E$91,3,FALSE),"")</f>
        <v>BOM</v>
      </c>
      <c r="I13" s="273" t="str">
        <f>IF($D13&gt;0,IF(VLOOKUP($D13,Flight!$A$1:$E$91,4,FALSE)&gt;1,VLOOKUP($D13,Flight!$A$1:$E94,4,FALSE),""),"")</f>
        <v/>
      </c>
      <c r="J13" s="273" t="str">
        <f>IF($D13&gt;0,IF(VLOOKUP($D13,Flight!$A$1:$E$91,5,FALSE)&gt;1,VLOOKUP($D13,Flight!$A$1:$E$91,5,FALSE),""),"")</f>
        <v/>
      </c>
      <c r="K13" s="294" t="s">
        <v>811</v>
      </c>
      <c r="L13" s="294"/>
      <c r="M13" s="294"/>
      <c r="O13" s="314"/>
    </row>
    <row r="14" spans="1:16">
      <c r="A14" s="270" t="s">
        <v>464</v>
      </c>
      <c r="B14" s="270" t="s">
        <v>634</v>
      </c>
      <c r="C14" s="270" t="s">
        <v>633</v>
      </c>
      <c r="D14" s="271" t="s">
        <v>39</v>
      </c>
      <c r="E14" s="318" t="s">
        <v>879</v>
      </c>
      <c r="F14" s="439" t="s">
        <v>822</v>
      </c>
      <c r="G14" s="440"/>
      <c r="H14" s="273" t="str">
        <f>IF($D14&gt;0,VLOOKUP($D14,Flight!$A$1:$E$91,3,FALSE),"")</f>
        <v>DEL</v>
      </c>
      <c r="I14" s="273" t="str">
        <f>IF($D14&gt;0,IF(VLOOKUP($D14,Flight!$A$1:$E$91,4,FALSE)&gt;1,VLOOKUP($D14,Flight!$A$1:$E95,4,FALSE),""),"")</f>
        <v/>
      </c>
      <c r="J14" s="273" t="str">
        <f>IF($D14&gt;0,IF(VLOOKUP($D14,Flight!$A$1:$E$91,5,FALSE)&gt;1,VLOOKUP($D14,Flight!$A$1:$E$91,5,FALSE),""),"")</f>
        <v/>
      </c>
      <c r="K14" s="294" t="s">
        <v>811</v>
      </c>
      <c r="L14" s="294"/>
      <c r="M14" s="294"/>
    </row>
    <row r="15" spans="1:16">
      <c r="A15" s="270" t="s">
        <v>464</v>
      </c>
      <c r="B15" s="270" t="s">
        <v>876</v>
      </c>
      <c r="C15" s="270"/>
      <c r="D15" s="271" t="s">
        <v>627</v>
      </c>
      <c r="E15" s="442" t="s">
        <v>822</v>
      </c>
      <c r="F15" s="443"/>
      <c r="G15" s="305" t="str">
        <f t="shared" si="3"/>
        <v/>
      </c>
      <c r="H15" s="273" t="str">
        <f>IF($D15&gt;0,VLOOKUP($D15,Flight!$A$1:$E$91,3,FALSE),"")</f>
        <v>HYD</v>
      </c>
      <c r="I15" s="273" t="str">
        <f>IF($D15&gt;0,IF(VLOOKUP($D15,Flight!$A$1:$E$91,4,FALSE)&gt;1,VLOOKUP($D15,Flight!$A$1:$E96,4,FALSE),""),"")</f>
        <v/>
      </c>
      <c r="J15" s="319"/>
      <c r="K15" s="441" t="s">
        <v>875</v>
      </c>
      <c r="L15" s="436"/>
      <c r="M15" s="437"/>
      <c r="P15" s="87"/>
    </row>
    <row r="16" spans="1:16">
      <c r="A16" s="270" t="s">
        <v>464</v>
      </c>
      <c r="B16" s="270" t="s">
        <v>876</v>
      </c>
      <c r="C16" s="270"/>
      <c r="D16" s="271" t="s">
        <v>628</v>
      </c>
      <c r="E16" s="442" t="s">
        <v>877</v>
      </c>
      <c r="F16" s="443"/>
      <c r="G16" s="305" t="str">
        <f t="shared" si="3"/>
        <v/>
      </c>
      <c r="H16" s="273" t="str">
        <f>IF($D16&gt;0,VLOOKUP($D16,Flight!$A$1:$E$91,3,FALSE),"")</f>
        <v>BLR</v>
      </c>
      <c r="I16" s="273" t="str">
        <f>IF($D16&gt;0,IF(VLOOKUP($D16,Flight!$A$1:$E$91,4,FALSE)&gt;1,VLOOKUP($D16,Flight!$A$1:$E97,4,FALSE),""),"")</f>
        <v/>
      </c>
      <c r="J16" s="319"/>
      <c r="K16" s="441" t="s">
        <v>875</v>
      </c>
      <c r="L16" s="436"/>
      <c r="M16" s="437"/>
    </row>
    <row r="17" spans="1:15">
      <c r="A17" s="270" t="s">
        <v>464</v>
      </c>
      <c r="B17" s="270" t="s">
        <v>636</v>
      </c>
      <c r="C17" s="270" t="str">
        <f>IF($E17&lt;&gt;"",IF(ISNUMBER(SEARCH("Hall Operation",$K17)),"-",IF($E17-715&lt;0,VLOOKUP($B$3,$E$62:$J$73,6,FALSE),IF($E17-2129&gt;0,VLOOKUP($L$3,$E$62:$J$73,6,FALSE),""))),"")</f>
        <v/>
      </c>
      <c r="D17" s="271" t="s">
        <v>198</v>
      </c>
      <c r="E17" s="272" t="str">
        <f>IF($D17&gt;0,VLOOKUP($D17,Flight!$A$1:$E$91,2,FALSE),"")</f>
        <v>0950</v>
      </c>
      <c r="F17" s="439" t="s">
        <v>822</v>
      </c>
      <c r="G17" s="440"/>
      <c r="H17" s="273" t="str">
        <f>IF($D17&gt;0,VLOOKUP($D17,Flight!$A$1:$E$91,3,FALSE),"")</f>
        <v>MAA</v>
      </c>
      <c r="I17" s="273" t="str">
        <f>IF($D17&gt;0,IF(VLOOKUP($D17,Flight!$A$1:$E$91,4,FALSE)&gt;1,VLOOKUP($D17,Flight!$A$1:$E101,4,FALSE),""),"")</f>
        <v/>
      </c>
      <c r="J17" s="273" t="str">
        <f>IF($D17&gt;0,IF(VLOOKUP($D17,Flight!$A$1:$E$91,5,FALSE)&gt;1,VLOOKUP($D17,Flight!$A$1:$E$91,5,FALSE),""),"")</f>
        <v/>
      </c>
      <c r="K17" s="441" t="s">
        <v>875</v>
      </c>
      <c r="L17" s="436"/>
      <c r="M17" s="437"/>
      <c r="O17" s="114"/>
    </row>
    <row r="18" spans="1:15">
      <c r="A18" s="270" t="s">
        <v>464</v>
      </c>
      <c r="B18" s="270" t="s">
        <v>636</v>
      </c>
      <c r="C18" s="270" t="str">
        <f>IF($E18&lt;&gt;"",IF(ISNUMBER(SEARCH("Hall Operation",$K18)),"-",IF($E18-715&lt;0,VLOOKUP($B$3,$E$62:$J$73,6,FALSE),IF($E18-2129&gt;0,VLOOKUP($L$3,$E$62:$J$73,6,FALSE),""))),"")</f>
        <v/>
      </c>
      <c r="D18" s="271" t="s">
        <v>55</v>
      </c>
      <c r="E18" s="272" t="str">
        <f>IF($D18&gt;0,VLOOKUP($D18,Flight!$A$1:$E$91,2,FALSE),"")</f>
        <v>0955</v>
      </c>
      <c r="F18" s="439" t="s">
        <v>822</v>
      </c>
      <c r="G18" s="440"/>
      <c r="H18" s="273" t="str">
        <f>IF($D18&gt;0,VLOOKUP($D18,Flight!$A$1:$E$91,3,FALSE),"")</f>
        <v>BOM</v>
      </c>
      <c r="I18" s="273" t="str">
        <f>IF($D18&gt;0,IF(VLOOKUP($D18,Flight!$A$1:$E$91,4,FALSE)&gt;1,VLOOKUP($D18,Flight!$A$1:$E102,4,FALSE),""),"")</f>
        <v/>
      </c>
      <c r="J18" s="273" t="str">
        <f>IF($D18&gt;0,IF(VLOOKUP($D18,Flight!$A$1:$E$91,5,FALSE)&gt;1,VLOOKUP($D18,Flight!$A$1:$E$91,5,FALSE),""),"")</f>
        <v/>
      </c>
      <c r="K18" s="441" t="s">
        <v>875</v>
      </c>
      <c r="L18" s="436"/>
      <c r="M18" s="437"/>
      <c r="O18" s="114"/>
    </row>
    <row r="19" spans="1:15" ht="16.5" customHeight="1">
      <c r="A19" s="9">
        <v>4</v>
      </c>
      <c r="B19" s="9" t="s">
        <v>634</v>
      </c>
      <c r="C19" s="9" t="s">
        <v>878</v>
      </c>
      <c r="D19" s="27" t="s">
        <v>372</v>
      </c>
      <c r="E19" s="172" t="str">
        <f>IF($D19&gt;0,VLOOKUP($D19,Flight!$A$1:$E$91,2,FALSE),"")</f>
        <v>1000</v>
      </c>
      <c r="F19" s="45"/>
      <c r="G19" s="43" t="str">
        <f t="shared" si="3"/>
        <v/>
      </c>
      <c r="H19" s="44" t="str">
        <f>IF($D19&gt;0,VLOOKUP($D19,Flight!$A$1:$E$91,3,FALSE),"")</f>
        <v>DMK</v>
      </c>
      <c r="I19" s="44" t="str">
        <f>IF($D19&gt;0,IF(VLOOKUP($D19,Flight!$A$1:$E$91,4,FALSE)&gt;1,VLOOKUP($D19,Flight!$A$1:$E103,4,FALSE),""),"")</f>
        <v/>
      </c>
      <c r="J19" s="44" t="str">
        <f>IF($D19&gt;0,IF(VLOOKUP($D19,Flight!$A$1:$E$91,5,FALSE)&gt;1,VLOOKUP($D19,Flight!$A$1:$E$91,5,FALSE),""),"")</f>
        <v/>
      </c>
      <c r="K19" s="166" t="str">
        <f>IF($D19=0,"",IF(OR(ISNUMBER(SEARCH("S",B19)),_xlfn.IFNA(MATCH($D19,$D$106:$D$116,0)&lt;20,"")=TRUE),"&lt;   Hall Operation   &gt;",""))</f>
        <v>&lt;   Hall Operation   &gt;</v>
      </c>
      <c r="L19" s="166"/>
      <c r="M19" s="166"/>
      <c r="O19" s="114"/>
    </row>
    <row r="20" spans="1:15" s="307" customFormat="1">
      <c r="A20" s="270" t="s">
        <v>464</v>
      </c>
      <c r="B20" s="251" t="str">
        <f t="shared" ref="B20:B24" si="4">IF($E20&lt;&gt;"",IF($E20-715&lt;0,VLOOKUP($B$3,$E$62:$J$73,6,FALSE),IF(AND($E20-2130&gt;0,_xlfn.IFNA(MATCH($D20,$D$106:$D$116,0)&lt;20,"")=TRUE),VLOOKUP($L$3,$E$62:$J$73,6,FALSE),"-")),"")</f>
        <v>-</v>
      </c>
      <c r="C20" s="251" t="s">
        <v>634</v>
      </c>
      <c r="D20" s="252" t="s">
        <v>373</v>
      </c>
      <c r="E20" s="253" t="str">
        <f>IF($D20&gt;0,VLOOKUP($D20,Flight!$A$1:$E$91,2,FALSE),"")</f>
        <v>1010</v>
      </c>
      <c r="F20" s="447" t="s">
        <v>822</v>
      </c>
      <c r="G20" s="448"/>
      <c r="H20" s="254" t="str">
        <f>IF($D20&gt;0,VLOOKUP($D20,Flight!$A$1:$E$91,3,FALSE),"")</f>
        <v>MNL</v>
      </c>
      <c r="I20" s="254" t="str">
        <f>IF($D20&gt;0,IF(VLOOKUP($D20,Flight!$A$1:$E$91,4,FALSE)&gt;1,VLOOKUP($D20,Flight!$A$1:$E104,4,FALSE),""),"")</f>
        <v/>
      </c>
      <c r="J20" s="254" t="str">
        <f>IF($D20&gt;0,IF(VLOOKUP($D20,Flight!$A$1:$E$91,5,FALSE)&gt;1,VLOOKUP($D20,Flight!$A$1:$E$91,5,FALSE),""),"")</f>
        <v/>
      </c>
      <c r="K20" s="431" t="s">
        <v>875</v>
      </c>
      <c r="L20" s="402"/>
      <c r="M20" s="403"/>
      <c r="O20" s="315"/>
    </row>
    <row r="21" spans="1:15">
      <c r="A21" s="9">
        <v>5</v>
      </c>
      <c r="B21" s="9" t="s">
        <v>885</v>
      </c>
      <c r="C21" s="9"/>
      <c r="D21" s="27" t="s">
        <v>374</v>
      </c>
      <c r="E21" s="172" t="str">
        <f>IF($D21&gt;0,VLOOKUP($D21,Flight!$A$1:$E$91,2,FALSE),"")</f>
        <v>1115</v>
      </c>
      <c r="F21" s="44"/>
      <c r="G21" s="43" t="str">
        <f t="shared" si="3"/>
        <v/>
      </c>
      <c r="H21" s="44" t="str">
        <f>IF($D21&gt;0,VLOOKUP($D21,Flight!$A$1:$E$91,3,FALSE),"")</f>
        <v>KUL</v>
      </c>
      <c r="I21" s="44" t="str">
        <f>IF($D21&gt;0,IF(VLOOKUP($D21,Flight!$A$1:$E$91,4,FALSE)&gt;1,VLOOKUP($D21,Flight!$A$1:$E105,4,FALSE),""),"")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1"/>
        <v>&lt;   Hall Operation   &gt;</v>
      </c>
      <c r="L21" s="166"/>
      <c r="M21" s="166"/>
      <c r="O21" s="114"/>
    </row>
    <row r="22" spans="1:15">
      <c r="A22" s="9">
        <v>6</v>
      </c>
      <c r="B22" s="9" t="str">
        <f t="shared" si="4"/>
        <v>-</v>
      </c>
      <c r="C22" s="9" t="s">
        <v>635</v>
      </c>
      <c r="D22" s="27" t="s">
        <v>375</v>
      </c>
      <c r="E22" s="172" t="str">
        <f>IF($D22&gt;0,VLOOKUP($D22,Flight!$A$1:$E$91,2,FALSE),"")</f>
        <v>1145</v>
      </c>
      <c r="F22" s="44">
        <v>1154</v>
      </c>
      <c r="G22" s="43" t="s">
        <v>881</v>
      </c>
      <c r="H22" s="44" t="str">
        <f>IF($D22&gt;0,VLOOKUP($D22,Flight!$A$1:$E$91,3,FALSE),"")</f>
        <v>BKK</v>
      </c>
      <c r="I22" s="44" t="str">
        <f>IF($D22&gt;0,IF(VLOOKUP($D22,Flight!$A$1:$E$91,4,FALSE)&gt;1,VLOOKUP($D22,Flight!$A$1:$E106,4,FALSE),""),"")</f>
        <v/>
      </c>
      <c r="J22" s="44" t="str">
        <f>IF($D22&gt;0,IF(VLOOKUP($D22,Flight!$A$1:$E$91,5,FALSE)&gt;1,VLOOKUP($D22,Flight!$A$1:$E$91,5,FALSE),""),"")</f>
        <v/>
      </c>
      <c r="K22" s="166">
        <v>1</v>
      </c>
      <c r="L22" s="166">
        <v>1</v>
      </c>
      <c r="M22" s="166">
        <v>3</v>
      </c>
      <c r="O22" s="114"/>
    </row>
    <row r="23" spans="1:15" s="316" customFormat="1">
      <c r="A23" s="9">
        <v>7</v>
      </c>
      <c r="B23" s="9" t="str">
        <f t="shared" si="4"/>
        <v>-</v>
      </c>
      <c r="C23" s="9" t="s">
        <v>636</v>
      </c>
      <c r="D23" s="27" t="s">
        <v>629</v>
      </c>
      <c r="E23" s="172" t="str">
        <f>IF($D23&gt;0,VLOOKUP($D23,Flight!$A$1:$E$91,2,FALSE),"")</f>
        <v>1210</v>
      </c>
      <c r="F23" s="317">
        <v>1200</v>
      </c>
      <c r="G23" s="45" t="s">
        <v>880</v>
      </c>
      <c r="H23" s="44" t="str">
        <f>IF($D23&gt;0,VLOOKUP($D23,Flight!$A$1:$E$91,3,FALSE),"")</f>
        <v>BKK</v>
      </c>
      <c r="I23" s="44"/>
      <c r="J23" s="44"/>
      <c r="K23" s="44">
        <v>0</v>
      </c>
      <c r="L23" s="44">
        <v>1</v>
      </c>
      <c r="M23" s="44">
        <v>3</v>
      </c>
      <c r="O23" s="114"/>
    </row>
    <row r="24" spans="1:15" ht="15.75" customHeight="1">
      <c r="A24" s="9">
        <v>8</v>
      </c>
      <c r="B24" s="9" t="str">
        <f t="shared" si="4"/>
        <v>-</v>
      </c>
      <c r="C24" s="9" t="s">
        <v>634</v>
      </c>
      <c r="D24" s="9" t="s">
        <v>376</v>
      </c>
      <c r="E24" s="172" t="str">
        <f>IF($D24&gt;0,VLOOKUP($D24,Flight!$A$1:$E$91,2,FALSE),"")</f>
        <v>1305</v>
      </c>
      <c r="F24" s="45">
        <v>1249</v>
      </c>
      <c r="G24" s="43" t="s">
        <v>882</v>
      </c>
      <c r="H24" s="44" t="str">
        <f>IF($D24&gt;0,VLOOKUP($D24,Flight!$A$1:$E$91,3,FALSE),"")</f>
        <v>DMK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>
        <v>1</v>
      </c>
      <c r="L24" s="166">
        <v>1</v>
      </c>
      <c r="M24" s="166">
        <v>2</v>
      </c>
      <c r="O24" s="114"/>
    </row>
    <row r="25" spans="1:15">
      <c r="A25" s="9">
        <v>9</v>
      </c>
      <c r="B25" s="9" t="s">
        <v>635</v>
      </c>
      <c r="C25" s="9" t="str">
        <f>IF($E25&lt;&gt;"",IF(ISNUMBER(SEARCH("Hall Operation",$K25)),"-",IF($E25-715&lt;0,VLOOKUP($B$3,$E$62:$J$73,6,FALSE),IF($E25-2129&gt;0,VLOOKUP($L$3,$E$62:$J$73,6,FALSE),""))),"")</f>
        <v>-</v>
      </c>
      <c r="D25" s="214" t="s">
        <v>377</v>
      </c>
      <c r="E25" s="172" t="str">
        <f>IF($D25&gt;0,VLOOKUP($D25,Flight!$A$1:$E$91,2,FALSE),"")</f>
        <v>1310</v>
      </c>
      <c r="F25" s="45"/>
      <c r="G25" s="43" t="str">
        <f t="shared" si="3"/>
        <v/>
      </c>
      <c r="H25" s="44" t="str">
        <f>IF($D25&gt;0,VLOOKUP($D25,Flight!$A$1:$E$91,3,FALSE),"")</f>
        <v>DEL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1"/>
        <v>&lt;   Hall Operation   &gt;</v>
      </c>
      <c r="L25" s="166"/>
      <c r="M25" s="166"/>
      <c r="O25" s="114"/>
    </row>
    <row r="26" spans="1:15">
      <c r="A26" s="9">
        <v>10</v>
      </c>
      <c r="B26" s="9" t="s">
        <v>883</v>
      </c>
      <c r="C26" s="9" t="s">
        <v>464</v>
      </c>
      <c r="D26" s="27" t="s">
        <v>378</v>
      </c>
      <c r="E26" s="172" t="str">
        <f>IF($D26&gt;0,VLOOKUP($D26,Flight!$A$1:$E$91,2,FALSE),"")</f>
        <v>1415</v>
      </c>
      <c r="F26" s="44">
        <v>1604</v>
      </c>
      <c r="G26" s="43" t="str">
        <f t="shared" si="3"/>
        <v/>
      </c>
      <c r="H26" s="44" t="str">
        <f>IF($D26&gt;0,VLOOKUP($D26,Flight!$A$1:$E$91,3,FALSE),"")</f>
        <v>KUL</v>
      </c>
      <c r="I26" s="44" t="str">
        <f>IF($D26&gt;0,IF(VLOOKUP($D26,Flight!$A$1:$E$91,4,FALSE)&gt;1,VLOOKUP($D26,Flight!$A$1:$E109,4,FALSE),""),"")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1"/>
        <v>&lt;   Hall Operation   &gt;</v>
      </c>
      <c r="L26" s="166"/>
      <c r="M26" s="166"/>
      <c r="O26" s="114"/>
    </row>
    <row r="27" spans="1:15">
      <c r="A27" s="9">
        <v>11</v>
      </c>
      <c r="B27" s="9" t="s">
        <v>885</v>
      </c>
      <c r="C27" s="9" t="s">
        <v>464</v>
      </c>
      <c r="D27" s="27" t="s">
        <v>379</v>
      </c>
      <c r="E27" s="172" t="str">
        <f>IF($D27&gt;0,VLOOKUP($D27,Flight!$A$1:$E$91,2,FALSE),"")</f>
        <v>1420</v>
      </c>
      <c r="F27" s="45"/>
      <c r="G27" s="43" t="str">
        <f t="shared" si="3"/>
        <v/>
      </c>
      <c r="H27" s="44" t="str">
        <f>IF($D27&gt;0,VLOOKUP($D27,Flight!$A$1:$E$91,3,FALSE),"")</f>
        <v>BKK</v>
      </c>
      <c r="I27" s="44" t="str">
        <f>IF($D27&gt;0,IF(VLOOKUP($D27,Flight!$A$1:$E$91,4,FALSE)&gt;1,VLOOKUP($D27,Flight!$A$1:$E110,4,FALSE),""),"")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1"/>
        <v>&lt;   Hall Operation   &gt;</v>
      </c>
      <c r="L27" s="166"/>
      <c r="M27" s="166"/>
      <c r="O27" s="114"/>
    </row>
    <row r="28" spans="1:15" s="260" customFormat="1">
      <c r="A28" s="9">
        <v>12</v>
      </c>
      <c r="B28" s="9" t="s">
        <v>165</v>
      </c>
      <c r="C28" s="9" t="s">
        <v>464</v>
      </c>
      <c r="D28" s="27" t="s">
        <v>630</v>
      </c>
      <c r="E28" s="172" t="str">
        <f>IF($D28&gt;0,VLOOKUP($D28,Flight!$A$1:$E$91,2,FALSE),"")</f>
        <v>1450</v>
      </c>
      <c r="F28" s="45"/>
      <c r="G28" s="43"/>
      <c r="H28" s="44" t="str">
        <f>IF($D28&gt;0,VLOOKUP($D28,Flight!$A$1:$E$91,3,FALSE),"")</f>
        <v>BKK</v>
      </c>
      <c r="I28" s="44"/>
      <c r="J28" s="44"/>
      <c r="K28" s="166" t="str">
        <f t="shared" si="1"/>
        <v>&lt;   Hall Operation   &gt;</v>
      </c>
      <c r="L28" s="166"/>
      <c r="M28" s="166"/>
      <c r="O28" s="114"/>
    </row>
    <row r="29" spans="1:15" s="260" customFormat="1">
      <c r="A29" s="9">
        <v>13</v>
      </c>
      <c r="B29" s="9" t="str">
        <f t="shared" ref="B29:B34" si="5">IF($E29&lt;&gt;"",IF($E29-715&lt;0,VLOOKUP($B$3,$E$62:$J$73,6,FALSE),IF(AND($E29-2130&gt;0,_xlfn.IFNA(MATCH($D29,$D$106:$D$116,0)&lt;20,"")=TRUE),VLOOKUP($L$3,$E$62:$J$73,6,FALSE),"-")),"")</f>
        <v>-</v>
      </c>
      <c r="C29" s="9" t="s">
        <v>207</v>
      </c>
      <c r="D29" s="27" t="s">
        <v>631</v>
      </c>
      <c r="E29" s="172">
        <v>1455</v>
      </c>
      <c r="F29" s="45">
        <v>1421</v>
      </c>
      <c r="G29" s="43" t="s">
        <v>886</v>
      </c>
      <c r="H29" s="44" t="str">
        <f>IF($D29&gt;0,VLOOKUP($D29,Flight!$A$1:$E$91,3,FALSE),"")</f>
        <v>ADD</v>
      </c>
      <c r="I29" s="44"/>
      <c r="J29" s="44"/>
      <c r="K29" s="166">
        <v>1</v>
      </c>
      <c r="L29" s="166">
        <v>1</v>
      </c>
      <c r="M29" s="166">
        <v>3</v>
      </c>
      <c r="O29" s="114"/>
    </row>
    <row r="30" spans="1:15">
      <c r="A30" s="9">
        <v>14</v>
      </c>
      <c r="B30" s="9" t="s">
        <v>884</v>
      </c>
      <c r="C30" s="9" t="s">
        <v>464</v>
      </c>
      <c r="D30" s="27" t="s">
        <v>381</v>
      </c>
      <c r="E30" s="172" t="str">
        <f>IF($D30&gt;0,VLOOKUP($D30,Flight!$A$1:$E$91,2,FALSE),"")</f>
        <v>1510</v>
      </c>
      <c r="F30" s="45"/>
      <c r="G30" s="43" t="str">
        <f t="shared" si="3"/>
        <v/>
      </c>
      <c r="H30" s="44" t="str">
        <f>IF($D30&gt;0,VLOOKUP($D30,Flight!$A$1:$E$91,3,FALSE),"")</f>
        <v>DOH</v>
      </c>
      <c r="I30" s="44" t="str">
        <f>IF($D30&gt;0,IF(VLOOKUP($D30,Flight!$A$1:$E$91,4,FALSE)&gt;1,VLOOKUP($D30,Flight!$A$1:$E111,4,FALSE),""),"")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1"/>
        <v>&lt;   Hall Operation   &gt;</v>
      </c>
      <c r="L30" s="166"/>
      <c r="M30" s="166"/>
      <c r="O30" s="114"/>
    </row>
    <row r="31" spans="1:15">
      <c r="A31" s="9">
        <v>15</v>
      </c>
      <c r="B31" s="9" t="s">
        <v>885</v>
      </c>
      <c r="C31" s="9" t="s">
        <v>464</v>
      </c>
      <c r="D31" s="27" t="s">
        <v>382</v>
      </c>
      <c r="E31" s="172" t="str">
        <f>IF($D31&gt;0,VLOOKUP($D31,Flight!$A$1:$E$91,2,FALSE),"")</f>
        <v>1715</v>
      </c>
      <c r="F31" s="49"/>
      <c r="G31" s="43" t="str">
        <f t="shared" si="3"/>
        <v/>
      </c>
      <c r="H31" s="44" t="str">
        <f>IF($D31&gt;0,VLOOKUP($D31,Flight!$A$1:$E$91,3,FALSE),"")</f>
        <v>IST</v>
      </c>
      <c r="I31" s="44" t="str">
        <f>IF($D31&gt;0,IF(VLOOKUP($D31,Flight!$A$1:$E$91,4,FALSE)&gt;1,VLOOKUP($D31,Flight!$A$1:$E112,4,FALSE),""),"")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1"/>
        <v>&lt;   Hall Operation   &gt;</v>
      </c>
      <c r="L31" s="166"/>
      <c r="M31" s="166"/>
      <c r="O31" s="114"/>
    </row>
    <row r="32" spans="1:15">
      <c r="A32" s="9">
        <v>16</v>
      </c>
      <c r="B32" s="9" t="s">
        <v>887</v>
      </c>
      <c r="C32" s="257" t="s">
        <v>464</v>
      </c>
      <c r="D32" s="27" t="s">
        <v>398</v>
      </c>
      <c r="E32" s="172" t="str">
        <f>IF($D32&gt;0,VLOOKUP($D32,Flight!$A$1:$E$91,2,FALSE),"")</f>
        <v>1720</v>
      </c>
      <c r="F32" s="45"/>
      <c r="G32" s="43" t="str">
        <f t="shared" si="3"/>
        <v/>
      </c>
      <c r="H32" s="44" t="str">
        <f>IF($D32&gt;0,VLOOKUP($D32,Flight!$A$1:$E$91,3,FALSE),"")</f>
        <v>MNL</v>
      </c>
      <c r="I32" s="44" t="str">
        <f>IF($D32&gt;0,IF(VLOOKUP($D32,Flight!$A$1:$E$91,4,FALSE)&gt;1,VLOOKUP($D32,Flight!$A$1:$E113,4,FALSE),""),"")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1"/>
        <v>&lt;   Hall Operation   &gt;</v>
      </c>
      <c r="L32" s="166"/>
      <c r="M32" s="166"/>
      <c r="O32" s="114"/>
    </row>
    <row r="33" spans="1:18">
      <c r="A33" s="9">
        <v>17</v>
      </c>
      <c r="B33" s="9" t="s">
        <v>890</v>
      </c>
      <c r="C33" s="9" t="s">
        <v>464</v>
      </c>
      <c r="D33" s="27" t="s">
        <v>78</v>
      </c>
      <c r="E33" s="172" t="str">
        <f>IF($D33&gt;0,VLOOKUP($D33,Flight!$A$1:$E$91,2,FALSE),"")</f>
        <v>1755</v>
      </c>
      <c r="F33" s="46"/>
      <c r="G33" s="43" t="str">
        <f t="shared" si="3"/>
        <v/>
      </c>
      <c r="H33" s="44" t="str">
        <f>IF($D33&gt;0,VLOOKUP($D33,Flight!$A$1:$E$91,3,FALSE),"")</f>
        <v>KUL</v>
      </c>
      <c r="I33" s="44" t="str">
        <f>IF($D33&gt;0,IF(VLOOKUP($D33,Flight!$A$1:$E$91,4,FALSE)&gt;1,VLOOKUP($D33,Flight!$A$1:$E115,4,FALSE),""),"")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1"/>
        <v>&lt;   Hall Operation   &gt;</v>
      </c>
      <c r="L33" s="166"/>
      <c r="M33" s="166"/>
    </row>
    <row r="34" spans="1:18">
      <c r="A34" s="9">
        <v>18</v>
      </c>
      <c r="B34" s="9" t="str">
        <f t="shared" si="5"/>
        <v>-</v>
      </c>
      <c r="C34" s="9" t="s">
        <v>165</v>
      </c>
      <c r="D34" s="27" t="s">
        <v>68</v>
      </c>
      <c r="E34" s="172" t="str">
        <f>IF($D34&gt;0,VLOOKUP($D34,Flight!$A$1:$E$91,2,FALSE),"")</f>
        <v>1805</v>
      </c>
      <c r="F34" s="45">
        <v>1730</v>
      </c>
      <c r="G34" s="43" t="s">
        <v>888</v>
      </c>
      <c r="H34" s="44" t="str">
        <f>IF($D34&gt;0,VLOOKUP($D34,Flight!$A$1:$E$91,3,FALSE),"")</f>
        <v>DXB</v>
      </c>
      <c r="I34" s="44" t="str">
        <f>IF($D34&gt;0,IF(VLOOKUP($D34,Flight!$A$1:$E$91,4,FALSE)&gt;1,VLOOKUP($D34,Flight!$A$1:$E116,4,FALSE),""),"")</f>
        <v>BKK</v>
      </c>
      <c r="J34" s="44" t="str">
        <f>IF($D34&gt;0,IF(VLOOKUP($D34,Flight!$A$1:$E$91,5,FALSE)&gt;1,VLOOKUP($D34,Flight!$A$1:$E$91,5,FALSE),""),"")</f>
        <v/>
      </c>
      <c r="K34" s="166">
        <v>1</v>
      </c>
      <c r="L34" s="166">
        <v>0</v>
      </c>
      <c r="M34" s="166">
        <v>3</v>
      </c>
    </row>
    <row r="35" spans="1:18">
      <c r="A35" s="9">
        <v>19</v>
      </c>
      <c r="B35" s="9" t="s">
        <v>889</v>
      </c>
      <c r="C35" s="9" t="s">
        <v>464</v>
      </c>
      <c r="D35" s="27" t="s">
        <v>49</v>
      </c>
      <c r="E35" s="172" t="str">
        <f>IF($D35&gt;0,VLOOKUP($D35,Flight!$A$1:$E$91,2,FALSE),"")</f>
        <v>1810</v>
      </c>
      <c r="F35" s="45"/>
      <c r="G35" s="43" t="str">
        <f t="shared" si="3"/>
        <v/>
      </c>
      <c r="H35" s="44" t="str">
        <f>IF($D35&gt;0,VLOOKUP($D35,Flight!$A$1:$E$91,3,FALSE),"")</f>
        <v>MNL</v>
      </c>
      <c r="I35" s="44" t="str">
        <f>IF($D35&gt;0,IF(VLOOKUP($D35,Flight!$A$1:$E$91,4,FALSE)&gt;1,VLOOKUP($D35,Flight!$A$1:$E117,4,FALSE),""),"")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1"/>
        <v>&lt;   Hall Operation   &gt;</v>
      </c>
      <c r="L35" s="166"/>
      <c r="M35" s="167"/>
    </row>
    <row r="36" spans="1:18" s="260" customFormat="1">
      <c r="A36" s="9">
        <v>20</v>
      </c>
      <c r="B36" s="9" t="s">
        <v>887</v>
      </c>
      <c r="C36" s="257" t="s">
        <v>464</v>
      </c>
      <c r="D36" s="27" t="s">
        <v>632</v>
      </c>
      <c r="E36" s="172" t="str">
        <f>IF($D36&gt;0,VLOOKUP($D36,Flight!$A$1:$E$91,2,FALSE),"")</f>
        <v>1820</v>
      </c>
      <c r="F36" s="45"/>
      <c r="G36" s="43"/>
      <c r="H36" s="44" t="str">
        <f>IF($D36&gt;0,VLOOKUP($D36,Flight!$A$1:$E$91,3,FALSE),"")</f>
        <v>SIN</v>
      </c>
      <c r="I36" s="44"/>
      <c r="J36" s="44"/>
      <c r="K36" s="166" t="str">
        <f t="shared" si="1"/>
        <v>&lt;   Hall Operation   &gt;</v>
      </c>
      <c r="L36" s="166"/>
      <c r="M36" s="167"/>
      <c r="O36" s="112"/>
    </row>
    <row r="37" spans="1:18">
      <c r="A37" s="270" t="s">
        <v>464</v>
      </c>
      <c r="B37" s="270" t="s">
        <v>165</v>
      </c>
      <c r="C37" s="270" t="s">
        <v>464</v>
      </c>
      <c r="D37" s="271" t="s">
        <v>71</v>
      </c>
      <c r="E37" s="272" t="str">
        <f>IF($D37&gt;0,VLOOKUP($D37,Flight!$A$1:$E$91,2,FALSE),"")</f>
        <v>1920</v>
      </c>
      <c r="F37" s="433" t="s">
        <v>524</v>
      </c>
      <c r="G37" s="434"/>
      <c r="H37" s="273" t="str">
        <f>IF($D37&gt;0,VLOOKUP($D37,Flight!$A$1:$E$91,3,FALSE),"")</f>
        <v>DMK</v>
      </c>
      <c r="I37" s="273"/>
      <c r="J37" s="273"/>
      <c r="K37" s="436" t="s">
        <v>523</v>
      </c>
      <c r="L37" s="436"/>
      <c r="M37" s="437"/>
    </row>
    <row r="38" spans="1:18">
      <c r="A38" s="9">
        <v>21</v>
      </c>
      <c r="B38" s="9" t="s">
        <v>891</v>
      </c>
      <c r="C38" s="9" t="s">
        <v>464</v>
      </c>
      <c r="D38" s="27" t="s">
        <v>72</v>
      </c>
      <c r="E38" s="172" t="str">
        <f>IF($D38&gt;0,VLOOKUP($D38,Flight!$A$1:$E$91,2,FALSE),"")</f>
        <v>1950</v>
      </c>
      <c r="F38" s="45"/>
      <c r="G38" s="43" t="str">
        <f t="shared" si="3"/>
        <v/>
      </c>
      <c r="H38" s="44" t="str">
        <f>IF($D38&gt;0,VLOOKUP($D38,Flight!$A$1:$E$91,3,FALSE),"")</f>
        <v>BKK</v>
      </c>
      <c r="I38" s="44" t="str">
        <f>IF($D38&gt;0,IF(VLOOKUP($D38,Flight!$A$1:$E$91,4,FALSE)&gt;1,VLOOKUP($D38,Flight!$A$1:$E119,4,FALSE),""),"")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1"/>
        <v>&lt;   Hall Operation   &gt;</v>
      </c>
      <c r="L38" s="166"/>
      <c r="M38" s="167"/>
    </row>
    <row r="39" spans="1:18">
      <c r="A39" s="9">
        <v>22</v>
      </c>
      <c r="B39" s="9" t="s">
        <v>887</v>
      </c>
      <c r="C39" s="257" t="s">
        <v>464</v>
      </c>
      <c r="D39" s="10" t="s">
        <v>64</v>
      </c>
      <c r="E39" s="172" t="str">
        <f>IF($D39&gt;0,VLOOKUP($D39,Flight!$A$1:$E$91,2,FALSE),"")</f>
        <v>2030</v>
      </c>
      <c r="F39" s="45"/>
      <c r="G39" s="43" t="str">
        <f t="shared" si="3"/>
        <v/>
      </c>
      <c r="H39" s="44" t="str">
        <f>IF($D39&gt;0,VLOOKUP($D39,Flight!$A$1:$E$91,3,FALSE),"")</f>
        <v>CGK</v>
      </c>
      <c r="I39" s="44" t="str">
        <f>IF($D39&gt;0,IF(VLOOKUP($D39,Flight!$A$1:$E$91,4,FALSE)&gt;1,VLOOKUP($D39,Flight!$A$1:$E120,4,FALSE),""),"")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1"/>
        <v>&lt;   Hall Operation   &gt;</v>
      </c>
      <c r="L39" s="166"/>
      <c r="M39" s="167"/>
      <c r="P39" s="84"/>
    </row>
    <row r="40" spans="1:18" ht="16.5">
      <c r="A40" s="9" t="s">
        <v>464</v>
      </c>
      <c r="B40" s="270" t="s">
        <v>165</v>
      </c>
      <c r="C40" s="270" t="s">
        <v>464</v>
      </c>
      <c r="D40" s="271" t="s">
        <v>399</v>
      </c>
      <c r="E40" s="272">
        <v>2120</v>
      </c>
      <c r="F40" s="433" t="s">
        <v>524</v>
      </c>
      <c r="G40" s="438"/>
      <c r="H40" s="273" t="s">
        <v>38</v>
      </c>
      <c r="I40" s="273"/>
      <c r="J40" s="273"/>
      <c r="K40" s="436" t="s">
        <v>523</v>
      </c>
      <c r="L40" s="436"/>
      <c r="M40" s="437"/>
      <c r="O40" s="115"/>
      <c r="P40" s="87"/>
    </row>
    <row r="41" spans="1:18" ht="16.5">
      <c r="A41" s="9">
        <v>23</v>
      </c>
      <c r="B41" s="9" t="str">
        <f>IF($E41&lt;&gt;"",IF($E41-715&lt;0,VLOOKUP($B$3,$E$62:$J$73,6,FALSE),IF(AND($E41-2130&gt;0,_xlfn.IFNA(MATCH($D41,$D$106:$D$116,0)&lt;20,"")=TRUE),VLOOKUP($L$3,$E$62:$J$73,6,FALSE),"-")),"")</f>
        <v>-</v>
      </c>
      <c r="C41" s="9" t="str">
        <f>IF($E41&lt;&gt;"",IF(ISNUMBER(SEARCH("Hall Operation",$K41)),"-",IF($E41-715&lt;0,VLOOKUP($B$3,$E$62:$J$73,6,FALSE),IF($E41-2129&gt;0,VLOOKUP($L$3,$E$62:$J$73,6,FALSE),""))),"")</f>
        <v>S12</v>
      </c>
      <c r="D41" s="27" t="s">
        <v>50</v>
      </c>
      <c r="E41" s="172" t="str">
        <f>IF($D41&gt;0,VLOOKUP($D41,Flight!$A$1:$E$91,2,FALSE),"")</f>
        <v>2155</v>
      </c>
      <c r="F41" s="45">
        <v>2109</v>
      </c>
      <c r="G41" s="43" t="s">
        <v>892</v>
      </c>
      <c r="H41" s="44" t="str">
        <f>IF($D41&gt;0,VLOOKUP($D41,Flight!$A$1:$E$91,3,FALSE),"")</f>
        <v>DOH</v>
      </c>
      <c r="I41" s="44" t="str">
        <f>IF($D41&gt;0,IF(VLOOKUP($D41,Flight!$A$1:$E$91,4,FALSE)&gt;1,VLOOKUP($D41,Flight!$A$1:$E122,4,FALSE),""),"")</f>
        <v/>
      </c>
      <c r="J41" s="44" t="str">
        <f>IF($D41&gt;0,IF(VLOOKUP($D41,Flight!$A$1:$E$91,5,FALSE)&gt;1,VLOOKUP($D41,Flight!$A$1:$E$91,5,FALSE),""),"")</f>
        <v/>
      </c>
      <c r="K41" s="166">
        <v>1</v>
      </c>
      <c r="L41" s="166">
        <v>1</v>
      </c>
      <c r="M41" s="166">
        <v>3</v>
      </c>
      <c r="O41" s="4"/>
      <c r="P41" s="88"/>
      <c r="Q41" s="4"/>
      <c r="R41" s="4"/>
    </row>
    <row r="42" spans="1:18">
      <c r="A42" s="9">
        <v>24</v>
      </c>
      <c r="B42" s="9" t="s">
        <v>166</v>
      </c>
      <c r="C42" s="9" t="s">
        <v>464</v>
      </c>
      <c r="D42" s="27" t="s">
        <v>77</v>
      </c>
      <c r="E42" s="172" t="s">
        <v>638</v>
      </c>
      <c r="F42" s="45"/>
      <c r="G42" s="43" t="str">
        <f t="shared" si="3"/>
        <v/>
      </c>
      <c r="H42" s="44" t="s">
        <v>639</v>
      </c>
      <c r="I42" s="44"/>
      <c r="J42" s="44"/>
      <c r="K42" s="166" t="str">
        <f>IF($D42=0,"",IF(OR(ISNUMBER(SEARCH("S",$B42)),_xlfn.IFNA(MATCH($D42,$D$106:$D$116,0)&lt;20,"")=TRUE),"&lt;   Hall Operation   &gt;",""))</f>
        <v>&lt;   Hall Operation   &gt;</v>
      </c>
      <c r="L42" s="166"/>
      <c r="M42" s="166"/>
      <c r="O42" s="4"/>
      <c r="P42" s="4"/>
      <c r="Q42" s="4"/>
      <c r="R42" s="4"/>
    </row>
    <row r="43" spans="1:18" ht="16.5">
      <c r="A43" s="376" t="s">
        <v>5</v>
      </c>
      <c r="B43" s="376"/>
      <c r="C43" s="376"/>
      <c r="D43" s="376"/>
      <c r="E43" s="376"/>
      <c r="F43" s="376"/>
      <c r="G43" s="50"/>
      <c r="H43" s="207" t="s">
        <v>40</v>
      </c>
      <c r="I43" s="377"/>
      <c r="J43" s="377"/>
      <c r="K43" s="377"/>
      <c r="L43" s="377"/>
      <c r="M43" s="377"/>
      <c r="O43" s="4"/>
      <c r="P43" s="89"/>
      <c r="Q43" s="4"/>
      <c r="R43" s="4"/>
    </row>
    <row r="44" spans="1:18" ht="16.5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  <c r="O44" s="4"/>
      <c r="P44" s="89"/>
      <c r="Q44" s="4"/>
      <c r="R44" s="4"/>
    </row>
    <row r="45" spans="1:18" ht="16.5">
      <c r="A45" s="379"/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  <c r="O45" s="4"/>
      <c r="P45" s="89"/>
      <c r="Q45" s="4"/>
      <c r="R45" s="4"/>
    </row>
    <row r="46" spans="1:18">
      <c r="A46" s="389" t="s">
        <v>216</v>
      </c>
      <c r="B46" s="389"/>
      <c r="C46" s="212" t="str">
        <f>VLOOKUP($D$46,Staff!$B$2:$D$41,2,FALSE)</f>
        <v>CIA</v>
      </c>
      <c r="D46" s="375" t="str">
        <f>VLOOKUP(VLOOKUP($E$58,$E$62:$J$73,6,FALSE),Staff!$A$2:$D$13,2,FALSE)</f>
        <v>CS YEUNG</v>
      </c>
      <c r="E46" s="375"/>
      <c r="F46" s="204" t="s">
        <v>215</v>
      </c>
      <c r="G46" s="390" t="str">
        <f>VLOOKUP($D$46,Staff!$B$2:$D$39,3,FALSE)</f>
        <v>9238 7181</v>
      </c>
      <c r="H46" s="390"/>
      <c r="I46" s="391" t="s">
        <v>223</v>
      </c>
      <c r="J46" s="391"/>
      <c r="K46" s="375" t="str">
        <f>IF(COUNTIF($E$62:$E$65,$E$58)&gt;0,Staff!$G$2,"")&amp;IF(COUNTIF($E$66:$E$69,$E$58)&gt;0,Staff!$G$3,"")&amp;IF(COUNTIF($E$70:$E$73,$E$58)&gt;0,Staff!$G$4,"")</f>
        <v>HO, KING KAI</v>
      </c>
      <c r="L46" s="375"/>
      <c r="M46" s="375"/>
      <c r="N46" s="5"/>
    </row>
    <row r="47" spans="1:18">
      <c r="A47" s="389" t="s">
        <v>217</v>
      </c>
      <c r="B47" s="389"/>
      <c r="C47" s="212" t="s">
        <v>751</v>
      </c>
      <c r="D47" s="375" t="s">
        <v>752</v>
      </c>
      <c r="E47" s="375"/>
      <c r="F47" s="204" t="s">
        <v>215</v>
      </c>
      <c r="G47" s="390" t="s">
        <v>753</v>
      </c>
      <c r="H47" s="390"/>
      <c r="I47" s="391" t="s">
        <v>224</v>
      </c>
      <c r="J47" s="391"/>
      <c r="K47" s="445" t="s">
        <v>654</v>
      </c>
      <c r="L47" s="375"/>
      <c r="M47" s="375"/>
    </row>
    <row r="48" spans="1:18">
      <c r="A48" s="200"/>
      <c r="B48" s="200"/>
      <c r="C48" s="209"/>
      <c r="D48" s="395"/>
      <c r="E48" s="395"/>
      <c r="F48" s="206"/>
      <c r="G48" s="396"/>
      <c r="H48" s="396"/>
      <c r="I48" s="390"/>
      <c r="J48" s="390"/>
      <c r="K48" s="143"/>
      <c r="L48" s="143"/>
      <c r="M48" s="143"/>
    </row>
    <row r="49" spans="1:18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tr">
        <f>IF(COUNTIF($E$62:$E$65,$E$58)&gt;0,Staff!$G$14,"")&amp;IF(COUNTIF($E$66:$E$69,$E$58)&gt;0,Staff!$G$13,"")&amp;IF(COUNTIF($E$70:$E$73,$E$58)&gt;0,Staff!$G$12,"")</f>
        <v>CHIU, OI YU (F)</v>
      </c>
      <c r="H49" s="398"/>
      <c r="I49" s="398"/>
      <c r="J49" s="203" t="s">
        <v>209</v>
      </c>
      <c r="K49" s="390" t="str">
        <f>VLOOKUP(VLOOKUP($B$3,$E$62:$J$73,6,FALSE),Staff!$F$22:$G$47,2,FALSE)</f>
        <v>CHEUNG, HANG KEI</v>
      </c>
      <c r="L49" s="390"/>
      <c r="M49" s="390"/>
    </row>
    <row r="50" spans="1:18">
      <c r="A50" s="155"/>
      <c r="B50" s="155"/>
      <c r="C50" s="396" t="s">
        <v>219</v>
      </c>
      <c r="D50" s="396"/>
      <c r="E50" s="396"/>
      <c r="F50" s="154" t="s">
        <v>214</v>
      </c>
      <c r="G50" s="375" t="str">
        <f>IF(COUNTIF($E$62:$E$65,$E$59)&gt;0,Staff!$G$14,"")&amp;IF(COUNTIF($E$66:$E$69,$E$59)&gt;0,Staff!$G$13,"")&amp;IF(COUNTIF($E$70:$E$73,$E$59)&gt;0,Staff!$G$12,"")</f>
        <v>CHONG, MAN LOK</v>
      </c>
      <c r="H50" s="375"/>
      <c r="I50" s="375"/>
      <c r="J50" s="203" t="s">
        <v>208</v>
      </c>
      <c r="K50" s="446" t="s">
        <v>656</v>
      </c>
      <c r="L50" s="390"/>
      <c r="M50" s="390"/>
    </row>
    <row r="51" spans="1:18">
      <c r="A51" s="201"/>
      <c r="B51" s="201"/>
      <c r="C51" s="209"/>
      <c r="D51" s="401"/>
      <c r="E51" s="401"/>
      <c r="F51" s="401"/>
      <c r="G51" s="401"/>
      <c r="H51" s="401"/>
      <c r="I51" s="401"/>
      <c r="J51" s="203" t="s">
        <v>210</v>
      </c>
      <c r="K51" s="390" t="s">
        <v>436</v>
      </c>
      <c r="L51" s="390"/>
      <c r="M51" s="390"/>
    </row>
    <row r="52" spans="1:18" s="112" customFormat="1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203" t="s">
        <v>211</v>
      </c>
      <c r="K52" s="390" t="s">
        <v>431</v>
      </c>
      <c r="L52" s="390"/>
      <c r="M52" s="390"/>
      <c r="N52" s="12"/>
      <c r="P52" s="211"/>
      <c r="Q52" s="211"/>
      <c r="R52" s="211"/>
    </row>
    <row r="53" spans="1:18" s="112" customFormat="1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203" t="s">
        <v>212</v>
      </c>
      <c r="K53" s="390" t="s">
        <v>427</v>
      </c>
      <c r="L53" s="390"/>
      <c r="M53" s="390"/>
      <c r="N53" s="211"/>
      <c r="P53" s="211"/>
      <c r="Q53" s="211"/>
      <c r="R53" s="211"/>
    </row>
    <row r="54" spans="1:18" s="112" customFormat="1">
      <c r="A54" s="155"/>
      <c r="B54" s="155"/>
      <c r="C54" s="201"/>
      <c r="D54" s="399"/>
      <c r="E54" s="399"/>
      <c r="F54" s="391"/>
      <c r="G54" s="391"/>
      <c r="H54" s="400" t="s">
        <v>410</v>
      </c>
      <c r="I54" s="400"/>
      <c r="J54" s="199"/>
      <c r="K54" s="200"/>
      <c r="L54" s="200"/>
      <c r="M54" s="47"/>
      <c r="N54" s="211"/>
      <c r="P54" s="211"/>
      <c r="Q54" s="211"/>
      <c r="R54" s="211"/>
    </row>
    <row r="55" spans="1:18" s="112" customFormat="1">
      <c r="A55" s="392" t="s">
        <v>0</v>
      </c>
      <c r="B55" s="392"/>
      <c r="C55" s="407" t="s">
        <v>222</v>
      </c>
      <c r="D55" s="407"/>
      <c r="E55" s="407"/>
      <c r="F55" s="218"/>
      <c r="G55" s="219"/>
      <c r="H55" s="394" t="s">
        <v>411</v>
      </c>
      <c r="I55" s="394"/>
      <c r="J55" s="205"/>
      <c r="K55" s="200"/>
      <c r="L55" s="200"/>
      <c r="M55" s="47"/>
      <c r="N55" s="211"/>
      <c r="P55" s="211"/>
      <c r="Q55" s="211"/>
      <c r="R55" s="211"/>
    </row>
    <row r="56" spans="1:18" s="112" customFormat="1">
      <c r="A56" s="211"/>
      <c r="B56" s="211"/>
      <c r="C56" s="408"/>
      <c r="D56" s="408"/>
      <c r="E56" s="408"/>
      <c r="F56" s="408"/>
      <c r="G56" s="408"/>
      <c r="H56" s="408"/>
      <c r="I56" s="54"/>
      <c r="J56" s="53"/>
      <c r="M56" s="211"/>
      <c r="N56" s="211"/>
      <c r="P56" s="211"/>
      <c r="Q56" s="211"/>
      <c r="R56" s="211"/>
    </row>
    <row r="57" spans="1:18" s="112" customFormat="1" ht="16.5" thickBot="1">
      <c r="A57" s="3"/>
      <c r="B57" s="3"/>
      <c r="C57" s="3"/>
      <c r="D57" s="2"/>
      <c r="E57" s="39"/>
      <c r="F57" s="202"/>
      <c r="G57" s="202"/>
      <c r="H57" s="202"/>
      <c r="I57" s="409"/>
      <c r="J57" s="409"/>
      <c r="M57" s="211"/>
      <c r="N57" s="211"/>
      <c r="P57" s="211"/>
      <c r="Q57" s="211"/>
      <c r="R57" s="211"/>
    </row>
    <row r="58" spans="1:18" s="112" customFormat="1" ht="16.5" customHeight="1">
      <c r="A58" s="211"/>
      <c r="B58" s="211"/>
      <c r="C58" s="211"/>
      <c r="D58" s="211"/>
      <c r="E58" s="90" t="s">
        <v>133</v>
      </c>
      <c r="F58" s="91" t="s">
        <v>135</v>
      </c>
      <c r="G58" s="91"/>
      <c r="H58" s="92"/>
      <c r="I58" s="211"/>
      <c r="J58" s="211"/>
      <c r="K58" s="211"/>
      <c r="L58" s="211"/>
      <c r="M58" s="211"/>
      <c r="N58" s="211"/>
      <c r="P58" s="211"/>
      <c r="Q58" s="211"/>
      <c r="R58" s="211"/>
    </row>
    <row r="59" spans="1:18" s="112" customFormat="1" ht="16.5" thickBot="1">
      <c r="A59" s="211"/>
      <c r="B59" s="211"/>
      <c r="C59" s="211"/>
      <c r="D59" s="211"/>
      <c r="E59" s="93" t="s">
        <v>134</v>
      </c>
      <c r="F59" s="94" t="s">
        <v>136</v>
      </c>
      <c r="G59" s="94"/>
      <c r="H59" s="95"/>
      <c r="I59" s="211"/>
      <c r="J59" s="211"/>
      <c r="K59" s="211"/>
      <c r="L59" s="211"/>
      <c r="M59" s="211"/>
      <c r="N59" s="211"/>
      <c r="P59" s="211"/>
      <c r="Q59" s="211"/>
      <c r="R59" s="211"/>
    </row>
    <row r="60" spans="1:18" s="112" customFormat="1">
      <c r="A60" s="211"/>
      <c r="B60" s="211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P60" s="211"/>
      <c r="Q60" s="211"/>
      <c r="R60" s="211"/>
    </row>
    <row r="61" spans="1:18" s="112" customFormat="1" ht="16.5" thickBot="1">
      <c r="A61" s="211"/>
      <c r="B61" s="211"/>
      <c r="C61" s="211"/>
      <c r="D61" s="85" t="s">
        <v>132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98</v>
      </c>
      <c r="J61" s="211"/>
      <c r="K61" s="96" t="s">
        <v>302</v>
      </c>
      <c r="L61" s="96" t="s">
        <v>303</v>
      </c>
      <c r="M61" s="96"/>
      <c r="N61" s="211"/>
      <c r="P61" s="211"/>
      <c r="Q61" s="211"/>
      <c r="R61" s="211"/>
    </row>
    <row r="62" spans="1:18" s="112" customFormat="1">
      <c r="A62" s="211"/>
      <c r="B62" s="211"/>
      <c r="C62" s="211"/>
      <c r="D62" s="97" t="s">
        <v>86</v>
      </c>
      <c r="E62" s="98" t="str">
        <f>_xlfn.IFNA(VLOOKUP(MOD((($D$1-WEEKDAY($D$1,2)+1)-45523)/7+21,24),Shift!$A$2:$H$25,WEEKDAY($D$1,2)+1),VLOOKUP(24,Shift!$A$2:$H$25,WEEKDAY($D$1,2)+1))</f>
        <v>L</v>
      </c>
      <c r="F62" s="98">
        <f>IF(OR($E62="L",$E62="L#"),0,"?")</f>
        <v>0</v>
      </c>
      <c r="G62" s="98">
        <f>IF(OR($E62="L",$E62="L#"),0,"?")</f>
        <v>0</v>
      </c>
      <c r="H62" s="98">
        <f>IF(OR($E62="L",$E62="L#"),0,"?")</f>
        <v>0</v>
      </c>
      <c r="I62" s="99">
        <f t="shared" ref="I62:I73" si="6">IF(OR($E62="L",$E62="L#"),0,SUM($F62:$H62))</f>
        <v>0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N62" s="211"/>
      <c r="P62" s="211"/>
      <c r="Q62" s="211"/>
      <c r="R62" s="211"/>
    </row>
    <row r="63" spans="1:18" s="112" customFormat="1">
      <c r="A63" s="211"/>
      <c r="B63" s="211"/>
      <c r="C63" s="211"/>
      <c r="D63" s="100" t="s">
        <v>85</v>
      </c>
      <c r="E63" s="101" t="str">
        <f>_xlfn.IFNA(VLOOKUP(MOD((($D$1-WEEKDAY($D$1,2)+1)-45523)/7+3,24),Shift!$A$2:$H$25,WEEKDAY($D$1,2)+1),VLOOKUP(24,Shift!$A$2:$H$25,WEEKDAY($D$1,2)+1))</f>
        <v>L</v>
      </c>
      <c r="F63" s="101">
        <f t="shared" ref="F63:H64" si="7">IF(OR($E63="L",$E63="L#"),0,"?")</f>
        <v>0</v>
      </c>
      <c r="G63" s="101">
        <f t="shared" si="7"/>
        <v>0</v>
      </c>
      <c r="H63" s="101">
        <f t="shared" si="7"/>
        <v>0</v>
      </c>
      <c r="I63" s="102">
        <f t="shared" si="6"/>
        <v>0</v>
      </c>
      <c r="J63" s="137" t="s">
        <v>85</v>
      </c>
      <c r="K63" s="112" t="str">
        <f t="shared" ref="K63:K73" si="8">IF(AND($F63&gt;1,$F63&lt;&gt;"?"),$F63-1,"")</f>
        <v/>
      </c>
      <c r="L63" s="112" t="str">
        <f t="shared" ref="L63:L73" si="9">IF(AND($G63&gt;1,$G63&lt;&gt;"?"),$G63-1,"")</f>
        <v/>
      </c>
      <c r="N63" s="211"/>
      <c r="P63" s="211"/>
      <c r="Q63" s="211"/>
      <c r="R63" s="211"/>
    </row>
    <row r="64" spans="1:18" s="112" customFormat="1">
      <c r="A64" s="211"/>
      <c r="B64" s="211"/>
      <c r="C64" s="211"/>
      <c r="D64" s="100" t="s">
        <v>99</v>
      </c>
      <c r="E64" s="101" t="str">
        <f>_xlfn.IFNA(VLOOKUP(MOD((($D$1-WEEKDAY($D$1,2)+1)-45523)/7+9,24),Shift!$A$2:$H$25,WEEKDAY($D$1,2)+1),VLOOKUP(24,Shift!$A$2:$H$25,WEEKDAY($D$1,2)+1))</f>
        <v>L</v>
      </c>
      <c r="F64" s="101">
        <f t="shared" si="7"/>
        <v>0</v>
      </c>
      <c r="G64" s="101">
        <f t="shared" si="7"/>
        <v>0</v>
      </c>
      <c r="H64" s="101">
        <f t="shared" si="7"/>
        <v>0</v>
      </c>
      <c r="I64" s="102">
        <f t="shared" si="6"/>
        <v>0</v>
      </c>
      <c r="J64" s="137" t="s">
        <v>99</v>
      </c>
      <c r="K64" s="112" t="str">
        <f t="shared" si="8"/>
        <v/>
      </c>
      <c r="L64" s="112" t="str">
        <f t="shared" si="9"/>
        <v/>
      </c>
      <c r="N64" s="211"/>
      <c r="P64" s="211"/>
      <c r="Q64" s="211"/>
      <c r="R64" s="211"/>
    </row>
    <row r="65" spans="1:18" s="112" customFormat="1" ht="16.5" thickBot="1">
      <c r="A65" s="211"/>
      <c r="B65" s="211"/>
      <c r="C65" s="211"/>
      <c r="D65" s="103" t="s">
        <v>100</v>
      </c>
      <c r="E65" s="104" t="str">
        <f>_xlfn.IFNA(VLOOKUP(MOD((($D$1-WEEKDAY($D$1,2)+1)-45523)/7+15,24),Shift!$A$2:$H$25,WEEKDAY($D$1,2)+1),VLOOKUP(24,Shift!$A$2:$H$25,WEEKDAY($D$1,2)+1))</f>
        <v>A</v>
      </c>
      <c r="F65" s="104">
        <v>1</v>
      </c>
      <c r="G65" s="104">
        <v>1</v>
      </c>
      <c r="H65" s="104">
        <v>3</v>
      </c>
      <c r="I65" s="105">
        <f t="shared" si="6"/>
        <v>5</v>
      </c>
      <c r="J65" s="138" t="s">
        <v>100</v>
      </c>
      <c r="K65" s="112" t="str">
        <f t="shared" si="8"/>
        <v/>
      </c>
      <c r="L65" s="112" t="str">
        <f t="shared" si="9"/>
        <v/>
      </c>
      <c r="N65" s="211"/>
      <c r="P65" s="211"/>
      <c r="Q65" s="211"/>
      <c r="R65" s="211"/>
    </row>
    <row r="66" spans="1:18" s="112" customFormat="1">
      <c r="A66" s="211"/>
      <c r="B66" s="211"/>
      <c r="C66" s="211"/>
      <c r="D66" s="97" t="s">
        <v>101</v>
      </c>
      <c r="E66" s="98" t="str">
        <f>_xlfn.IFNA(VLOOKUP(MOD((($D$1-WEEKDAY($D$1,2)+1)-45523)/7+19,24),Shift!$A$2:$H$25,WEEKDAY($D$1,2)+1),VLOOKUP(24,Shift!$A$2:$H$25,WEEKDAY($D$1,2)+1))</f>
        <v>M</v>
      </c>
      <c r="F66" s="98">
        <v>1</v>
      </c>
      <c r="G66" s="98">
        <v>1</v>
      </c>
      <c r="H66" s="98">
        <v>3</v>
      </c>
      <c r="I66" s="99">
        <f t="shared" si="6"/>
        <v>5</v>
      </c>
      <c r="J66" s="136" t="s">
        <v>101</v>
      </c>
      <c r="K66" s="112" t="str">
        <f t="shared" si="8"/>
        <v/>
      </c>
      <c r="L66" s="112" t="str">
        <f t="shared" si="9"/>
        <v/>
      </c>
      <c r="N66" s="211"/>
      <c r="P66" s="211"/>
      <c r="Q66" s="211"/>
      <c r="R66" s="211"/>
    </row>
    <row r="67" spans="1:18" s="112" customFormat="1">
      <c r="A67" s="211"/>
      <c r="B67" s="211"/>
      <c r="C67" s="211"/>
      <c r="D67" s="100" t="s">
        <v>102</v>
      </c>
      <c r="E67" s="101" t="str">
        <f>_xlfn.IFNA(VLOOKUP(MOD((($D$1-WEEKDAY($D$1,2)+1)-45523)/7+1,24),Shift!$A$2:$H$25,WEEKDAY($D$1,2)+1),VLOOKUP(24,Shift!$A$2:$H$25,WEEKDAY($D$1,2)+1))</f>
        <v>M @</v>
      </c>
      <c r="F67" s="101">
        <v>1</v>
      </c>
      <c r="G67" s="101">
        <v>1</v>
      </c>
      <c r="H67" s="101">
        <v>3</v>
      </c>
      <c r="I67" s="102">
        <f t="shared" si="6"/>
        <v>5</v>
      </c>
      <c r="J67" s="137" t="s">
        <v>102</v>
      </c>
      <c r="K67" s="112" t="str">
        <f t="shared" si="8"/>
        <v/>
      </c>
      <c r="L67" s="112" t="str">
        <f t="shared" si="9"/>
        <v/>
      </c>
      <c r="N67" s="211"/>
      <c r="P67" s="211"/>
      <c r="Q67" s="211"/>
      <c r="R67" s="211"/>
    </row>
    <row r="68" spans="1:18">
      <c r="D68" s="100" t="s">
        <v>103</v>
      </c>
      <c r="E68" s="101" t="str">
        <f>_xlfn.IFNA(VLOOKUP(MOD((($D$1-WEEKDAY($D$1,2)+1)-45523)/7+7,24),Shift!$A$2:$H$25,WEEKDAY($D$1,2)+1),VLOOKUP(24,Shift!$A$2:$H$25,WEEKDAY($D$1,2)+1))</f>
        <v>M1</v>
      </c>
      <c r="F68" s="101">
        <v>0</v>
      </c>
      <c r="G68" s="101">
        <v>1</v>
      </c>
      <c r="H68" s="101">
        <v>3</v>
      </c>
      <c r="I68" s="102">
        <f t="shared" si="6"/>
        <v>4</v>
      </c>
      <c r="J68" s="137" t="s">
        <v>103</v>
      </c>
      <c r="K68" s="112" t="str">
        <f t="shared" si="8"/>
        <v/>
      </c>
      <c r="L68" s="112" t="str">
        <f t="shared" si="9"/>
        <v/>
      </c>
      <c r="M68" s="112"/>
    </row>
    <row r="69" spans="1:18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G1</v>
      </c>
      <c r="F69" s="104">
        <v>1</v>
      </c>
      <c r="G69" s="104">
        <v>1</v>
      </c>
      <c r="H69" s="104">
        <v>3</v>
      </c>
      <c r="I69" s="105">
        <f t="shared" si="6"/>
        <v>5</v>
      </c>
      <c r="J69" s="138" t="s">
        <v>104</v>
      </c>
      <c r="K69" s="112" t="str">
        <f t="shared" si="8"/>
        <v/>
      </c>
      <c r="L69" s="112" t="str">
        <f t="shared" si="9"/>
        <v/>
      </c>
      <c r="M69" s="112"/>
    </row>
    <row r="70" spans="1:18">
      <c r="D70" s="97" t="s">
        <v>105</v>
      </c>
      <c r="E70" s="98" t="str">
        <f>_xlfn.IFNA(VLOOKUP(MOD((($D$1-WEEKDAY($D$1,2)+1)-45523)/7+17,24),Shift!$A$2:$H$25,WEEKDAY($D$1,2)+1),VLOOKUP(24,Shift!$A$2:$H$25,WEEKDAY($D$1,2)+1))</f>
        <v>P1</v>
      </c>
      <c r="F70" s="98">
        <v>1</v>
      </c>
      <c r="G70" s="98">
        <v>0</v>
      </c>
      <c r="H70" s="98">
        <v>2</v>
      </c>
      <c r="I70" s="99">
        <f t="shared" si="6"/>
        <v>3</v>
      </c>
      <c r="J70" s="136" t="s">
        <v>105</v>
      </c>
      <c r="K70" s="112" t="str">
        <f t="shared" si="8"/>
        <v/>
      </c>
      <c r="L70" s="112" t="str">
        <f t="shared" si="9"/>
        <v/>
      </c>
      <c r="M70" s="112"/>
    </row>
    <row r="71" spans="1:18">
      <c r="D71" s="100" t="s">
        <v>106</v>
      </c>
      <c r="E71" s="101" t="str">
        <f>_xlfn.IFNA(VLOOKUP(MOD((($D$1-WEEKDAY($D$1,2)+1)-45523)/7+23,24),Shift!$A$2:$H$25,WEEKDAY($D$1,2)+1),VLOOKUP(24,Shift!$A$2:$H$25,WEEKDAY($D$1,2)+1))</f>
        <v>P1</v>
      </c>
      <c r="F71" s="101">
        <v>1</v>
      </c>
      <c r="G71" s="101">
        <v>1</v>
      </c>
      <c r="H71" s="101">
        <v>3</v>
      </c>
      <c r="I71" s="102">
        <f t="shared" si="6"/>
        <v>5</v>
      </c>
      <c r="J71" s="137" t="s">
        <v>106</v>
      </c>
      <c r="K71" s="112" t="str">
        <f t="shared" si="8"/>
        <v/>
      </c>
      <c r="L71" s="112" t="str">
        <f t="shared" si="9"/>
        <v/>
      </c>
      <c r="M71" s="112"/>
    </row>
    <row r="72" spans="1:18">
      <c r="D72" s="100" t="s">
        <v>107</v>
      </c>
      <c r="E72" s="101" t="str">
        <f>_xlfn.IFNA(VLOOKUP(MOD((($D$1-WEEKDAY($D$1,2)+1)-45523)/7+5,24),Shift!$A$2:$H$25,WEEKDAY($D$1,2)+1),VLOOKUP(24,Shift!$A$2:$H$25,WEEKDAY($D$1,2)+1))</f>
        <v>P1 @</v>
      </c>
      <c r="F72" s="101">
        <v>1</v>
      </c>
      <c r="G72" s="101">
        <v>0</v>
      </c>
      <c r="H72" s="101">
        <v>3</v>
      </c>
      <c r="I72" s="102">
        <f t="shared" si="6"/>
        <v>4</v>
      </c>
      <c r="J72" s="137" t="s">
        <v>107</v>
      </c>
      <c r="K72" s="112" t="str">
        <f t="shared" si="8"/>
        <v/>
      </c>
      <c r="L72" s="112" t="str">
        <f t="shared" si="9"/>
        <v/>
      </c>
      <c r="M72" s="112"/>
    </row>
    <row r="73" spans="1:18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P4</v>
      </c>
      <c r="F73" s="104">
        <v>1</v>
      </c>
      <c r="G73" s="104">
        <v>1</v>
      </c>
      <c r="H73" s="104">
        <v>3</v>
      </c>
      <c r="I73" s="105">
        <f t="shared" si="6"/>
        <v>5</v>
      </c>
      <c r="J73" s="138" t="s">
        <v>108</v>
      </c>
      <c r="K73" s="112" t="str">
        <f t="shared" si="8"/>
        <v/>
      </c>
      <c r="L73" s="112" t="str">
        <f t="shared" si="9"/>
        <v/>
      </c>
      <c r="M73" s="112"/>
    </row>
    <row r="74" spans="1:18">
      <c r="D74" s="144" t="s">
        <v>86</v>
      </c>
      <c r="E74" s="98" t="s">
        <v>127</v>
      </c>
      <c r="F74" s="98"/>
      <c r="G74" s="98"/>
      <c r="H74" s="98"/>
      <c r="I74" s="99">
        <f>IF(OR($E74="L",$E74="L#",$E74="?"),0,SUM($F74:$H74))</f>
        <v>0</v>
      </c>
      <c r="J74" s="211"/>
    </row>
    <row r="75" spans="1:18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211"/>
    </row>
    <row r="76" spans="1:18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211"/>
    </row>
    <row r="77" spans="1:18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211"/>
    </row>
    <row r="78" spans="1:18">
      <c r="D78" s="211"/>
      <c r="E78" s="96" t="s">
        <v>98</v>
      </c>
      <c r="F78" s="96" t="str">
        <f>SUM($F$62:$F$77)&amp;IF(SUM($F$62:$H$77)&gt;$I$78,"?","")</f>
        <v>8</v>
      </c>
      <c r="G78" s="96" t="str">
        <f>SUM($G$62:$G$77)&amp;IF(SUM($F$62:$H$77)&gt;$I$78,"?","")</f>
        <v>7</v>
      </c>
      <c r="H78" s="96" t="str">
        <f>SUM($H$62:$H$77)&amp;IF(SUM($F$62:$H$77)&gt;$I$78,"?","")</f>
        <v>26</v>
      </c>
      <c r="I78" s="96">
        <f>SUM(I62:I77)</f>
        <v>41</v>
      </c>
      <c r="J78" s="211"/>
    </row>
    <row r="79" spans="1:18">
      <c r="D79" s="211"/>
      <c r="E79" s="211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211"/>
      <c r="J79" s="211"/>
    </row>
    <row r="81" spans="4:6">
      <c r="D81" s="410" t="s">
        <v>281</v>
      </c>
      <c r="E81" s="410"/>
      <c r="F81" s="410"/>
    </row>
    <row r="82" spans="4:6">
      <c r="D82" s="49" t="str">
        <f>IF(Flight!$A$68=0,"",Flight!$A$68)</f>
        <v/>
      </c>
      <c r="E82" s="163"/>
      <c r="F82" s="164" t="str">
        <f>IF(D82="","",VLOOKUP(D82,Flight!$A$68:$C$91,3,FALSE))</f>
        <v/>
      </c>
    </row>
    <row r="83" spans="4:6">
      <c r="D83" s="49" t="str">
        <f>IF(Flight!$A69=0,"",Flight!$A69)</f>
        <v/>
      </c>
      <c r="F83" s="164" t="str">
        <f>IF(D83="","",VLOOKUP(D83,Flight!$A$68:$C$91,3,FALSE))</f>
        <v/>
      </c>
    </row>
    <row r="84" spans="4:6">
      <c r="D84" s="49" t="str">
        <f>IF(Flight!$A71=0,"",Flight!$A71)</f>
        <v>3A031</v>
      </c>
      <c r="F84" s="164" t="str">
        <f>IF(D84="","",VLOOKUP(D84,Flight!$A$68:$C$91,3,FALSE))</f>
        <v>ZTI</v>
      </c>
    </row>
    <row r="85" spans="4:6">
      <c r="D85" s="49" t="str">
        <f>IF(Flight!$A72=0,"",Flight!$A72)</f>
        <v>3A003</v>
      </c>
      <c r="F85" s="164" t="str">
        <f>IF(D85="","",VLOOKUP(D85,Flight!$A$68:$C$91,3,FALSE))</f>
        <v>ZYK</v>
      </c>
    </row>
    <row r="86" spans="4:6">
      <c r="D86" s="49" t="str">
        <f>IF(Flight!$A73=0,"",Flight!$A73)</f>
        <v>3A005</v>
      </c>
      <c r="F86" s="164" t="str">
        <f>IF(D86="","",VLOOKUP(D86,Flight!$A$68:$C$91,3,FALSE))</f>
        <v>HKM</v>
      </c>
    </row>
    <row r="87" spans="4:6">
      <c r="D87" s="49" t="str">
        <f>IF(Flight!$A74=0,"",Flight!$A74)</f>
        <v>3A007</v>
      </c>
      <c r="F87" s="164" t="str">
        <f>IF(D87="","",VLOOKUP(D87,Flight!$A$68:$C$91,3,FALSE))</f>
        <v>ZYK</v>
      </c>
    </row>
    <row r="88" spans="4:6">
      <c r="D88" s="49" t="str">
        <f>IF(Flight!$A75=0,"",Flight!$A75)</f>
        <v>3A008</v>
      </c>
      <c r="F88" s="164" t="str">
        <f>IF(D88="","",VLOOKUP(D88,Flight!$A$68:$C$91,3,FALSE))</f>
        <v>ZYK</v>
      </c>
    </row>
    <row r="89" spans="4:6">
      <c r="D89" s="49" t="str">
        <f>IF(Flight!$A76=0,"",Flight!$A76)</f>
        <v>3A009</v>
      </c>
      <c r="F89" s="164" t="str">
        <f>IF(D89="","",VLOOKUP(D89,Flight!$A$68:$C$91,3,FALSE))</f>
        <v>ZYK</v>
      </c>
    </row>
    <row r="90" spans="4:6">
      <c r="D90" s="49" t="str">
        <f>IF(Flight!$A77=0,"",Flight!$A77)</f>
        <v>3A010</v>
      </c>
      <c r="F90" s="164" t="str">
        <f>IF(D90="","",VLOOKUP(D90,Flight!$A$68:$C$91,3,FALSE))</f>
        <v>ZYK</v>
      </c>
    </row>
    <row r="91" spans="4:6">
      <c r="D91" s="49" t="str">
        <f>IF(Flight!$A78=0,"",Flight!$A78)</f>
        <v/>
      </c>
      <c r="F91" s="164" t="str">
        <f>IF(D91="","",VLOOKUP(D91,Flight!$A$68:$C$91,3,FALSE))</f>
        <v/>
      </c>
    </row>
    <row r="92" spans="4:6">
      <c r="D92" s="49" t="str">
        <f>IF(Flight!$A80=0,"",Flight!$A80)</f>
        <v>8S7121</v>
      </c>
      <c r="F92" s="164" t="str">
        <f>IF(D92="","",VLOOKUP(D92,Flight!$A$68:$C$91,3,FALSE))</f>
        <v>HKM</v>
      </c>
    </row>
    <row r="93" spans="4:6">
      <c r="D93" s="49" t="str">
        <f>IF(Flight!$A81=0,"",Flight!$A81)</f>
        <v>8S7108</v>
      </c>
      <c r="F93" s="164" t="str">
        <f>IF(D93="","",VLOOKUP(D93,Flight!$A$68:$C$91,3,FALSE))</f>
        <v>ZYK</v>
      </c>
    </row>
    <row r="94" spans="4:6">
      <c r="D94" s="49" t="str">
        <f>IF(Flight!$A82=0,"",Flight!$A82)</f>
        <v>8S7111</v>
      </c>
      <c r="F94" s="164" t="str">
        <f>IF(D94="","",VLOOKUP(D94,Flight!$A$68:$C$91,3,FALSE))</f>
        <v>ZYK</v>
      </c>
    </row>
    <row r="95" spans="4:6">
      <c r="D95" s="49" t="str">
        <f>IF(Flight!$A83=0,"",Flight!$A83)</f>
        <v>8S7131</v>
      </c>
      <c r="F95" s="164" t="str">
        <f>IF(D95="","",VLOOKUP(D95,Flight!$A$68:$C$91,3,FALSE))</f>
        <v>?</v>
      </c>
    </row>
    <row r="96" spans="4:6">
      <c r="D96" s="49" t="str">
        <f>IF(Flight!$A84=0,"",Flight!$A84)</f>
        <v>8S7119</v>
      </c>
      <c r="F96" s="164" t="str">
        <f>IF(D96="","",VLOOKUP(D96,Flight!$A$68:$C$91,3,FALSE))</f>
        <v>HKM</v>
      </c>
    </row>
    <row r="97" spans="4:6">
      <c r="D97" s="49" t="str">
        <f>IF(Flight!$A85=0,"",Flight!$A85)</f>
        <v>8S7126</v>
      </c>
      <c r="F97" s="164" t="str">
        <f>IF(D97="","",VLOOKUP(D97,Flight!$A$68:$C$91,3,FALSE))</f>
        <v>HKM</v>
      </c>
    </row>
    <row r="98" spans="4:6">
      <c r="D98" s="49" t="str">
        <f>IF(Flight!$A86=0,"",Flight!$A86)</f>
        <v>8S7128</v>
      </c>
      <c r="F98" s="164" t="str">
        <f>IF(D98="","",VLOOKUP(D98,Flight!$A$68:$C$91,3,FALSE))</f>
        <v>HKM</v>
      </c>
    </row>
    <row r="99" spans="4:6">
      <c r="D99" s="49" t="str">
        <f>IF(Flight!$A87=0,"",Flight!$A87)</f>
        <v>3A8010</v>
      </c>
      <c r="F99" s="164" t="str">
        <f>IF(D99="","",VLOOKUP(D99,Flight!$A$68:$C$91,3,FALSE))</f>
        <v>HZI</v>
      </c>
    </row>
    <row r="100" spans="4:6">
      <c r="D100" s="49" t="str">
        <f>IF(Flight!$A88=0,"",Flight!$A88)</f>
        <v>3A8015</v>
      </c>
      <c r="F100" s="164" t="str">
        <f>IF(D100="","",VLOOKUP(D100,Flight!$A$68:$C$91,3,FALSE))</f>
        <v>?</v>
      </c>
    </row>
    <row r="101" spans="4:6">
      <c r="D101" s="49" t="str">
        <f>IF(Flight!$A89=0,"",Flight!$A89)</f>
        <v>3A8016</v>
      </c>
      <c r="F101" s="164" t="str">
        <f>IF(D101="","",VLOOKUP(D101,Flight!$A$68:$C$91,3,FALSE))</f>
        <v>HZI</v>
      </c>
    </row>
    <row r="102" spans="4:6">
      <c r="D102" s="49" t="str">
        <f>IF(Flight!$A91=0,"",Flight!$A91)</f>
        <v xml:space="preserve">Last </v>
      </c>
      <c r="F102" s="164" t="str">
        <f>IF(D102="","",VLOOKUP(D102,Flight!$A$68:$C$91,3,FALSE))</f>
        <v>↑</v>
      </c>
    </row>
    <row r="103" spans="4:6">
      <c r="D103" s="49" t="str">
        <f>IF(Flight!$A92=0,"",Flight!$A92)</f>
        <v/>
      </c>
      <c r="F103" s="164" t="str">
        <f>IF(D103="","",VLOOKUP(D103,Flight!$A$68:$C$91,3,FALSE))</f>
        <v/>
      </c>
    </row>
    <row r="104" spans="4:6">
      <c r="D104" s="186"/>
      <c r="F104" s="187"/>
    </row>
    <row r="105" spans="4:6">
      <c r="D105" s="406" t="str">
        <f>IF(Flight!$A$93=0,"",Flight!$A$93)</f>
        <v>Target Flight</v>
      </c>
      <c r="E105" s="406"/>
      <c r="F105" s="406"/>
    </row>
    <row r="106" spans="4:6">
      <c r="D106" s="27" t="s">
        <v>59</v>
      </c>
      <c r="E106" s="158"/>
      <c r="F106" s="10" t="s">
        <v>38</v>
      </c>
    </row>
    <row r="107" spans="4:6">
      <c r="D107" s="27" t="s">
        <v>89</v>
      </c>
      <c r="E107" s="158"/>
      <c r="F107" s="10" t="s">
        <v>38</v>
      </c>
    </row>
    <row r="108" spans="4:6">
      <c r="D108" s="27" t="s">
        <v>254</v>
      </c>
      <c r="E108" s="158"/>
      <c r="F108" s="10" t="s">
        <v>38</v>
      </c>
    </row>
    <row r="109" spans="4:6">
      <c r="D109" s="27" t="s">
        <v>57</v>
      </c>
      <c r="E109" s="158"/>
      <c r="F109" s="10" t="s">
        <v>58</v>
      </c>
    </row>
    <row r="110" spans="4:6">
      <c r="D110" s="27" t="s">
        <v>198</v>
      </c>
      <c r="E110" s="158"/>
      <c r="F110" s="10" t="s">
        <v>199</v>
      </c>
    </row>
    <row r="111" spans="4:6">
      <c r="D111" s="27" t="s">
        <v>55</v>
      </c>
      <c r="E111" s="158"/>
      <c r="F111" s="10" t="s">
        <v>54</v>
      </c>
    </row>
    <row r="112" spans="4:6">
      <c r="D112" s="27" t="s">
        <v>39</v>
      </c>
      <c r="E112" s="158"/>
      <c r="F112" s="10" t="s">
        <v>38</v>
      </c>
    </row>
    <row r="113" spans="4:6">
      <c r="D113" s="27" t="s">
        <v>200</v>
      </c>
      <c r="E113" s="158"/>
      <c r="F113" s="10" t="s">
        <v>54</v>
      </c>
    </row>
    <row r="114" spans="4:6">
      <c r="D114" s="27" t="s">
        <v>201</v>
      </c>
      <c r="E114" s="158"/>
      <c r="F114" s="10" t="s">
        <v>38</v>
      </c>
    </row>
    <row r="115" spans="4:6">
      <c r="D115" s="161" t="s">
        <v>538</v>
      </c>
      <c r="E115" s="158"/>
      <c r="F115" s="159" t="s">
        <v>566</v>
      </c>
    </row>
    <row r="116" spans="4:6">
      <c r="D116" s="161"/>
      <c r="E116" s="158"/>
      <c r="F116" s="159"/>
    </row>
  </sheetData>
  <mergeCells count="94">
    <mergeCell ref="F37:G37"/>
    <mergeCell ref="K37:M37"/>
    <mergeCell ref="F20:G20"/>
    <mergeCell ref="K20:M20"/>
    <mergeCell ref="K51:M51"/>
    <mergeCell ref="G49:I49"/>
    <mergeCell ref="K52:M52"/>
    <mergeCell ref="F40:G40"/>
    <mergeCell ref="K40:M40"/>
    <mergeCell ref="K49:M49"/>
    <mergeCell ref="K50:M50"/>
    <mergeCell ref="A45:H45"/>
    <mergeCell ref="A46:B46"/>
    <mergeCell ref="D46:E46"/>
    <mergeCell ref="G46:H46"/>
    <mergeCell ref="I46:J46"/>
    <mergeCell ref="A47:B47"/>
    <mergeCell ref="D47:E47"/>
    <mergeCell ref="G47:H47"/>
    <mergeCell ref="I47:J47"/>
    <mergeCell ref="A49:B49"/>
    <mergeCell ref="C49:E49"/>
    <mergeCell ref="A53:B53"/>
    <mergeCell ref="C53:E53"/>
    <mergeCell ref="F53:G53"/>
    <mergeCell ref="H53:I53"/>
    <mergeCell ref="K53:M53"/>
    <mergeCell ref="A55:B55"/>
    <mergeCell ref="C55:E55"/>
    <mergeCell ref="H55:I55"/>
    <mergeCell ref="C56:H56"/>
    <mergeCell ref="I57:J57"/>
    <mergeCell ref="D54:E54"/>
    <mergeCell ref="F54:G54"/>
    <mergeCell ref="H54:I54"/>
    <mergeCell ref="D51:I51"/>
    <mergeCell ref="D105:F105"/>
    <mergeCell ref="D81:F81"/>
    <mergeCell ref="F52:I52"/>
    <mergeCell ref="A52:B52"/>
    <mergeCell ref="C52:E52"/>
    <mergeCell ref="D48:E48"/>
    <mergeCell ref="G48:H48"/>
    <mergeCell ref="I48:J48"/>
    <mergeCell ref="C50:E50"/>
    <mergeCell ref="G50:I50"/>
    <mergeCell ref="J5:K5"/>
    <mergeCell ref="K47:M47"/>
    <mergeCell ref="A43:F43"/>
    <mergeCell ref="I43:M44"/>
    <mergeCell ref="A44:H44"/>
    <mergeCell ref="A6:A7"/>
    <mergeCell ref="B6:C6"/>
    <mergeCell ref="D6:D7"/>
    <mergeCell ref="E6:E7"/>
    <mergeCell ref="F6:F7"/>
    <mergeCell ref="G6:G7"/>
    <mergeCell ref="K46:M46"/>
    <mergeCell ref="H6:H7"/>
    <mergeCell ref="I6:I7"/>
    <mergeCell ref="J6:J7"/>
    <mergeCell ref="K6:M6"/>
    <mergeCell ref="B3:C3"/>
    <mergeCell ref="D3:E3"/>
    <mergeCell ref="F3:G3"/>
    <mergeCell ref="H3:I3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E12:F12"/>
    <mergeCell ref="E13:F13"/>
    <mergeCell ref="D1:E1"/>
    <mergeCell ref="D2:E2"/>
    <mergeCell ref="G2:I2"/>
    <mergeCell ref="H5:I5"/>
    <mergeCell ref="E8:F8"/>
    <mergeCell ref="F14:G14"/>
    <mergeCell ref="K17:M17"/>
    <mergeCell ref="K18:M18"/>
    <mergeCell ref="F17:G17"/>
    <mergeCell ref="F18:G18"/>
    <mergeCell ref="E15:F15"/>
    <mergeCell ref="E16:F16"/>
    <mergeCell ref="K15:M15"/>
    <mergeCell ref="K16:M16"/>
  </mergeCells>
  <phoneticPr fontId="2" type="noConversion"/>
  <conditionalFormatting sqref="E9:E11 H8:H39 H41:H42 E41:E42 E15:E39">
    <cfRule type="cellIs" dxfId="119" priority="10" operator="equal">
      <formula>""</formula>
    </cfRule>
  </conditionalFormatting>
  <conditionalFormatting sqref="F62:H79">
    <cfRule type="cellIs" dxfId="118" priority="9" operator="equal">
      <formula>"?"</formula>
    </cfRule>
  </conditionalFormatting>
  <conditionalFormatting sqref="D116:D999 D43:D114">
    <cfRule type="duplicateValues" dxfId="117" priority="56"/>
  </conditionalFormatting>
  <conditionalFormatting sqref="D115">
    <cfRule type="duplicateValues" dxfId="116" priority="6"/>
  </conditionalFormatting>
  <conditionalFormatting sqref="D8:D39 D41:D42">
    <cfRule type="duplicateValues" dxfId="115" priority="128"/>
  </conditionalFormatting>
  <conditionalFormatting sqref="E40 H40">
    <cfRule type="cellIs" dxfId="114" priority="4" operator="equal">
      <formula>""</formula>
    </cfRule>
  </conditionalFormatting>
  <conditionalFormatting sqref="D40">
    <cfRule type="duplicateValues" dxfId="113" priority="5"/>
  </conditionalFormatting>
  <conditionalFormatting sqref="E8">
    <cfRule type="cellIs" dxfId="112" priority="3" operator="equal">
      <formula>""</formula>
    </cfRule>
  </conditionalFormatting>
  <conditionalFormatting sqref="E12:E13">
    <cfRule type="cellIs" dxfId="111" priority="2" operator="equal">
      <formula>""</formula>
    </cfRule>
  </conditionalFormatting>
  <conditionalFormatting sqref="E14">
    <cfRule type="cellIs" dxfId="110" priority="1" operator="equal">
      <formula>""</formula>
    </cfRule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errorStyle="warning" allowBlank="1" showInputMessage="1">
          <x14:formula1>
            <xm:f>Staff!$B$15:$B$39</xm:f>
          </x14:formula1>
          <xm:sqref>D47:E47</xm:sqref>
        </x14:dataValidation>
        <x14:dataValidation type="list" allowBlank="1" showInputMessage="1" showErrorMessage="1">
          <x14:formula1>
            <xm:f>Staff!$G$23:$G$52</xm:f>
          </x14:formula1>
          <xm:sqref>K49:M53</xm:sqref>
        </x14:dataValidation>
        <x14:dataValidation type="list" allowBlank="1" showInputMessage="1">
          <x14:formula1>
            <xm:f>Staff!$G$12:$G$52</xm:f>
          </x14:formula1>
          <xm:sqref>G49:I50</xm:sqref>
        </x14:dataValidation>
        <x14:dataValidation type="list" allowBlank="1" showInputMessage="1">
          <x14:formula1>
            <xm:f>Staff!$G$2:$G$9</xm:f>
          </x14:formula1>
          <xm:sqref>K46:M47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zoomScale="70" zoomScaleNormal="100" zoomScaleSheetLayoutView="70" workbookViewId="0">
      <selection activeCell="K39" sqref="K39:M39"/>
    </sheetView>
  </sheetViews>
  <sheetFormatPr defaultRowHeight="15.75"/>
  <cols>
    <col min="1" max="1" width="9.125" style="220" customWidth="1"/>
    <col min="2" max="2" width="10.25" style="220" customWidth="1"/>
    <col min="3" max="3" width="9.75" style="22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21" customWidth="1"/>
    <col min="9" max="9" width="9" style="54" customWidth="1"/>
    <col min="10" max="10" width="9.125" style="54" customWidth="1"/>
    <col min="11" max="13" width="9.125" style="220" customWidth="1"/>
    <col min="14" max="14" width="9" style="220"/>
    <col min="15" max="15" width="10.75" style="112" bestFit="1" customWidth="1"/>
    <col min="16" max="16" width="12.25" style="220" bestFit="1" customWidth="1"/>
    <col min="17" max="16384" width="9" style="220"/>
  </cols>
  <sheetData>
    <row r="1" spans="1:16">
      <c r="A1" s="227"/>
      <c r="B1" s="227"/>
      <c r="C1" s="108" t="s">
        <v>20</v>
      </c>
      <c r="D1" s="355">
        <v>45754</v>
      </c>
      <c r="E1" s="355"/>
      <c r="F1" s="224" t="s">
        <v>23</v>
      </c>
      <c r="G1" s="110">
        <f>D1</f>
        <v>45754</v>
      </c>
      <c r="H1" s="228" t="s">
        <v>24</v>
      </c>
      <c r="I1" s="225"/>
      <c r="J1" s="225"/>
      <c r="K1" s="227"/>
      <c r="L1" s="227"/>
      <c r="M1" s="47"/>
    </row>
    <row r="2" spans="1:16" ht="17.25" customHeight="1" thickBot="1">
      <c r="A2" s="227"/>
      <c r="B2" s="227"/>
      <c r="C2" s="227"/>
      <c r="D2" s="356"/>
      <c r="E2" s="356"/>
      <c r="F2" s="225"/>
      <c r="G2" s="357"/>
      <c r="H2" s="357"/>
      <c r="I2" s="357"/>
      <c r="J2" s="225"/>
      <c r="K2" s="227"/>
      <c r="L2" s="227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S12(5)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 &lt;S1(4)&gt;  S3(4) S4(1)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>-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S2(4)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 &lt;S10(5)&gt;  S11(4)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S9(4)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33" t="s">
        <v>52</v>
      </c>
      <c r="C7" s="233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>IF($E8&lt;&gt;"",IF($E8-715&lt;0,VLOOKUP($B$3,$E$62:$J$73,6,FALSE),IF(AND($E8-2130&gt;0,_xlfn.IFNA(MATCH($D8,$D$106:$D$116,0)&lt;20,"")=TRUE),VLOOKUP($L$3,$E$62:$J$73,6,FALSE),"-")),"")</f>
        <v>S12</v>
      </c>
      <c r="C8" s="9" t="str">
        <f t="shared" ref="C8:C17" si="0">IF($E8&lt;&gt;"",IF(ISNUMBER(SEARCH("Hall Operation",$K8)),"-",IF($E8-715&lt;0,VLOOKUP($B$3,$E$62:$J$73,6,FALSE),IF($E8-2129&gt;0,VLOOKUP($L$3,$E$62:$J$73,6,FALSE),""))),"")</f>
        <v>-</v>
      </c>
      <c r="D8" s="9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17" si="1">IF($D8=0,"",IF(OR(ISNUMBER(SEARCH("S",$B8)),_xlfn.IFNA(MATCH($D8,$D$106:$D$116,0)&lt;20,"")=TRUE),"&lt;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>IF($F9="Wavied","-",IF($D9=0,"",ROW($A9)-ROW($A$8)+1-COUNTIF($A$8:$A8,"@")-COUNTIF($A$8:$A8,"-")))</f>
        <v>2</v>
      </c>
      <c r="B9" s="9" t="str">
        <f>IF($E9&lt;&gt;"",IF($E9-715&lt;0,VLOOKUP($B$3,$E$62:$J$73,6,FALSE),IF(AND($E9-2130&gt;0,_xlfn.IFNA(MATCH($D9,$D$106:$D$116,0)&lt;20,"")=TRUE),VLOOKUP($L$3,$E$62:$J$73,6,FALSE),"-")),"")</f>
        <v>S12</v>
      </c>
      <c r="C9" s="9" t="str">
        <f t="shared" si="0"/>
        <v>-</v>
      </c>
      <c r="D9" s="165" t="s">
        <v>533</v>
      </c>
      <c r="E9" s="172" t="str">
        <f>IF($D9&gt;0,VLOOKUP($D9,Flight!$A$1:$E$91,2,FALSE),"")</f>
        <v>0545</v>
      </c>
      <c r="F9" s="45"/>
      <c r="G9" s="43" t="str">
        <f t="shared" ref="G9:G42" si="2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1"/>
        <v>&lt;   Hall Operation   &gt;</v>
      </c>
      <c r="L9" s="166"/>
      <c r="M9" s="166"/>
    </row>
    <row r="10" spans="1:16">
      <c r="A10" s="9">
        <f>IF($F10="Wavied","-",IF($D10=0,"",ROW($A10)-ROW($A$8)+1-COUNTIF($A$8:$A9,"@")-COUNTIF($A$8:$A9,"-")))</f>
        <v>3</v>
      </c>
      <c r="B10" s="9" t="str">
        <f>IF($E10&lt;&gt;"",IF($E10-715&lt;0,VLOOKUP($B$3,$E$62:$J$73,6,FALSE),IF(AND($E10-2130&gt;0,_xlfn.IFNA(MATCH($D10,$D$106:$D$116,0)&lt;20,"")=TRUE),VLOOKUP($L$3,$E$62:$J$73,6,FALSE),"-")),"")</f>
        <v>S12</v>
      </c>
      <c r="C10" s="9" t="str">
        <f t="shared" si="0"/>
        <v>-</v>
      </c>
      <c r="D10" s="27" t="s">
        <v>534</v>
      </c>
      <c r="E10" s="172" t="str">
        <f>IF($D10&gt;0,VLOOKUP($D10,Flight!$A$1:$E$91,2,FALSE),"")</f>
        <v>0555</v>
      </c>
      <c r="F10" s="45"/>
      <c r="G10" s="43" t="str">
        <f t="shared" si="2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1"/>
        <v>&lt;   Hall Operation   &gt;</v>
      </c>
      <c r="L10" s="166"/>
      <c r="M10" s="166"/>
    </row>
    <row r="11" spans="1:16">
      <c r="A11" s="9">
        <f>IF($F11="Wavied","-",IF($D11=0,"",ROW($A11)-ROW($A$8)+1-COUNTIF($A$8:$A10,"@")-COUNTIF($A$8:$A10,"-")))</f>
        <v>4</v>
      </c>
      <c r="B11" s="9" t="str">
        <f>IF($E11&lt;&gt;"",IF($E11-715&lt;0,VLOOKUP($B$3,$E$62:$J$73,6,FALSE),IF(AND($E11-2130&gt;0,_xlfn.IFNA(MATCH($D11,$D$106:$D$116,0)&lt;20,"")=TRUE),VLOOKUP($L$3,$E$62:$J$73,6,FALSE),"-")),"")</f>
        <v>S12</v>
      </c>
      <c r="C11" s="9" t="str">
        <f t="shared" si="0"/>
        <v>-</v>
      </c>
      <c r="D11" s="27" t="s">
        <v>535</v>
      </c>
      <c r="E11" s="172" t="str">
        <f>IF($D11&gt;0,VLOOKUP($D11,Flight!$A$1:$E$91,2,FALSE),"")</f>
        <v>0615</v>
      </c>
      <c r="F11" s="43"/>
      <c r="G11" s="43" t="str">
        <f t="shared" si="2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1"/>
        <v>&lt;   Hall Operation   &gt;</v>
      </c>
      <c r="L11" s="166"/>
      <c r="M11" s="166"/>
    </row>
    <row r="12" spans="1:16">
      <c r="A12" s="9">
        <f>IF($F12="Wavied","-",IF($D12=0,"",ROW($A12)-ROW($A$8)+1-COUNTIF($A$8:$A11,"@")-COUNTIF($A$8:$A11,"-")))</f>
        <v>5</v>
      </c>
      <c r="B12" s="9" t="str">
        <f>IF($E12&lt;&gt;"",IF($E12-715&lt;0,VLOOKUP($B$3,$E$62:$J$73,6,FALSE),IF(AND($E12-2130&gt;0,_xlfn.IFNA(MATCH($D12,$D$106:$D$116,0)&lt;20,"")=TRUE),VLOOKUP($L$3,$E$62:$J$73,6,FALSE),"-")),"")</f>
        <v>S12</v>
      </c>
      <c r="C12" s="9" t="str">
        <f t="shared" si="0"/>
        <v>-</v>
      </c>
      <c r="D12" s="27" t="s">
        <v>201</v>
      </c>
      <c r="E12" s="172" t="str">
        <f>IF($D12&gt;0,VLOOKUP($D12,Flight!$A$1:$E$91,2,FALSE),"")</f>
        <v>0640</v>
      </c>
      <c r="F12" s="45"/>
      <c r="G12" s="43" t="str">
        <f t="shared" si="2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1"/>
        <v>&lt;   Hall Operation   &gt;</v>
      </c>
      <c r="L12" s="166"/>
      <c r="M12" s="166"/>
    </row>
    <row r="13" spans="1:16">
      <c r="A13" s="9">
        <f>IF($F13="Wavied","-",IF($D13=0,"",ROW($A13)-ROW($A$8)+1-COUNTIF($A$8:$A12,"@")-COUNTIF($A$8:$A12,"-")))</f>
        <v>6</v>
      </c>
      <c r="B13" s="9" t="s">
        <v>595</v>
      </c>
      <c r="C13" s="9" t="str">
        <f t="shared" si="0"/>
        <v>-</v>
      </c>
      <c r="D13" s="27" t="s">
        <v>537</v>
      </c>
      <c r="E13" s="172" t="str">
        <f>IF($D13&gt;0,VLOOKUP($D13,Flight!$A$1:$E$91,2,FALSE),"")</f>
        <v>0905</v>
      </c>
      <c r="F13" s="46"/>
      <c r="G13" s="43" t="str">
        <f t="shared" si="2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1"/>
        <v>&lt;   Hall Operation   &gt;</v>
      </c>
      <c r="L13" s="166"/>
      <c r="M13" s="166"/>
      <c r="P13" s="87"/>
    </row>
    <row r="14" spans="1:16">
      <c r="A14" s="9">
        <f>IF($F14="Wavied","-",IF($D14=0,"",ROW($A14)-ROW($A$8)+1-COUNTIF($A$8:$A13,"@")-COUNTIF($A$8:$A13,"-")))</f>
        <v>7</v>
      </c>
      <c r="B14" s="9" t="s">
        <v>595</v>
      </c>
      <c r="C14" s="9" t="str">
        <f t="shared" si="0"/>
        <v>-</v>
      </c>
      <c r="D14" s="27" t="s">
        <v>538</v>
      </c>
      <c r="E14" s="172" t="str">
        <f>IF($D14&gt;0,VLOOKUP($D14,Flight!$A$1:$E$91,2,FALSE),"")</f>
        <v>0930</v>
      </c>
      <c r="F14" s="46"/>
      <c r="G14" s="43" t="str">
        <f t="shared" si="2"/>
        <v/>
      </c>
      <c r="H14" s="44" t="str">
        <f>IF($D14&gt;0,VLOOKUP($D14,Flight!$A$1:$E$91,3,FALSE),"")</f>
        <v>HYD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1"/>
        <v>&lt;   Hall Operation   &gt;</v>
      </c>
      <c r="L14" s="166"/>
      <c r="M14" s="166"/>
    </row>
    <row r="15" spans="1:16">
      <c r="A15" s="9">
        <f>IF($F15="Wavied","-",IF($D15=0,"",ROW($A15)-ROW($A$8)+1-COUNTIF($A$8:$A14,"@")-COUNTIF($A$8:$A14,"-")))</f>
        <v>8</v>
      </c>
      <c r="B15" s="9" t="s">
        <v>595</v>
      </c>
      <c r="C15" s="9" t="str">
        <f t="shared" si="0"/>
        <v>-</v>
      </c>
      <c r="D15" s="27" t="s">
        <v>370</v>
      </c>
      <c r="E15" s="172" t="str">
        <f>IF($D15&gt;0,VLOOKUP($D15,Flight!$A$1:$E$91,2,FALSE),"")</f>
        <v>0935</v>
      </c>
      <c r="F15" s="46"/>
      <c r="G15" s="43" t="str">
        <f t="shared" si="2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1"/>
        <v>&lt;   Hall Operation   &gt;</v>
      </c>
      <c r="L15" s="166"/>
      <c r="M15" s="166"/>
      <c r="O15" s="114"/>
    </row>
    <row r="16" spans="1:16">
      <c r="A16" s="9">
        <f>IF($F16="Wavied","-",IF($D16=0,"",ROW($A16)-ROW($A$8)+1-COUNTIF($A$8:$A15,"@")-COUNTIF($A$8:$A15,"-")))</f>
        <v>9</v>
      </c>
      <c r="B16" s="9" t="s">
        <v>596</v>
      </c>
      <c r="C16" s="9" t="str">
        <f t="shared" si="0"/>
        <v>-</v>
      </c>
      <c r="D16" s="27" t="s">
        <v>198</v>
      </c>
      <c r="E16" s="172" t="str">
        <f>IF($D16&gt;0,VLOOKUP($D16,Flight!$A$1:$E$91,2,FALSE),"")</f>
        <v>0950</v>
      </c>
      <c r="F16" s="45"/>
      <c r="G16" s="43" t="str">
        <f t="shared" si="2"/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1"/>
        <v>&lt;   Hall Operation   &gt;</v>
      </c>
      <c r="L16" s="166"/>
      <c r="M16" s="166"/>
      <c r="O16" s="114"/>
    </row>
    <row r="17" spans="1:15" ht="16.5" customHeight="1">
      <c r="A17" s="9">
        <f>IF($F17="Wavied","-",IF($D17=0,"",ROW($A17)-ROW($A$8)+1-COUNTIF($A$8:$A16,"@")-COUNTIF($A$8:$A16,"-")))</f>
        <v>10</v>
      </c>
      <c r="B17" s="9" t="s">
        <v>596</v>
      </c>
      <c r="C17" s="9" t="str">
        <f t="shared" si="0"/>
        <v>-</v>
      </c>
      <c r="D17" s="27" t="s">
        <v>539</v>
      </c>
      <c r="E17" s="172" t="str">
        <f>IF($D17&gt;0,VLOOKUP($D17,Flight!$A$1:$E$91,2,FALSE),"")</f>
        <v>0955</v>
      </c>
      <c r="F17" s="45"/>
      <c r="G17" s="43" t="str">
        <f t="shared" si="2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1"/>
        <v>&lt;   Hall Operation   &gt;</v>
      </c>
      <c r="L17" s="166"/>
      <c r="M17" s="166"/>
      <c r="O17" s="114"/>
    </row>
    <row r="18" spans="1:15">
      <c r="A18" s="9">
        <f>IF($F18="Wavied","-",IF($D18=0,"",ROW($A18)-ROW($A$8)+1-COUNTIF($A$8:$A17,"@")-COUNTIF($A$8:$A17,"-")))</f>
        <v>11</v>
      </c>
      <c r="B18" s="9" t="str">
        <f>IF($E18&lt;&gt;"",IF($E18-715&lt;0,VLOOKUP($B$3,$E$62:$J$73,6,FALSE),IF(AND($E18-2130&gt;0,_xlfn.IFNA(MATCH($D18,$D$106:$D$116,0)&lt;20,"")=TRUE),VLOOKUP($L$3,$E$62:$J$73,6,FALSE),"-")),"")</f>
        <v>-</v>
      </c>
      <c r="C18" s="9" t="s">
        <v>595</v>
      </c>
      <c r="D18" s="27" t="s">
        <v>372</v>
      </c>
      <c r="E18" s="172" t="str">
        <f>IF($D18&gt;0,VLOOKUP($D18,Flight!$A$1:$E$91,2,FALSE),"")</f>
        <v>1000</v>
      </c>
      <c r="F18" s="45" t="s">
        <v>894</v>
      </c>
      <c r="G18" s="43" t="s">
        <v>895</v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>
        <v>1</v>
      </c>
      <c r="L18" s="166">
        <v>1</v>
      </c>
      <c r="M18" s="166">
        <v>3</v>
      </c>
      <c r="O18" s="114"/>
    </row>
    <row r="19" spans="1:15">
      <c r="A19" s="9">
        <f>IF($F19="Wavied","-",IF($D19=0,"",ROW($A19)-ROW($A$8)+1-COUNTIF($A$8:$A18,"@")-COUNTIF($A$8:$A18,"-")))</f>
        <v>12</v>
      </c>
      <c r="B19" s="9" t="s">
        <v>893</v>
      </c>
      <c r="C19" s="9" t="str">
        <f>IF($E19&lt;&gt;"",IF(ISNUMBER(SEARCH("Hall Operation",$K19)),"-",IF($E19-715&lt;0,VLOOKUP($B$3,$E$62:$J$73,6,FALSE),IF($E19-2129&gt;0,VLOOKUP($L$3,$E$62:$J$73,6,FALSE),""))),"")</f>
        <v>-</v>
      </c>
      <c r="D19" s="27" t="s">
        <v>373</v>
      </c>
      <c r="E19" s="172" t="str">
        <f>IF($D19&gt;0,VLOOKUP($D19,Flight!$A$1:$E$91,2,FALSE),"")</f>
        <v>1010</v>
      </c>
      <c r="F19" s="45"/>
      <c r="G19" s="43" t="str">
        <f t="shared" si="2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>IF($D19=0,"",IF(OR(ISNUMBER(SEARCH("S",$B19)),_xlfn.IFNA(MATCH($D19,$D$106:$D$116,0)&lt;20,"")=TRUE),"&lt;   Hall Operation   &gt;",""))</f>
        <v>&lt;   Hall Operation   &gt;</v>
      </c>
      <c r="L19" s="166"/>
      <c r="M19" s="166"/>
      <c r="O19" s="114"/>
    </row>
    <row r="20" spans="1:15">
      <c r="A20" s="251" t="str">
        <f>IF($E20&lt;&gt;"",IF($E20-715&lt;0,VLOOKUP($B$3,$E$62:$J$73,6,FALSE),IF(AND($E20-2130&gt;0,_xlfn.IFNA(MATCH($D20,$D$106:$D$116,0)&lt;20,"")=TRUE),VLOOKUP($L$3,$E$62:$J$73,6,FALSE),"-")),"")</f>
        <v>-</v>
      </c>
      <c r="B20" s="251" t="str">
        <f>IF($E20&lt;&gt;"",IF($E20-715&lt;0,VLOOKUP($B$3,$E$62:$J$73,6,FALSE),IF(AND($E20-2130&gt;0,_xlfn.IFNA(MATCH($D20,$D$106:$D$116,0)&lt;20,"")=TRUE),VLOOKUP($L$3,$E$62:$J$73,6,FALSE),"-")),"")</f>
        <v>-</v>
      </c>
      <c r="C20" s="251" t="s">
        <v>596</v>
      </c>
      <c r="D20" s="252" t="s">
        <v>374</v>
      </c>
      <c r="E20" s="253" t="str">
        <f>IF($D20&gt;0,VLOOKUP($D20,Flight!$A$1:$E$91,2,FALSE),"")</f>
        <v>1115</v>
      </c>
      <c r="F20" s="254" t="s">
        <v>524</v>
      </c>
      <c r="G20" s="291" t="str">
        <f t="shared" si="2"/>
        <v/>
      </c>
      <c r="H20" s="254" t="str">
        <f>IF($D20&gt;0,VLOOKUP($D20,Flight!$A$1:$E$91,3,FALSE),"")</f>
        <v>KUL</v>
      </c>
      <c r="I20" s="254" t="str">
        <f>IF($D20&gt;0,IF(VLOOKUP($D20,Flight!$A$1:$E$91,4,FALSE)&gt;1,VLOOKUP($D20,Flight!$A$1:$E103,4,FALSE),""),"")</f>
        <v/>
      </c>
      <c r="J20" s="254" t="str">
        <f>IF($D20&gt;0,IF(VLOOKUP($D20,Flight!$A$1:$E$91,5,FALSE)&gt;1,VLOOKUP($D20,Flight!$A$1:$E$91,5,FALSE),""),"")</f>
        <v/>
      </c>
      <c r="K20" s="292" t="s">
        <v>811</v>
      </c>
      <c r="L20" s="292"/>
      <c r="M20" s="292"/>
      <c r="O20" s="114"/>
    </row>
    <row r="21" spans="1:15" ht="15.75" customHeight="1">
      <c r="A21" s="9">
        <f>IF($F21="Wavied","-",IF($D21=0,"",ROW($A21)-ROW($A$8)+1-COUNTIF($A$8:$A20,"@")-COUNTIF($A$8:$A20,"-")))</f>
        <v>13</v>
      </c>
      <c r="B21" s="9" t="str">
        <f>IF($E21&lt;&gt;"",IF($E21-715&lt;0,VLOOKUP($B$3,$E$62:$J$73,6,FALSE),IF(AND($E21-2130&gt;0,_xlfn.IFNA(MATCH($D21,$D$106:$D$116,0)&lt;20,"")=TRUE),VLOOKUP($L$3,$E$62:$J$73,6,FALSE),"-")),"")</f>
        <v>-</v>
      </c>
      <c r="C21" s="9" t="s">
        <v>594</v>
      </c>
      <c r="D21" s="27" t="s">
        <v>375</v>
      </c>
      <c r="E21" s="172" t="str">
        <f>IF($D21&gt;0,VLOOKUP($D21,Flight!$A$1:$E$91,2,FALSE),"")</f>
        <v>1145</v>
      </c>
      <c r="F21" s="44">
        <v>1219</v>
      </c>
      <c r="G21" s="43" t="s">
        <v>905</v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>
        <v>0</v>
      </c>
      <c r="L21" s="166">
        <v>0</v>
      </c>
      <c r="M21" s="166">
        <v>2</v>
      </c>
      <c r="O21" s="114"/>
    </row>
    <row r="22" spans="1:15" s="255" customFormat="1">
      <c r="A22" s="270" t="s">
        <v>897</v>
      </c>
      <c r="B22" s="270" t="str">
        <f>IF($E22&lt;&gt;"",IF($E22-715&lt;0,VLOOKUP($B$3,$E$62:$J$73,6,FALSE),IF(AND($E22-2130&gt;0,_xlfn.IFNA(MATCH($D22,$D$106:$D$116,0)&lt;20,"")=TRUE),VLOOKUP($L$3,$E$62:$J$73,6,FALSE),"-")),"")</f>
        <v>-</v>
      </c>
      <c r="C22" s="270" t="s">
        <v>595</v>
      </c>
      <c r="D22" s="270" t="s">
        <v>542</v>
      </c>
      <c r="E22" s="272" t="str">
        <f>IF($D22&gt;0,VLOOKUP($D22,Flight!$A$1:$E$91,2,FALSE),"")</f>
        <v>1210</v>
      </c>
      <c r="F22" s="273" t="s">
        <v>524</v>
      </c>
      <c r="G22" s="305" t="str">
        <f t="shared" ref="G22" si="3">IF(A22="@",IF(H22="ZYK","Berth 3",IF(H22="HKM","Bay 7","")),"")</f>
        <v/>
      </c>
      <c r="H22" s="273" t="str">
        <f>IF($D22&gt;0,VLOOKUP($D22,Flight!$A$1:$E$91,3,FALSE),"")</f>
        <v>BKK</v>
      </c>
      <c r="I22" s="273" t="str">
        <f>IF($D22&gt;0,IF(VLOOKUP($D22,Flight!$A$1:$E$91,4,FALSE)&gt;1,VLOOKUP($D22,Flight!$A$1:$E104,4,FALSE),""),"")</f>
        <v/>
      </c>
      <c r="J22" s="273" t="str">
        <f>IF($D22&gt;0,IF(VLOOKUP($D22,Flight!$A$1:$E$91,5,FALSE)&gt;1,VLOOKUP($D22,Flight!$A$1:$E$91,5,FALSE),""),"")</f>
        <v/>
      </c>
      <c r="K22" s="294" t="s">
        <v>896</v>
      </c>
      <c r="L22" s="294"/>
      <c r="M22" s="294"/>
      <c r="O22" s="114"/>
    </row>
    <row r="23" spans="1:15">
      <c r="A23" s="270" t="s">
        <v>904</v>
      </c>
      <c r="B23" s="270" t="str">
        <f>IF($E23&lt;&gt;"",IF($E23-715&lt;0,VLOOKUP($B$3,$E$62:$J$73,6,FALSE),IF(AND($E23-2130&gt;0,_xlfn.IFNA(MATCH($D23,$D$106:$D$116,0)&lt;20,"")=TRUE),VLOOKUP($L$3,$E$62:$J$73,6,FALSE),"-")),"")</f>
        <v>-</v>
      </c>
      <c r="C23" s="270" t="s">
        <v>595</v>
      </c>
      <c r="D23" s="270" t="s">
        <v>376</v>
      </c>
      <c r="E23" s="272" t="str">
        <f>IF($D23&gt;0,VLOOKUP($D23,Flight!$A$1:$E$91,2,FALSE),"")</f>
        <v>1305</v>
      </c>
      <c r="F23" s="273"/>
      <c r="G23" s="305" t="str">
        <f t="shared" si="2"/>
        <v/>
      </c>
      <c r="H23" s="273" t="str">
        <f>IF($D23&gt;0,VLOOKUP($D23,Flight!$A$1:$E$91,3,FALSE),"")</f>
        <v>DMK</v>
      </c>
      <c r="I23" s="273" t="str">
        <f>IF($D23&gt;0,IF(VLOOKUP($D23,Flight!$A$1:$E$91,4,FALSE)&gt;1,VLOOKUP($D23,Flight!$A$1:$E105,4,FALSE),""),"")</f>
        <v/>
      </c>
      <c r="J23" s="273" t="str">
        <f>IF($D23&gt;0,IF(VLOOKUP($D23,Flight!$A$1:$E$91,5,FALSE)&gt;1,VLOOKUP($D23,Flight!$A$1:$E$91,5,FALSE),""),"")</f>
        <v/>
      </c>
      <c r="K23" s="294" t="s">
        <v>811</v>
      </c>
      <c r="L23" s="294"/>
      <c r="M23" s="294"/>
      <c r="O23" s="114"/>
    </row>
    <row r="24" spans="1:15">
      <c r="A24" s="270" t="s">
        <v>914</v>
      </c>
      <c r="B24" s="270"/>
      <c r="C24" s="270" t="str">
        <f>IF($E24&lt;&gt;"",IF(ISNUMBER(SEARCH("Hall Operation",$K24)),"-",IF($E24-715&lt;0,VLOOKUP($B$3,$E$62:$J$73,6,FALSE),IF($E24-2129&gt;0,VLOOKUP($L$3,$E$62:$J$73,6,FALSE),""))),"")</f>
        <v/>
      </c>
      <c r="D24" s="270" t="s">
        <v>377</v>
      </c>
      <c r="E24" s="272" t="str">
        <f>IF($D24&gt;0,VLOOKUP($D24,Flight!$A$1:$E$91,2,FALSE),"")</f>
        <v>1310</v>
      </c>
      <c r="F24" s="273" t="s">
        <v>524</v>
      </c>
      <c r="G24" s="305" t="str">
        <f t="shared" si="2"/>
        <v/>
      </c>
      <c r="H24" s="273" t="str">
        <f>IF($D24&gt;0,VLOOKUP($D24,Flight!$A$1:$E$91,3,FALSE),"")</f>
        <v>DEL</v>
      </c>
      <c r="I24" s="273" t="str">
        <f>IF($D24&gt;0,IF(VLOOKUP($D24,Flight!$A$1:$E$91,4,FALSE)&gt;1,VLOOKUP($D24,Flight!$A$1:$E106,4,FALSE),""),"")</f>
        <v/>
      </c>
      <c r="J24" s="273" t="str">
        <f>IF($D24&gt;0,IF(VLOOKUP($D24,Flight!$A$1:$E$91,5,FALSE)&gt;1,VLOOKUP($D24,Flight!$A$1:$E$91,5,FALSE),""),"")</f>
        <v/>
      </c>
      <c r="K24" s="294" t="s">
        <v>907</v>
      </c>
      <c r="L24" s="294"/>
      <c r="M24" s="294"/>
      <c r="O24" s="114"/>
    </row>
    <row r="25" spans="1:15">
      <c r="A25" s="9">
        <f>IF($F25="Wavied","-",IF($D25=0,"",ROW($A25)-ROW($A$8)+1-COUNTIF($A$8:$A24,"@")-COUNTIF($A$8:$A24,"-")))</f>
        <v>14</v>
      </c>
      <c r="B25" s="9" t="s">
        <v>906</v>
      </c>
      <c r="C25" s="9" t="s">
        <v>914</v>
      </c>
      <c r="D25" s="27" t="s">
        <v>378</v>
      </c>
      <c r="E25" s="172" t="str">
        <f>IF($D25&gt;0,VLOOKUP($D25,Flight!$A$1:$E$91,2,FALSE),"")</f>
        <v>1415</v>
      </c>
      <c r="F25" s="45"/>
      <c r="G25" s="43" t="str">
        <f t="shared" si="2"/>
        <v/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IF($D25&gt;0,IF(VLOOKUP($D25,Flight!$A$1:$E$91,4,FALSE)&gt;1,VLOOKUP($D25,Flight!$A$1:$E107,4,FALSE),""),"")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ref="K25:K35" si="4">IF($D25=0,"",IF(OR(ISNUMBER(SEARCH("S",$B25)),_xlfn.IFNA(MATCH($D25,$D$106:$D$116,0)&lt;20,"")=TRUE),"&lt;   Hall Operation   &gt;",""))</f>
        <v>&lt;   Hall Operation   &gt;</v>
      </c>
      <c r="L25" s="166"/>
      <c r="M25" s="166"/>
      <c r="O25" s="114"/>
    </row>
    <row r="26" spans="1:15">
      <c r="A26" s="9">
        <f>IF($F26="Wavied","-",IF($D26=0,"",ROW($A26)-ROW($A$8)+1-COUNTIF($A$8:$A25,"@")-COUNTIF($A$8:$A25,"-")))</f>
        <v>15</v>
      </c>
      <c r="B26" s="9" t="s">
        <v>906</v>
      </c>
      <c r="C26" s="9" t="s">
        <v>914</v>
      </c>
      <c r="D26" s="27" t="s">
        <v>379</v>
      </c>
      <c r="E26" s="172" t="str">
        <f>IF($D26&gt;0,VLOOKUP($D26,Flight!$A$1:$E$91,2,FALSE),"")</f>
        <v>1420</v>
      </c>
      <c r="F26" s="45"/>
      <c r="G26" s="43" t="str">
        <f t="shared" si="2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IF($D26&gt;0,IF(VLOOKUP($D26,Flight!$A$1:$E$91,4,FALSE)&gt;1,VLOOKUP($D26,Flight!$A$1:$E108,4,FALSE),""),"")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4"/>
        <v>&lt;   Hall Operation   &gt;</v>
      </c>
      <c r="L26" s="166"/>
      <c r="M26" s="166"/>
      <c r="O26" s="114"/>
    </row>
    <row r="27" spans="1:15" s="255" customFormat="1">
      <c r="A27" s="9">
        <f>IF($F27="Wavied","-",IF($D27=0,"",ROW($A27)-ROW($A$8)+1-COUNTIF($A$8:$A26,"@")-COUNTIF($A$8:$A26,"-")))</f>
        <v>16</v>
      </c>
      <c r="B27" s="9" t="s">
        <v>909</v>
      </c>
      <c r="C27" s="257" t="s">
        <v>464</v>
      </c>
      <c r="D27" s="27" t="s">
        <v>544</v>
      </c>
      <c r="E27" s="172" t="str">
        <f>IF($D27&gt;0,VLOOKUP($D27,Flight!$A$1:$E$91,2,FALSE),"")</f>
        <v>1450</v>
      </c>
      <c r="F27" s="44"/>
      <c r="G27" s="43" t="str">
        <f t="shared" ref="G27" si="5">IF(A27="@",IF(H27="ZYK","Berth 3",IF(H27="HKM","Bay 7","")),"")</f>
        <v/>
      </c>
      <c r="H27" s="44" t="str">
        <f>IF($D27&gt;0,VLOOKUP($D27,Flight!$A$1:$E$91,3,FALSE),"")</f>
        <v>BKK</v>
      </c>
      <c r="I27" s="44" t="str">
        <f>IF($D27&gt;0,IF(VLOOKUP($D27,Flight!$A$1:$E$91,4,FALSE)&gt;1,VLOOKUP($D27,Flight!$A$1:$E108,4,FALSE),""),"")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4"/>
        <v>&lt;   Hall Operation   &gt;</v>
      </c>
      <c r="L27" s="166"/>
      <c r="M27" s="166"/>
      <c r="O27" s="114"/>
    </row>
    <row r="28" spans="1:15">
      <c r="A28" s="9">
        <f>IF($F28="Wavied","-",IF($D28=0,"",ROW($A28)-ROW($A$8)+1-COUNTIF($A$8:$A27,"@")-COUNTIF($A$8:$A27,"-")))</f>
        <v>17</v>
      </c>
      <c r="B28" s="9" t="s">
        <v>908</v>
      </c>
      <c r="C28" s="9" t="s">
        <v>464</v>
      </c>
      <c r="D28" s="27" t="s">
        <v>381</v>
      </c>
      <c r="E28" s="172" t="str">
        <f>IF($D28&gt;0,VLOOKUP($D28,Flight!$A$1:$E$91,2,FALSE),"")</f>
        <v>1510</v>
      </c>
      <c r="F28" s="44"/>
      <c r="G28" s="43" t="str">
        <f t="shared" si="2"/>
        <v/>
      </c>
      <c r="H28" s="44" t="str">
        <f>IF($D28&gt;0,VLOOKUP($D28,Flight!$A$1:$E$91,3,FALSE),"")</f>
        <v>DOH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4"/>
        <v>&lt;   Hall Operation   &gt;</v>
      </c>
      <c r="L28" s="166"/>
      <c r="M28" s="166"/>
      <c r="O28" s="114"/>
    </row>
    <row r="29" spans="1:15">
      <c r="A29" s="251" t="s">
        <v>31</v>
      </c>
      <c r="B29" s="251" t="s">
        <v>31</v>
      </c>
      <c r="C29" s="334" t="s">
        <v>164</v>
      </c>
      <c r="D29" s="252" t="s">
        <v>547</v>
      </c>
      <c r="E29" s="432" t="s">
        <v>822</v>
      </c>
      <c r="F29" s="419"/>
      <c r="G29" s="291" t="str">
        <f t="shared" si="2"/>
        <v/>
      </c>
      <c r="H29" s="254" t="str">
        <f>IF($D29&gt;0,VLOOKUP($D29,Flight!$A$1:$E$91,3,FALSE),"")</f>
        <v>ADD</v>
      </c>
      <c r="I29" s="254" t="str">
        <f>IF($D29&gt;0,IF(VLOOKUP($D29,Flight!$A$1:$E$91,4,FALSE)&gt;1,VLOOKUP($D29,Flight!$A$1:$E110,4,FALSE),""),"")</f>
        <v>BKK</v>
      </c>
      <c r="J29" s="306"/>
      <c r="K29" s="402" t="s">
        <v>911</v>
      </c>
      <c r="L29" s="402"/>
      <c r="M29" s="403"/>
      <c r="O29" s="114"/>
    </row>
    <row r="30" spans="1:15">
      <c r="A30" s="9">
        <f>IF($F30="Wavied","-",IF($D30=0,"",ROW($A30)-ROW($A$8)+1-COUNTIF($A$8:$A29,"@")-COUNTIF($A$8:$A29,"-")))</f>
        <v>18</v>
      </c>
      <c r="B30" s="9" t="s">
        <v>915</v>
      </c>
      <c r="C30" s="9" t="s">
        <v>914</v>
      </c>
      <c r="D30" s="27" t="s">
        <v>549</v>
      </c>
      <c r="E30" s="172" t="str">
        <f>IF($D30&gt;0,VLOOKUP($D30,Flight!$A$1:$E$91,2,FALSE),"")</f>
        <v>1715</v>
      </c>
      <c r="F30" s="45"/>
      <c r="G30" s="43" t="str">
        <f t="shared" si="2"/>
        <v/>
      </c>
      <c r="H30" s="44" t="str">
        <f>IF($D30&gt;0,VLOOKUP($D30,Flight!$A$1:$E$91,3,FALSE),"")</f>
        <v>IST</v>
      </c>
      <c r="I30" s="44" t="str">
        <f>IF($D30&gt;0,IF(VLOOKUP($D30,Flight!$A$1:$E$91,4,FALSE)&gt;1,VLOOKUP($D30,Flight!$A$1:$E111,4,FALSE),""),"")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4"/>
        <v>&lt;   Hall Operation   &gt;</v>
      </c>
      <c r="L30" s="166"/>
      <c r="M30" s="166"/>
    </row>
    <row r="31" spans="1:15">
      <c r="A31" s="9">
        <f>IF($F31="Wavied","-",IF($D31=0,"",ROW($A31)-ROW($A$8)+1-COUNTIF($A$8:$A30,"@")-COUNTIF($A$8:$A30,"-")))</f>
        <v>19</v>
      </c>
      <c r="B31" s="9" t="str">
        <f t="shared" ref="B31:B42" si="6">IF($E31&lt;&gt;"",IF($E31-715&lt;0,VLOOKUP($B$3,$E$62:$J$73,6,FALSE),IF(AND($E31-2130&gt;0,_xlfn.IFNA(MATCH($D31,$D$106:$D$116,0)&lt;20,"")=TRUE),VLOOKUP($L$3,$E$62:$J$73,6,FALSE),"-")),"")</f>
        <v>-</v>
      </c>
      <c r="C31" s="9" t="s">
        <v>746</v>
      </c>
      <c r="D31" s="27" t="s">
        <v>550</v>
      </c>
      <c r="E31" s="172" t="str">
        <f>IF($D31&gt;0,VLOOKUP($D31,Flight!$A$1:$E$91,2,FALSE),"")</f>
        <v>1720</v>
      </c>
      <c r="F31" s="49">
        <v>1715</v>
      </c>
      <c r="G31" s="43" t="s">
        <v>912</v>
      </c>
      <c r="H31" s="44" t="str">
        <f>IF($D31&gt;0,VLOOKUP($D31,Flight!$A$1:$E$91,3,FALSE),"")</f>
        <v>MNL</v>
      </c>
      <c r="I31" s="44" t="str">
        <f>IF($D31&gt;0,IF(VLOOKUP($D31,Flight!$A$1:$E$91,4,FALSE)&gt;1,VLOOKUP($D31,Flight!$A$1:$E112,4,FALSE),""),"")</f>
        <v/>
      </c>
      <c r="J31" s="44" t="str">
        <f>IF($D31&gt;0,IF(VLOOKUP($D31,Flight!$A$1:$E$91,5,FALSE)&gt;1,VLOOKUP($D31,Flight!$A$1:$E$91,5,FALSE),""),"")</f>
        <v/>
      </c>
      <c r="K31" s="166">
        <v>1</v>
      </c>
      <c r="L31" s="166">
        <v>1</v>
      </c>
      <c r="M31" s="166">
        <v>2</v>
      </c>
    </row>
    <row r="32" spans="1:15">
      <c r="A32" s="9">
        <f>IF($F32="Wavied","-",IF($D32=0,"",ROW($A32)-ROW($A$8)+1-COUNTIF($A$8:$A31,"@")-COUNTIF($A$8:$A31,"-")))</f>
        <v>20</v>
      </c>
      <c r="B32" s="9" t="s">
        <v>164</v>
      </c>
      <c r="C32" s="257" t="s">
        <v>464</v>
      </c>
      <c r="D32" s="27" t="s">
        <v>553</v>
      </c>
      <c r="E32" s="172" t="str">
        <f>IF($D32&gt;0,VLOOKUP($D32,Flight!$A$1:$E$91,2,FALSE),"")</f>
        <v>1755</v>
      </c>
      <c r="F32" s="45"/>
      <c r="G32" s="43" t="str">
        <f t="shared" si="2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IF($D32&gt;0,IF(VLOOKUP($D32,Flight!$A$1:$E$91,4,FALSE)&gt;1,VLOOKUP($D32,Flight!$A$1:$E113,4,FALSE),""),"")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4"/>
        <v>&lt;   Hall Operation   &gt;</v>
      </c>
      <c r="L32" s="166"/>
      <c r="M32" s="166"/>
    </row>
    <row r="33" spans="1:18">
      <c r="A33" s="9">
        <f>IF($F33="Wavied","-",IF($D33=0,"",ROW($A33)-ROW($A$8)+1-COUNTIF($A$8:$A32,"@")-COUNTIF($A$8:$A32,"-")))</f>
        <v>21</v>
      </c>
      <c r="B33" s="9" t="str">
        <f t="shared" si="6"/>
        <v>-</v>
      </c>
      <c r="C33" s="9" t="s">
        <v>163</v>
      </c>
      <c r="D33" s="27" t="s">
        <v>68</v>
      </c>
      <c r="E33" s="172" t="str">
        <f>IF($D33&gt;0,VLOOKUP($D33,Flight!$A$1:$E$91,2,FALSE),"")</f>
        <v>1805</v>
      </c>
      <c r="F33" s="45">
        <v>1753</v>
      </c>
      <c r="G33" s="43" t="s">
        <v>910</v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IF($D33&gt;0,IF(VLOOKUP($D33,Flight!$A$1:$E$91,4,FALSE)&gt;1,VLOOKUP($D33,Flight!$A$1:$E114,4,FALSE),""),"")</f>
        <v>BKK</v>
      </c>
      <c r="J33" s="44" t="str">
        <f>IF($D33&gt;0,IF(VLOOKUP($D33,Flight!$A$1:$E$91,5,FALSE)&gt;1,VLOOKUP($D33,Flight!$A$1:$E$91,5,FALSE),""),"")</f>
        <v/>
      </c>
      <c r="K33" s="166">
        <v>1</v>
      </c>
      <c r="L33" s="166">
        <v>0</v>
      </c>
      <c r="M33" s="166">
        <v>3</v>
      </c>
    </row>
    <row r="34" spans="1:18">
      <c r="A34" s="9">
        <f>IF($F34="Wavied","-",IF($D34=0,"",ROW($A34)-ROW($A$8)+1-COUNTIF($A$8:$A33,"@")-COUNTIF($A$8:$A33,"-")))</f>
        <v>22</v>
      </c>
      <c r="B34" s="9" t="s">
        <v>913</v>
      </c>
      <c r="C34" s="9" t="s">
        <v>464</v>
      </c>
      <c r="D34" s="27" t="s">
        <v>554</v>
      </c>
      <c r="E34" s="172" t="str">
        <f>IF($D34&gt;0,VLOOKUP($D34,Flight!$A$1:$E$91,2,FALSE),"")</f>
        <v>1810</v>
      </c>
      <c r="F34" s="46"/>
      <c r="G34" s="43" t="str">
        <f t="shared" si="2"/>
        <v/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IF($D34&gt;0,IF(VLOOKUP($D34,Flight!$A$1:$E$91,4,FALSE)&gt;1,VLOOKUP($D34,Flight!$A$1:$E115,4,FALSE),""),"")</f>
        <v/>
      </c>
      <c r="J34" s="44" t="s">
        <v>903</v>
      </c>
      <c r="K34" s="166" t="str">
        <f t="shared" si="4"/>
        <v>&lt;   Hall Operation   &gt;</v>
      </c>
      <c r="L34" s="166"/>
      <c r="M34" s="166"/>
    </row>
    <row r="35" spans="1:18">
      <c r="A35" s="9">
        <f>IF($F35="Wavied","-",IF($D35=0,"",ROW($A35)-ROW($A$8)+1-COUNTIF($A$8:$A34,"@")-COUNTIF($A$8:$A34,"-")))</f>
        <v>23</v>
      </c>
      <c r="B35" s="9" t="s">
        <v>164</v>
      </c>
      <c r="C35" s="257" t="s">
        <v>464</v>
      </c>
      <c r="D35" s="27" t="s">
        <v>556</v>
      </c>
      <c r="E35" s="172" t="str">
        <f>IF($D35&gt;0,VLOOKUP($D35,Flight!$A$1:$E$91,2,FALSE),"")</f>
        <v>1820</v>
      </c>
      <c r="F35" s="45"/>
      <c r="G35" s="43" t="str">
        <f t="shared" si="2"/>
        <v/>
      </c>
      <c r="H35" s="44" t="str">
        <f>IF($D35&gt;0,VLOOKUP($D35,Flight!$A$1:$E$91,3,FALSE),"")</f>
        <v>SIN</v>
      </c>
      <c r="I35" s="44" t="str">
        <f>IF($D35&gt;0,IF(VLOOKUP($D35,Flight!$A$1:$E$91,4,FALSE)&gt;1,VLOOKUP($D35,Flight!$A$1:$E116,4,FALSE),""),"")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4"/>
        <v>&lt;   Hall Operation   &gt;</v>
      </c>
      <c r="L35" s="166"/>
      <c r="M35" s="166"/>
    </row>
    <row r="36" spans="1:18">
      <c r="A36" s="251" t="s">
        <v>31</v>
      </c>
      <c r="B36" s="251" t="s">
        <v>31</v>
      </c>
      <c r="C36" s="251" t="s">
        <v>745</v>
      </c>
      <c r="D36" s="252" t="s">
        <v>71</v>
      </c>
      <c r="E36" s="432" t="s">
        <v>822</v>
      </c>
      <c r="F36" s="419"/>
      <c r="G36" s="291" t="str">
        <f t="shared" si="2"/>
        <v/>
      </c>
      <c r="H36" s="254" t="str">
        <f>IF($D36&gt;0,VLOOKUP($D36,Flight!$A$1:$E$91,3,FALSE),"")</f>
        <v>DMK</v>
      </c>
      <c r="I36" s="254" t="str">
        <f>IF($D36&gt;0,IF(VLOOKUP($D36,Flight!$A$1:$E$91,4,FALSE)&gt;1,VLOOKUP($D36,Flight!$A$1:$E117,4,FALSE),""),"")</f>
        <v/>
      </c>
      <c r="J36" s="254" t="str">
        <f>IF($D36&gt;0,IF(VLOOKUP($D36,Flight!$A$1:$E$91,5,FALSE)&gt;1,VLOOKUP($D36,Flight!$A$1:$E$91,5,FALSE),""),"")</f>
        <v/>
      </c>
      <c r="K36" s="402" t="s">
        <v>523</v>
      </c>
      <c r="L36" s="402"/>
      <c r="M36" s="403"/>
      <c r="P36" s="84"/>
    </row>
    <row r="37" spans="1:18">
      <c r="A37" s="9">
        <f>IF($F37="Wavied","-",IF($D37=0,"",ROW($A37)-ROW($A$8)+1-COUNTIF($A$8:$A36,"@")-COUNTIF($A$8:$A36,"-")))</f>
        <v>24</v>
      </c>
      <c r="B37" s="9" t="str">
        <f t="shared" si="6"/>
        <v>-</v>
      </c>
      <c r="C37" s="9" t="s">
        <v>744</v>
      </c>
      <c r="D37" s="27" t="s">
        <v>559</v>
      </c>
      <c r="E37" s="172" t="str">
        <f>IF($D37&gt;0,VLOOKUP($D37,Flight!$A$1:$E$91,2,FALSE),"")</f>
        <v>1950</v>
      </c>
      <c r="F37" s="45">
        <v>1944</v>
      </c>
      <c r="G37" s="43" t="s">
        <v>916</v>
      </c>
      <c r="H37" s="44" t="str">
        <f>IF($D37&gt;0,VLOOKUP($D37,Flight!$A$1:$E$91,3,FALSE),"")</f>
        <v>BKK</v>
      </c>
      <c r="I37" s="44" t="str">
        <f>IF($D37&gt;0,IF(VLOOKUP($D37,Flight!$A$1:$E$91,4,FALSE)&gt;1,VLOOKUP($D37,Flight!$A$1:$E118,4,FALSE),""),"")</f>
        <v/>
      </c>
      <c r="J37" s="44" t="str">
        <f>IF($D37&gt;0,IF(VLOOKUP($D37,Flight!$A$1:$E$91,5,FALSE)&gt;1,VLOOKUP($D37,Flight!$A$1:$E$91,5,FALSE),""),"")</f>
        <v/>
      </c>
      <c r="K37" s="335">
        <v>1</v>
      </c>
      <c r="L37" s="335">
        <v>0</v>
      </c>
      <c r="M37" s="335">
        <v>3</v>
      </c>
      <c r="O37" s="115"/>
      <c r="P37" s="87"/>
    </row>
    <row r="38" spans="1:18" ht="16.5">
      <c r="A38" s="9">
        <f>IF($F38="Wavied","-",IF($D38=0,"",ROW($A38)-ROW($A$8)+1-COUNTIF($A$8:$A37,"@")-COUNTIF($A$8:$A37,"-")))</f>
        <v>25</v>
      </c>
      <c r="B38" s="9" t="str">
        <f t="shared" si="6"/>
        <v>-</v>
      </c>
      <c r="C38" s="9" t="s">
        <v>745</v>
      </c>
      <c r="D38" s="27" t="s">
        <v>561</v>
      </c>
      <c r="E38" s="172" t="str">
        <f>IF($D38&gt;0,VLOOKUP($D38,Flight!$A$1:$E$91,2,FALSE),"")</f>
        <v>2030</v>
      </c>
      <c r="F38" s="45">
        <v>1955</v>
      </c>
      <c r="G38" s="43" t="s">
        <v>918</v>
      </c>
      <c r="H38" s="44" t="str">
        <f>IF($D38&gt;0,VLOOKUP($D38,Flight!$A$1:$E$91,3,FALSE),"")</f>
        <v>CGK</v>
      </c>
      <c r="I38" s="44" t="str">
        <f>IF($D38&gt;0,IF(VLOOKUP($D38,Flight!$A$1:$E$91,4,FALSE)&gt;1,VLOOKUP($D38,Flight!$A$1:$E119,4,FALSE),""),"")</f>
        <v/>
      </c>
      <c r="J38" s="44" t="str">
        <f>IF($D38&gt;0,IF(VLOOKUP($D38,Flight!$A$1:$E$91,5,FALSE)&gt;1,VLOOKUP($D38,Flight!$A$1:$E$91,5,FALSE),""),"")</f>
        <v/>
      </c>
      <c r="K38" s="166">
        <v>1</v>
      </c>
      <c r="L38" s="166">
        <v>1</v>
      </c>
      <c r="M38" s="167">
        <v>2</v>
      </c>
      <c r="O38" s="4"/>
      <c r="P38" s="88"/>
      <c r="Q38" s="4"/>
      <c r="R38" s="4"/>
    </row>
    <row r="39" spans="1:18" ht="16.5">
      <c r="A39" s="9" t="s">
        <v>897</v>
      </c>
      <c r="B39" s="270" t="str">
        <f t="shared" si="6"/>
        <v>-</v>
      </c>
      <c r="C39" s="270" t="s">
        <v>464</v>
      </c>
      <c r="D39" s="271" t="s">
        <v>562</v>
      </c>
      <c r="E39" s="272" t="str">
        <f>IF($D39&gt;0,VLOOKUP($D39,Flight!$A$1:$E$91,2,FALSE),"")</f>
        <v>2120</v>
      </c>
      <c r="F39" s="433" t="s">
        <v>524</v>
      </c>
      <c r="G39" s="438"/>
      <c r="H39" s="273" t="str">
        <f>IF($D39&gt;0,VLOOKUP($D39,Flight!$A$1:$E$91,3,FALSE),"")</f>
        <v>DEL</v>
      </c>
      <c r="I39" s="273" t="str">
        <f>IF($D39&gt;0,IF(VLOOKUP($D39,Flight!$A$1:$E$91,4,FALSE)&gt;1,VLOOKUP($D39,Flight!$A$1:$E120,4,FALSE),""),"")</f>
        <v/>
      </c>
      <c r="J39" s="273" t="str">
        <f>IF($D39&gt;0,IF(VLOOKUP($D39,Flight!$A$1:$E$91,5,FALSE)&gt;1,VLOOKUP($D39,Flight!$A$1:$E$91,5,FALSE),""),"")</f>
        <v/>
      </c>
      <c r="K39" s="436" t="s">
        <v>523</v>
      </c>
      <c r="L39" s="436"/>
      <c r="M39" s="437"/>
      <c r="O39" s="4"/>
      <c r="P39" s="4"/>
      <c r="Q39" s="4"/>
      <c r="R39" s="4"/>
    </row>
    <row r="40" spans="1:18" ht="16.5">
      <c r="A40" s="9">
        <f>IF($F40="Wavied","-",IF($D40=0,"",ROW($A40)-ROW($A$8)+1-COUNTIF($A$8:$A39,"@")-COUNTIF($A$8:$A39,"-")))</f>
        <v>26</v>
      </c>
      <c r="B40" s="9" t="s">
        <v>917</v>
      </c>
      <c r="C40" s="9" t="str">
        <f>IF($E40&lt;&gt;"",IF(ISNUMBER(SEARCH("Hall Operation",$K40)),"-",IF($E40-715&lt;0,VLOOKUP($B$3,$E$62:$J$73,6,FALSE),IF($E40-2129&gt;0,VLOOKUP($L$3,$E$62:$J$73,6,FALSE),""))),"")</f>
        <v>-</v>
      </c>
      <c r="D40" s="27" t="s">
        <v>563</v>
      </c>
      <c r="E40" s="172" t="str">
        <f>IF($D40&gt;0,VLOOKUP($D40,Flight!$A$1:$E$91,2,FALSE),"")</f>
        <v>2155</v>
      </c>
      <c r="F40" s="45"/>
      <c r="G40" s="43" t="str">
        <f t="shared" si="2"/>
        <v/>
      </c>
      <c r="H40" s="44" t="str">
        <f>IF($D40&gt;0,VLOOKUP($D40,Flight!$A$1:$E$91,3,FALSE),"")</f>
        <v>DOH</v>
      </c>
      <c r="I40" s="44" t="str">
        <f>IF($D40&gt;0,IF(VLOOKUP($D40,Flight!$A$1:$E$91,4,FALSE)&gt;1,VLOOKUP($D40,Flight!$A$1:$E121,4,FALSE),""),"")</f>
        <v/>
      </c>
      <c r="J40" s="44" t="str">
        <f>IF($D40&gt;0,IF(VLOOKUP($D40,Flight!$A$1:$E$91,5,FALSE)&gt;1,VLOOKUP($D40,Flight!$A$1:$E$91,5,FALSE),""),"")</f>
        <v/>
      </c>
      <c r="K40" s="166" t="str">
        <f>IF($D40=0,"",IF(OR(ISNUMBER(SEARCH("S",$B40)),_xlfn.IFNA(MATCH($D40,$D$106:$D$116,0)&lt;20,"")=TRUE),"&lt;   Hall Operation   &gt;",""))</f>
        <v>&lt;   Hall Operation   &gt;</v>
      </c>
      <c r="L40" s="166"/>
      <c r="M40" s="166"/>
      <c r="O40" s="4"/>
      <c r="P40" s="89"/>
      <c r="Q40" s="4"/>
      <c r="R40" s="4"/>
    </row>
    <row r="41" spans="1:18" ht="16.5">
      <c r="A41" s="9">
        <f>IF($F41="Wavied","-",IF($D41=0,"",ROW($A41)-ROW($A$8)+1-COUNTIF($A$8:$A40,"@")-COUNTIF($A$8:$A40,"-")))</f>
        <v>27</v>
      </c>
      <c r="B41" s="9" t="str">
        <f t="shared" si="6"/>
        <v>-</v>
      </c>
      <c r="C41" s="9" t="str">
        <f>IF($E41&lt;&gt;"",IF(ISNUMBER(SEARCH("Hall Operation",$K41)),"-",IF($E41-715&lt;0,VLOOKUP($B$3,$E$62:$J$73,6,FALSE),IF($E41-2129&gt;0,VLOOKUP($L$3,$E$62:$J$73,6,FALSE),""))),"")</f>
        <v>S9</v>
      </c>
      <c r="D41" s="27" t="s">
        <v>564</v>
      </c>
      <c r="E41" s="172" t="str">
        <f>IF($D41&gt;0,VLOOKUP($D41,Flight!$A$1:$E$91,2,FALSE),"")</f>
        <v>2320</v>
      </c>
      <c r="F41" s="45">
        <v>2315</v>
      </c>
      <c r="G41" s="43" t="s">
        <v>919</v>
      </c>
      <c r="H41" s="44" t="str">
        <f>IF($D41&gt;0,VLOOKUP($D41,Flight!$A$1:$E$91,3,FALSE),"")</f>
        <v>BKK</v>
      </c>
      <c r="I41" s="44" t="str">
        <f>IF($D41&gt;0,IF(VLOOKUP($D41,Flight!$A$1:$E$91,4,FALSE)&gt;1,VLOOKUP($D41,Flight!$A$1:$E122,4,FALSE),""),"")</f>
        <v/>
      </c>
      <c r="J41" s="44" t="str">
        <f>IF($D41&gt;0,IF(VLOOKUP($D41,Flight!$A$1:$E$91,5,FALSE)&gt;1,VLOOKUP($D41,Flight!$A$1:$E$91,5,FALSE),""),"")</f>
        <v/>
      </c>
      <c r="K41" s="166">
        <v>1</v>
      </c>
      <c r="L41" s="166">
        <v>0</v>
      </c>
      <c r="M41" s="166">
        <v>3</v>
      </c>
      <c r="O41" s="4"/>
      <c r="P41" s="89"/>
      <c r="Q41" s="4"/>
      <c r="R41" s="4"/>
    </row>
    <row r="42" spans="1:18" ht="16.5">
      <c r="A42" s="9" t="str">
        <f t="shared" ref="A42" si="7">IF($A40="S/N",1,IF($F42="Wavied","-",IF($D42=0,"",ROW($A42)-ROW($A$7)-COUNTIF($A$7:$A$8,"@")-COUNTIF($A$7:$A$8,"-"))))</f>
        <v/>
      </c>
      <c r="B42" s="9" t="str">
        <f t="shared" si="6"/>
        <v/>
      </c>
      <c r="C42" s="9" t="str">
        <f>IF($E42&lt;&gt;"",IF(ISNUMBER(SEARCH("Hall Operation",$K42)),"-",IF($E42-715&lt;0,VLOOKUP($B$3,$E$62:$J$73,6,FALSE),IF($E42-2129&gt;0,VLOOKUP($L$3,$E$62:$J$73,6,FALSE),""))),"")</f>
        <v/>
      </c>
      <c r="D42" s="27"/>
      <c r="E42" s="172" t="str">
        <f>IF($D42&gt;0,VLOOKUP($D42,Flight!$A$1:$E$91,2,FALSE),"")</f>
        <v/>
      </c>
      <c r="F42" s="45"/>
      <c r="G42" s="43" t="str">
        <f t="shared" si="2"/>
        <v/>
      </c>
      <c r="H42" s="44" t="str">
        <f>IF($D42&gt;0,VLOOKUP($D42,Flight!$A$1:$E$91,3,FALSE),"")</f>
        <v/>
      </c>
      <c r="I42" s="44" t="str">
        <f>IF($D42&gt;0,IF(VLOOKUP($D42,Flight!$A$1:$E$91,4,FALSE)&gt;1,VLOOKUP($D42,Flight!$A$1:$E123,4,FALSE),""),"")</f>
        <v/>
      </c>
      <c r="J42" s="44" t="str">
        <f>IF($D42&gt;0,IF(VLOOKUP($D42,Flight!$A$1:$E$91,5,FALSE)&gt;1,VLOOKUP($D42,Flight!$A$1:$E$91,5,FALSE),""),"")</f>
        <v/>
      </c>
      <c r="K42" s="166" t="str">
        <f>IF($D42=0,"",IF(OR(ISNUMBER(SEARCH("S",$B42)),_xlfn.IFNA(MATCH($D42,$D$106:$D$116,0)&lt;20,"")=TRUE),"&lt;   Hall Operation   &gt;",""))</f>
        <v/>
      </c>
      <c r="L42" s="166"/>
      <c r="M42" s="166"/>
      <c r="O42" s="4"/>
      <c r="P42" s="89"/>
      <c r="Q42" s="4"/>
      <c r="R42" s="4"/>
    </row>
    <row r="43" spans="1:18">
      <c r="A43" s="376" t="s">
        <v>5</v>
      </c>
      <c r="B43" s="376"/>
      <c r="C43" s="376"/>
      <c r="D43" s="376"/>
      <c r="E43" s="376"/>
      <c r="F43" s="376"/>
      <c r="G43" s="50"/>
      <c r="H43" s="232" t="s">
        <v>40</v>
      </c>
      <c r="I43" s="377"/>
      <c r="J43" s="377"/>
      <c r="K43" s="377"/>
      <c r="L43" s="377"/>
      <c r="M43" s="377"/>
      <c r="N43" s="5"/>
    </row>
    <row r="44" spans="1:18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</row>
    <row r="45" spans="1:18">
      <c r="A45" s="379"/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</row>
    <row r="46" spans="1:18">
      <c r="A46" s="389" t="s">
        <v>216</v>
      </c>
      <c r="B46" s="389"/>
      <c r="C46" s="231" t="str">
        <f>VLOOKUP($D$46,Staff!$B$2:$D$41,2,FALSE)</f>
        <v>CIA</v>
      </c>
      <c r="D46" s="375" t="str">
        <f>VLOOKUP(VLOOKUP($E$58,$E$62:$J$73,6,FALSE),Staff!$A$2:$D$13,2,FALSE)</f>
        <v>CN NG</v>
      </c>
      <c r="E46" s="375"/>
      <c r="F46" s="226" t="s">
        <v>215</v>
      </c>
      <c r="G46" s="390" t="str">
        <f>VLOOKUP($D$46,Staff!$B$2:$D$39,3,FALSE)</f>
        <v>6685 0265</v>
      </c>
      <c r="H46" s="390"/>
      <c r="I46" s="391" t="s">
        <v>223</v>
      </c>
      <c r="J46" s="391"/>
      <c r="K46" s="375" t="s">
        <v>425</v>
      </c>
      <c r="L46" s="375"/>
      <c r="M46" s="375"/>
    </row>
    <row r="47" spans="1:18">
      <c r="A47" s="389" t="s">
        <v>217</v>
      </c>
      <c r="B47" s="389"/>
      <c r="C47" s="231" t="str">
        <f>VLOOKUP($D$47,Staff!$B$2:$D$41,2,FALSE)</f>
        <v>CIA</v>
      </c>
      <c r="D47" s="375" t="str">
        <f>VLOOKUP(VLOOKUP($E$59,$E$62:$J$73,6,FALSE),Staff!$A$2:$D$13,2,FALSE)</f>
        <v>WS CHENG</v>
      </c>
      <c r="E47" s="375"/>
      <c r="F47" s="226" t="s">
        <v>215</v>
      </c>
      <c r="G47" s="390" t="str">
        <f>VLOOKUP($D$47,Staff!$B$2:$D$39,3,FALSE)</f>
        <v>9850 0581</v>
      </c>
      <c r="H47" s="390"/>
      <c r="I47" s="391" t="s">
        <v>224</v>
      </c>
      <c r="J47" s="391"/>
      <c r="K47" s="375" t="str">
        <f>IF(COUNTIF($E$62:$E$65,$E$59)&gt;0,Staff!$G$2,"")&amp;IF(COUNTIF($E$66:$E$69,$E$59)&gt;0,Staff!$G$3,"")&amp;IF(COUNTIF($E$70:$E$73,$E$59)&gt;0,Staff!$G$4,"")</f>
        <v>WONG, TSZ MING</v>
      </c>
      <c r="L47" s="375"/>
      <c r="M47" s="375"/>
    </row>
    <row r="48" spans="1:18">
      <c r="A48" s="229"/>
      <c r="B48" s="229"/>
      <c r="C48" s="230"/>
      <c r="D48" s="395"/>
      <c r="E48" s="395"/>
      <c r="F48" s="225"/>
      <c r="G48" s="396"/>
      <c r="H48" s="396"/>
      <c r="I48" s="390"/>
      <c r="J48" s="390"/>
      <c r="K48" s="143"/>
      <c r="L48" s="143"/>
      <c r="M48" s="143"/>
    </row>
    <row r="49" spans="1:14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">
        <v>433</v>
      </c>
      <c r="H49" s="398"/>
      <c r="I49" s="398"/>
      <c r="J49" s="224" t="s">
        <v>209</v>
      </c>
      <c r="K49" s="390" t="s">
        <v>432</v>
      </c>
      <c r="L49" s="390"/>
      <c r="M49" s="390"/>
      <c r="N49" s="12"/>
    </row>
    <row r="50" spans="1:14">
      <c r="A50" s="155"/>
      <c r="B50" s="155"/>
      <c r="C50" s="396" t="s">
        <v>219</v>
      </c>
      <c r="D50" s="396"/>
      <c r="E50" s="396"/>
      <c r="F50" s="154" t="s">
        <v>214</v>
      </c>
      <c r="G50" s="375" t="str">
        <f>IF(COUNTIF($E$62:$E$65,$E$59)&gt;0,Staff!$G$14,"")&amp;IF(COUNTIF($E$66:$E$69,$E$59)&gt;0,Staff!$G$13,"")&amp;IF(COUNTIF($E$70:$E$73,$E$59)&gt;0,Staff!$G$12,"")</f>
        <v>CHONG, MAN LOK</v>
      </c>
      <c r="H50" s="375"/>
      <c r="I50" s="375"/>
      <c r="J50" s="224" t="s">
        <v>208</v>
      </c>
      <c r="K50" s="390" t="s">
        <v>828</v>
      </c>
      <c r="L50" s="390"/>
      <c r="M50" s="390"/>
    </row>
    <row r="51" spans="1:14">
      <c r="A51" s="227"/>
      <c r="B51" s="227"/>
      <c r="C51" s="230"/>
      <c r="D51" s="401"/>
      <c r="E51" s="401"/>
      <c r="F51" s="401"/>
      <c r="G51" s="401"/>
      <c r="H51" s="401"/>
      <c r="I51" s="401"/>
      <c r="J51" s="224" t="s">
        <v>210</v>
      </c>
      <c r="K51" s="390" t="s">
        <v>428</v>
      </c>
      <c r="L51" s="390"/>
      <c r="M51" s="390"/>
    </row>
    <row r="52" spans="1:14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224" t="s">
        <v>211</v>
      </c>
      <c r="K52" s="390" t="s">
        <v>427</v>
      </c>
      <c r="L52" s="390"/>
      <c r="M52" s="390"/>
    </row>
    <row r="53" spans="1:14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224" t="s">
        <v>212</v>
      </c>
      <c r="K53" s="390" t="s">
        <v>431</v>
      </c>
      <c r="L53" s="390"/>
      <c r="M53" s="390"/>
    </row>
    <row r="54" spans="1:14">
      <c r="A54" s="155"/>
      <c r="B54" s="155"/>
      <c r="C54" s="227"/>
      <c r="D54" s="399"/>
      <c r="E54" s="399"/>
      <c r="F54" s="391"/>
      <c r="G54" s="391"/>
      <c r="H54" s="400" t="s">
        <v>410</v>
      </c>
      <c r="I54" s="400"/>
      <c r="J54" s="222"/>
      <c r="K54" s="229"/>
      <c r="L54" s="229"/>
      <c r="M54" s="47"/>
    </row>
    <row r="55" spans="1:14" ht="16.5" customHeight="1">
      <c r="A55" s="392" t="s">
        <v>0</v>
      </c>
      <c r="B55" s="392"/>
      <c r="C55" s="407" t="s">
        <v>222</v>
      </c>
      <c r="D55" s="407"/>
      <c r="E55" s="407"/>
      <c r="F55" s="222"/>
      <c r="G55" s="224"/>
      <c r="H55" s="394" t="s">
        <v>411</v>
      </c>
      <c r="I55" s="394"/>
      <c r="J55" s="223"/>
      <c r="K55" s="229"/>
      <c r="L55" s="229"/>
      <c r="M55" s="47"/>
    </row>
    <row r="56" spans="1:14">
      <c r="C56" s="408"/>
      <c r="D56" s="408"/>
      <c r="E56" s="408"/>
      <c r="F56" s="408"/>
      <c r="G56" s="408"/>
      <c r="H56" s="408"/>
      <c r="J56" s="53"/>
      <c r="K56" s="112"/>
      <c r="L56" s="112"/>
    </row>
    <row r="57" spans="1:14" ht="16.5" thickBot="1">
      <c r="A57" s="3"/>
      <c r="B57" s="3"/>
      <c r="C57" s="3"/>
      <c r="D57" s="2"/>
      <c r="E57" s="39"/>
      <c r="F57" s="221"/>
      <c r="G57" s="221"/>
      <c r="I57" s="409"/>
      <c r="J57" s="409"/>
      <c r="K57" s="112"/>
      <c r="L57" s="112"/>
    </row>
    <row r="58" spans="1:14">
      <c r="D58" s="255"/>
      <c r="E58" s="90" t="s">
        <v>133</v>
      </c>
      <c r="F58" s="91" t="s">
        <v>135</v>
      </c>
      <c r="G58" s="91"/>
      <c r="H58" s="92"/>
      <c r="I58" s="220"/>
      <c r="J58" s="220"/>
    </row>
    <row r="59" spans="1:14" ht="16.5" thickBot="1">
      <c r="D59" s="255"/>
      <c r="E59" s="93" t="s">
        <v>134</v>
      </c>
      <c r="F59" s="94" t="s">
        <v>136</v>
      </c>
      <c r="G59" s="94"/>
      <c r="H59" s="95"/>
      <c r="I59" s="220"/>
      <c r="J59" s="220"/>
    </row>
    <row r="60" spans="1:14">
      <c r="D60" s="255"/>
      <c r="E60" s="220"/>
      <c r="F60" s="220"/>
      <c r="G60" s="220"/>
      <c r="H60" s="220"/>
      <c r="I60" s="220"/>
      <c r="J60" s="220"/>
    </row>
    <row r="61" spans="1:14" ht="16.5" thickBot="1">
      <c r="D61" s="85" t="s">
        <v>132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98</v>
      </c>
      <c r="J61" s="220"/>
      <c r="K61" s="96" t="s">
        <v>302</v>
      </c>
      <c r="L61" s="96" t="s">
        <v>303</v>
      </c>
      <c r="M61" s="96"/>
    </row>
    <row r="62" spans="1:14">
      <c r="D62" s="97" t="s">
        <v>86</v>
      </c>
      <c r="E62" s="98" t="str">
        <f>_xlfn.IFNA(VLOOKUP(MOD((($D$1-WEEKDAY($D$1,2)+1)-45523)/7+21,24),Shift!$A$2:$H$25,WEEKDAY($D$1,2)+1),VLOOKUP(24,Shift!$A$2:$H$25,WEEKDAY($D$1,2)+1))</f>
        <v>M @</v>
      </c>
      <c r="F62" s="98">
        <v>1</v>
      </c>
      <c r="G62" s="98">
        <v>1</v>
      </c>
      <c r="H62" s="98">
        <v>2</v>
      </c>
      <c r="I62" s="99">
        <f t="shared" ref="I62:I73" si="8">IF(OR($E62="L",$E62="L#"),0,SUM($F62:$H62))</f>
        <v>4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M62" s="112"/>
    </row>
    <row r="63" spans="1:14">
      <c r="D63" s="100" t="s">
        <v>85</v>
      </c>
      <c r="E63" s="101" t="str">
        <f>_xlfn.IFNA(VLOOKUP(MOD((($D$1-WEEKDAY($D$1,2)+1)-45523)/7+3,24),Shift!$A$2:$H$25,WEEKDAY($D$1,2)+1),VLOOKUP(24,Shift!$A$2:$H$25,WEEKDAY($D$1,2)+1))</f>
        <v>G1</v>
      </c>
      <c r="F63" s="101">
        <v>1</v>
      </c>
      <c r="G63" s="101">
        <v>1</v>
      </c>
      <c r="H63" s="101">
        <v>2</v>
      </c>
      <c r="I63" s="102">
        <f t="shared" si="8"/>
        <v>4</v>
      </c>
      <c r="J63" s="137" t="s">
        <v>85</v>
      </c>
      <c r="K63" s="112" t="str">
        <f t="shared" ref="K63:K73" si="9">IF(AND($F63&gt;1,$F63&lt;&gt;"?"),$F63-1,"")</f>
        <v/>
      </c>
      <c r="L63" s="112" t="str">
        <f t="shared" ref="L63:L73" si="10">IF(AND($G63&gt;1,$G63&lt;&gt;"?"),$G63-1,"")</f>
        <v/>
      </c>
      <c r="M63" s="112"/>
    </row>
    <row r="64" spans="1:14">
      <c r="D64" s="100" t="s">
        <v>99</v>
      </c>
      <c r="E64" s="101" t="str">
        <f>_xlfn.IFNA(VLOOKUP(MOD((($D$1-WEEKDAY($D$1,2)+1)-45523)/7+9,24),Shift!$A$2:$H$25,WEEKDAY($D$1,2)+1),VLOOKUP(24,Shift!$A$2:$H$25,WEEKDAY($D$1,2)+1))</f>
        <v>M</v>
      </c>
      <c r="F64" s="101">
        <v>1</v>
      </c>
      <c r="G64" s="101">
        <v>1</v>
      </c>
      <c r="H64" s="101">
        <v>2</v>
      </c>
      <c r="I64" s="102">
        <f t="shared" si="8"/>
        <v>4</v>
      </c>
      <c r="J64" s="137" t="s">
        <v>99</v>
      </c>
      <c r="K64" s="112" t="str">
        <f t="shared" si="9"/>
        <v/>
      </c>
      <c r="L64" s="112" t="str">
        <f t="shared" si="10"/>
        <v/>
      </c>
      <c r="M64" s="112"/>
    </row>
    <row r="65" spans="4:13" ht="16.5" thickBot="1">
      <c r="D65" s="103" t="s">
        <v>100</v>
      </c>
      <c r="E65" s="104" t="str">
        <f>_xlfn.IFNA(VLOOKUP(MOD((($D$1-WEEKDAY($D$1,2)+1)-45523)/7+15,24),Shift!$A$2:$H$25,WEEKDAY($D$1,2)+1),VLOOKUP(24,Shift!$A$2:$H$25,WEEKDAY($D$1,2)+1))</f>
        <v>L</v>
      </c>
      <c r="F65" s="104">
        <f t="shared" ref="F65:H69" si="11">IF(OR($E65="L",$E65="L#"),0,"?")</f>
        <v>0</v>
      </c>
      <c r="G65" s="104">
        <f t="shared" si="11"/>
        <v>0</v>
      </c>
      <c r="H65" s="104">
        <f t="shared" si="11"/>
        <v>0</v>
      </c>
      <c r="I65" s="105">
        <f t="shared" si="8"/>
        <v>0</v>
      </c>
      <c r="J65" s="138" t="s">
        <v>100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97" t="s">
        <v>101</v>
      </c>
      <c r="E66" s="98" t="str">
        <f>_xlfn.IFNA(VLOOKUP(MOD((($D$1-WEEKDAY($D$1,2)+1)-45523)/7+19,24),Shift!$A$2:$H$25,WEEKDAY($D$1,2)+1),VLOOKUP(24,Shift!$A$2:$H$25,WEEKDAY($D$1,2)+1))</f>
        <v>L</v>
      </c>
      <c r="F66" s="98">
        <f t="shared" si="11"/>
        <v>0</v>
      </c>
      <c r="G66" s="98">
        <f t="shared" si="11"/>
        <v>0</v>
      </c>
      <c r="H66" s="98">
        <f t="shared" si="11"/>
        <v>0</v>
      </c>
      <c r="I66" s="99">
        <f t="shared" si="8"/>
        <v>0</v>
      </c>
      <c r="J66" s="136" t="s">
        <v>101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102</v>
      </c>
      <c r="E67" s="101" t="str">
        <f>_xlfn.IFNA(VLOOKUP(MOD((($D$1-WEEKDAY($D$1,2)+1)-45523)/7+1,24),Shift!$A$2:$H$25,WEEKDAY($D$1,2)+1),VLOOKUP(24,Shift!$A$2:$H$25,WEEKDAY($D$1,2)+1))</f>
        <v>L</v>
      </c>
      <c r="F67" s="101">
        <f t="shared" si="11"/>
        <v>0</v>
      </c>
      <c r="G67" s="101">
        <f t="shared" si="11"/>
        <v>0</v>
      </c>
      <c r="H67" s="101">
        <f t="shared" si="11"/>
        <v>0</v>
      </c>
      <c r="I67" s="102">
        <f t="shared" si="8"/>
        <v>0</v>
      </c>
      <c r="J67" s="137" t="s">
        <v>102</v>
      </c>
      <c r="K67" s="112" t="str">
        <f t="shared" si="9"/>
        <v/>
      </c>
      <c r="L67" s="112" t="str">
        <f t="shared" si="10"/>
        <v/>
      </c>
      <c r="M67" s="112"/>
    </row>
    <row r="68" spans="4:13">
      <c r="D68" s="100" t="s">
        <v>103</v>
      </c>
      <c r="E68" s="101" t="str">
        <f>_xlfn.IFNA(VLOOKUP(MOD((($D$1-WEEKDAY($D$1,2)+1)-45523)/7+7,24),Shift!$A$2:$H$25,WEEKDAY($D$1,2)+1),VLOOKUP(24,Shift!$A$2:$H$25,WEEKDAY($D$1,2)+1))</f>
        <v>L</v>
      </c>
      <c r="F68" s="101">
        <f t="shared" si="11"/>
        <v>0</v>
      </c>
      <c r="G68" s="101">
        <f t="shared" si="11"/>
        <v>0</v>
      </c>
      <c r="H68" s="101">
        <f t="shared" si="11"/>
        <v>0</v>
      </c>
      <c r="I68" s="102">
        <f t="shared" si="8"/>
        <v>0</v>
      </c>
      <c r="J68" s="137" t="s">
        <v>103</v>
      </c>
      <c r="K68" s="112" t="str">
        <f t="shared" si="9"/>
        <v/>
      </c>
      <c r="L68" s="112" t="str">
        <f t="shared" si="10"/>
        <v/>
      </c>
      <c r="M68" s="112"/>
    </row>
    <row r="69" spans="4:13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L</v>
      </c>
      <c r="F69" s="104">
        <f t="shared" si="11"/>
        <v>0</v>
      </c>
      <c r="G69" s="104">
        <f t="shared" si="11"/>
        <v>0</v>
      </c>
      <c r="H69" s="104">
        <f t="shared" si="11"/>
        <v>0</v>
      </c>
      <c r="I69" s="105">
        <f t="shared" si="8"/>
        <v>0</v>
      </c>
      <c r="J69" s="138" t="s">
        <v>104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97" t="s">
        <v>105</v>
      </c>
      <c r="E70" s="98" t="str">
        <f>_xlfn.IFNA(VLOOKUP(MOD((($D$1-WEEKDAY($D$1,2)+1)-45523)/7+17,24),Shift!$A$2:$H$25,WEEKDAY($D$1,2)+1),VLOOKUP(24,Shift!$A$2:$H$25,WEEKDAY($D$1,2)+1))</f>
        <v>P4</v>
      </c>
      <c r="F70" s="98">
        <v>1</v>
      </c>
      <c r="G70" s="98">
        <v>0</v>
      </c>
      <c r="H70" s="98">
        <v>3</v>
      </c>
      <c r="I70" s="99">
        <f t="shared" si="8"/>
        <v>4</v>
      </c>
      <c r="J70" s="136" t="s">
        <v>105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106</v>
      </c>
      <c r="E71" s="101" t="str">
        <f>_xlfn.IFNA(VLOOKUP(MOD((($D$1-WEEKDAY($D$1,2)+1)-45523)/7+23,24),Shift!$A$2:$H$25,WEEKDAY($D$1,2)+1),VLOOKUP(24,Shift!$A$2:$H$25,WEEKDAY($D$1,2)+1))</f>
        <v>P1 @</v>
      </c>
      <c r="F71" s="101">
        <v>1</v>
      </c>
      <c r="G71" s="101">
        <v>1</v>
      </c>
      <c r="H71" s="101">
        <v>3</v>
      </c>
      <c r="I71" s="102">
        <f t="shared" si="8"/>
        <v>5</v>
      </c>
      <c r="J71" s="137" t="s">
        <v>106</v>
      </c>
      <c r="K71" s="112" t="str">
        <f t="shared" si="9"/>
        <v/>
      </c>
      <c r="L71" s="112" t="str">
        <f t="shared" si="10"/>
        <v/>
      </c>
      <c r="M71" s="112"/>
    </row>
    <row r="72" spans="4:13">
      <c r="D72" s="100" t="s">
        <v>107</v>
      </c>
      <c r="E72" s="101" t="str">
        <f>_xlfn.IFNA(VLOOKUP(MOD((($D$1-WEEKDAY($D$1,2)+1)-45523)/7+5,24),Shift!$A$2:$H$25,WEEKDAY($D$1,2)+1),VLOOKUP(24,Shift!$A$2:$H$25,WEEKDAY($D$1,2)+1))</f>
        <v>P1</v>
      </c>
      <c r="F72" s="101">
        <v>1</v>
      </c>
      <c r="G72" s="101">
        <v>1</v>
      </c>
      <c r="H72" s="101">
        <v>2</v>
      </c>
      <c r="I72" s="102">
        <f t="shared" si="8"/>
        <v>4</v>
      </c>
      <c r="J72" s="137" t="s">
        <v>107</v>
      </c>
      <c r="K72" s="112" t="str">
        <f t="shared" si="9"/>
        <v/>
      </c>
      <c r="L72" s="112" t="str">
        <f t="shared" si="10"/>
        <v/>
      </c>
      <c r="M72" s="112"/>
    </row>
    <row r="73" spans="4:13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A</v>
      </c>
      <c r="F73" s="104">
        <v>1</v>
      </c>
      <c r="G73" s="104">
        <v>1</v>
      </c>
      <c r="H73" s="104">
        <v>3</v>
      </c>
      <c r="I73" s="105">
        <f t="shared" si="8"/>
        <v>5</v>
      </c>
      <c r="J73" s="138" t="s">
        <v>108</v>
      </c>
      <c r="K73" s="112" t="str">
        <f t="shared" si="9"/>
        <v/>
      </c>
      <c r="L73" s="112" t="str">
        <f t="shared" si="10"/>
        <v/>
      </c>
      <c r="M73" s="112"/>
    </row>
    <row r="74" spans="4:13">
      <c r="D74" s="144" t="s">
        <v>87</v>
      </c>
      <c r="E74" s="98" t="s">
        <v>26</v>
      </c>
      <c r="F74" s="98">
        <v>0</v>
      </c>
      <c r="G74" s="98">
        <v>0</v>
      </c>
      <c r="H74" s="98">
        <v>1</v>
      </c>
      <c r="I74" s="99">
        <f>IF(OR($E74="L",$E74="L#",$E74="?"),0,SUM($F74:$H74))</f>
        <v>1</v>
      </c>
      <c r="J74" s="22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220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220"/>
    </row>
    <row r="77" spans="4:13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220"/>
    </row>
    <row r="78" spans="4:13">
      <c r="D78" s="255"/>
      <c r="E78" s="96" t="s">
        <v>98</v>
      </c>
      <c r="F78" s="96" t="str">
        <f>SUM($F$62:$F$77)&amp;IF(SUM($F$62:$H$77)&gt;$I$78,"?","")</f>
        <v>7</v>
      </c>
      <c r="G78" s="96" t="str">
        <f>SUM($G$62:$G$77)&amp;IF(SUM($F$62:$H$77)&gt;$I$78,"?","")</f>
        <v>6</v>
      </c>
      <c r="H78" s="96" t="str">
        <f>SUM($H$62:$H$77)&amp;IF(SUM($F$62:$H$77)&gt;$I$78,"?","")</f>
        <v>18</v>
      </c>
      <c r="I78" s="96">
        <f>SUM(I62:I77)</f>
        <v>31</v>
      </c>
      <c r="J78" s="220"/>
    </row>
    <row r="79" spans="4:13">
      <c r="D79" s="255"/>
      <c r="E79" s="220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220"/>
      <c r="J79" s="220"/>
    </row>
    <row r="81" spans="4:6">
      <c r="D81" s="410" t="s">
        <v>281</v>
      </c>
      <c r="E81" s="410"/>
      <c r="F81" s="410"/>
    </row>
    <row r="82" spans="4:6">
      <c r="D82" s="49" t="str">
        <f>IF(Flight!$A$68=0,"",Flight!$A$68)</f>
        <v/>
      </c>
      <c r="E82" s="163"/>
      <c r="F82" s="164" t="str">
        <f>IF(D82="","",VLOOKUP(D82,Flight!$A$68:$C$91,3,FALSE))</f>
        <v/>
      </c>
    </row>
    <row r="83" spans="4:6">
      <c r="D83" s="49" t="str">
        <f>IF(Flight!$A69=0,"",Flight!$A69)</f>
        <v/>
      </c>
      <c r="F83" s="164" t="str">
        <f>IF(D83="","",VLOOKUP(D83,Flight!$A$68:$C$91,3,FALSE))</f>
        <v/>
      </c>
    </row>
    <row r="84" spans="4:6">
      <c r="D84" s="49" t="str">
        <f>IF(Flight!$A71=0,"",Flight!$A71)</f>
        <v>3A031</v>
      </c>
      <c r="F84" s="164" t="str">
        <f>IF(D84="","",VLOOKUP(D84,Flight!$A$68:$C$91,3,FALSE))</f>
        <v>ZTI</v>
      </c>
    </row>
    <row r="85" spans="4:6">
      <c r="D85" s="49" t="str">
        <f>IF(Flight!$A72=0,"",Flight!$A72)</f>
        <v>3A003</v>
      </c>
      <c r="F85" s="164" t="str">
        <f>IF(D85="","",VLOOKUP(D85,Flight!$A$68:$C$91,3,FALSE))</f>
        <v>ZYK</v>
      </c>
    </row>
    <row r="86" spans="4:6">
      <c r="D86" s="49" t="str">
        <f>IF(Flight!$A73=0,"",Flight!$A73)</f>
        <v>3A005</v>
      </c>
      <c r="F86" s="164" t="str">
        <f>IF(D86="","",VLOOKUP(D86,Flight!$A$68:$C$91,3,FALSE))</f>
        <v>HKM</v>
      </c>
    </row>
    <row r="87" spans="4:6">
      <c r="D87" s="49" t="str">
        <f>IF(Flight!$A74=0,"",Flight!$A74)</f>
        <v>3A007</v>
      </c>
      <c r="F87" s="164" t="str">
        <f>IF(D87="","",VLOOKUP(D87,Flight!$A$68:$C$91,3,FALSE))</f>
        <v>ZYK</v>
      </c>
    </row>
    <row r="88" spans="4:6">
      <c r="D88" s="49" t="str">
        <f>IF(Flight!$A75=0,"",Flight!$A75)</f>
        <v>3A008</v>
      </c>
      <c r="F88" s="164" t="str">
        <f>IF(D88="","",VLOOKUP(D88,Flight!$A$68:$C$91,3,FALSE))</f>
        <v>ZYK</v>
      </c>
    </row>
    <row r="89" spans="4:6">
      <c r="D89" s="49" t="str">
        <f>IF(Flight!$A76=0,"",Flight!$A76)</f>
        <v>3A009</v>
      </c>
      <c r="F89" s="164" t="str">
        <f>IF(D89="","",VLOOKUP(D89,Flight!$A$68:$C$91,3,FALSE))</f>
        <v>ZYK</v>
      </c>
    </row>
    <row r="90" spans="4:6">
      <c r="D90" s="49" t="str">
        <f>IF(Flight!$A77=0,"",Flight!$A77)</f>
        <v>3A010</v>
      </c>
      <c r="F90" s="164" t="str">
        <f>IF(D90="","",VLOOKUP(D90,Flight!$A$68:$C$91,3,FALSE))</f>
        <v>ZYK</v>
      </c>
    </row>
    <row r="91" spans="4:6">
      <c r="D91" s="49" t="str">
        <f>IF(Flight!$A78=0,"",Flight!$A78)</f>
        <v/>
      </c>
      <c r="F91" s="164" t="str">
        <f>IF(D91="","",VLOOKUP(D91,Flight!$A$68:$C$91,3,FALSE))</f>
        <v/>
      </c>
    </row>
    <row r="92" spans="4:6">
      <c r="D92" s="49" t="str">
        <f>IF(Flight!$A80=0,"",Flight!$A80)</f>
        <v>8S7121</v>
      </c>
      <c r="F92" s="164" t="str">
        <f>IF(D92="","",VLOOKUP(D92,Flight!$A$68:$C$91,3,FALSE))</f>
        <v>HKM</v>
      </c>
    </row>
    <row r="93" spans="4:6">
      <c r="D93" s="49" t="str">
        <f>IF(Flight!$A81=0,"",Flight!$A81)</f>
        <v>8S7108</v>
      </c>
      <c r="F93" s="164" t="str">
        <f>IF(D93="","",VLOOKUP(D93,Flight!$A$68:$C$91,3,FALSE))</f>
        <v>ZYK</v>
      </c>
    </row>
    <row r="94" spans="4:6">
      <c r="D94" s="49" t="str">
        <f>IF(Flight!$A82=0,"",Flight!$A82)</f>
        <v>8S7111</v>
      </c>
      <c r="F94" s="164" t="str">
        <f>IF(D94="","",VLOOKUP(D94,Flight!$A$68:$C$91,3,FALSE))</f>
        <v>ZYK</v>
      </c>
    </row>
    <row r="95" spans="4:6">
      <c r="D95" s="49" t="str">
        <f>IF(Flight!$A83=0,"",Flight!$A83)</f>
        <v>8S7131</v>
      </c>
      <c r="F95" s="164" t="str">
        <f>IF(D95="","",VLOOKUP(D95,Flight!$A$68:$C$91,3,FALSE))</f>
        <v>?</v>
      </c>
    </row>
    <row r="96" spans="4:6">
      <c r="D96" s="49" t="str">
        <f>IF(Flight!$A84=0,"",Flight!$A84)</f>
        <v>8S7119</v>
      </c>
      <c r="F96" s="164" t="str">
        <f>IF(D96="","",VLOOKUP(D96,Flight!$A$68:$C$91,3,FALSE))</f>
        <v>HKM</v>
      </c>
    </row>
    <row r="97" spans="4:6">
      <c r="D97" s="49" t="str">
        <f>IF(Flight!$A85=0,"",Flight!$A85)</f>
        <v>8S7126</v>
      </c>
      <c r="F97" s="164" t="str">
        <f>IF(D97="","",VLOOKUP(D97,Flight!$A$68:$C$91,3,FALSE))</f>
        <v>HKM</v>
      </c>
    </row>
    <row r="98" spans="4:6">
      <c r="D98" s="49" t="str">
        <f>IF(Flight!$A86=0,"",Flight!$A86)</f>
        <v>8S7128</v>
      </c>
      <c r="F98" s="164" t="str">
        <f>IF(D98="","",VLOOKUP(D98,Flight!$A$68:$C$91,3,FALSE))</f>
        <v>HKM</v>
      </c>
    </row>
    <row r="99" spans="4:6">
      <c r="D99" s="49" t="str">
        <f>IF(Flight!$A87=0,"",Flight!$A87)</f>
        <v>3A8010</v>
      </c>
      <c r="F99" s="164" t="str">
        <f>IF(D99="","",VLOOKUP(D99,Flight!$A$68:$C$91,3,FALSE))</f>
        <v>HZI</v>
      </c>
    </row>
    <row r="100" spans="4:6">
      <c r="D100" s="49" t="str">
        <f>IF(Flight!$A88=0,"",Flight!$A88)</f>
        <v>3A8015</v>
      </c>
      <c r="F100" s="164" t="str">
        <f>IF(D100="","",VLOOKUP(D100,Flight!$A$68:$C$91,3,FALSE))</f>
        <v>?</v>
      </c>
    </row>
    <row r="101" spans="4:6">
      <c r="D101" s="49" t="str">
        <f>IF(Flight!$A89=0,"",Flight!$A89)</f>
        <v>3A8016</v>
      </c>
      <c r="F101" s="164" t="str">
        <f>IF(D101="","",VLOOKUP(D101,Flight!$A$68:$C$91,3,FALSE))</f>
        <v>HZI</v>
      </c>
    </row>
    <row r="102" spans="4:6">
      <c r="D102" s="49" t="str">
        <f>IF(Flight!$A91=0,"",Flight!$A91)</f>
        <v xml:space="preserve">Last </v>
      </c>
      <c r="F102" s="164" t="str">
        <f>IF(D102="","",VLOOKUP(D102,Flight!$A$68:$C$91,3,FALSE))</f>
        <v>↑</v>
      </c>
    </row>
    <row r="103" spans="4:6">
      <c r="D103" s="49" t="str">
        <f>IF(Flight!$A92=0,"",Flight!$A92)</f>
        <v/>
      </c>
      <c r="F103" s="164" t="str">
        <f>IF(D103="","",VLOOKUP(D103,Flight!$A$68:$C$91,3,FALSE))</f>
        <v/>
      </c>
    </row>
    <row r="104" spans="4:6">
      <c r="D104" s="186"/>
      <c r="F104" s="187"/>
    </row>
    <row r="105" spans="4:6">
      <c r="D105" s="406" t="str">
        <f>IF(Flight!$A$93=0,"",Flight!$A$93)</f>
        <v>Target Flight</v>
      </c>
      <c r="E105" s="406"/>
      <c r="F105" s="406"/>
    </row>
    <row r="106" spans="4:6">
      <c r="D106" s="27" t="s">
        <v>59</v>
      </c>
      <c r="E106" s="158"/>
      <c r="F106" s="10" t="s">
        <v>38</v>
      </c>
    </row>
    <row r="107" spans="4:6">
      <c r="D107" s="27" t="s">
        <v>89</v>
      </c>
      <c r="E107" s="158"/>
      <c r="F107" s="10" t="s">
        <v>38</v>
      </c>
    </row>
    <row r="108" spans="4:6">
      <c r="D108" s="27" t="s">
        <v>254</v>
      </c>
      <c r="E108" s="158"/>
      <c r="F108" s="10" t="s">
        <v>38</v>
      </c>
    </row>
    <row r="109" spans="4:6">
      <c r="D109" s="27" t="s">
        <v>57</v>
      </c>
      <c r="E109" s="158"/>
      <c r="F109" s="10" t="s">
        <v>58</v>
      </c>
    </row>
    <row r="110" spans="4:6">
      <c r="D110" s="27" t="s">
        <v>198</v>
      </c>
      <c r="E110" s="158"/>
      <c r="F110" s="10" t="s">
        <v>199</v>
      </c>
    </row>
    <row r="111" spans="4:6">
      <c r="D111" s="27" t="s">
        <v>55</v>
      </c>
      <c r="E111" s="158"/>
      <c r="F111" s="10" t="s">
        <v>54</v>
      </c>
    </row>
    <row r="112" spans="4:6">
      <c r="D112" s="27" t="s">
        <v>39</v>
      </c>
      <c r="E112" s="158"/>
      <c r="F112" s="10" t="s">
        <v>38</v>
      </c>
    </row>
    <row r="113" spans="4:6">
      <c r="D113" s="27" t="s">
        <v>200</v>
      </c>
      <c r="E113" s="158"/>
      <c r="F113" s="10" t="s">
        <v>54</v>
      </c>
    </row>
    <row r="114" spans="4:6">
      <c r="D114" s="27" t="s">
        <v>201</v>
      </c>
      <c r="E114" s="158"/>
      <c r="F114" s="10" t="s">
        <v>38</v>
      </c>
    </row>
    <row r="115" spans="4:6">
      <c r="D115" s="161" t="s">
        <v>538</v>
      </c>
      <c r="E115" s="158"/>
      <c r="F115" s="159" t="s">
        <v>566</v>
      </c>
    </row>
    <row r="116" spans="4:6">
      <c r="D116" s="161"/>
      <c r="E116" s="158"/>
      <c r="F116" s="159"/>
    </row>
  </sheetData>
  <mergeCells count="82">
    <mergeCell ref="H53:I53"/>
    <mergeCell ref="K53:M53"/>
    <mergeCell ref="D105:F105"/>
    <mergeCell ref="A55:B55"/>
    <mergeCell ref="C55:E55"/>
    <mergeCell ref="H55:I55"/>
    <mergeCell ref="C56:H56"/>
    <mergeCell ref="I57:J57"/>
    <mergeCell ref="D81:F81"/>
    <mergeCell ref="H54:I54"/>
    <mergeCell ref="D54:E54"/>
    <mergeCell ref="F54:G54"/>
    <mergeCell ref="A53:B53"/>
    <mergeCell ref="C53:E53"/>
    <mergeCell ref="F53:G53"/>
    <mergeCell ref="D51:I51"/>
    <mergeCell ref="K51:M51"/>
    <mergeCell ref="K47:M47"/>
    <mergeCell ref="A52:B52"/>
    <mergeCell ref="C52:E52"/>
    <mergeCell ref="F52:I52"/>
    <mergeCell ref="K52:M52"/>
    <mergeCell ref="A49:B49"/>
    <mergeCell ref="C49:E49"/>
    <mergeCell ref="G49:I49"/>
    <mergeCell ref="K49:M49"/>
    <mergeCell ref="C50:E50"/>
    <mergeCell ref="G50:I50"/>
    <mergeCell ref="K50:M50"/>
    <mergeCell ref="D48:E48"/>
    <mergeCell ref="G48:H48"/>
    <mergeCell ref="I48:J48"/>
    <mergeCell ref="A47:B47"/>
    <mergeCell ref="A45:H45"/>
    <mergeCell ref="A46:B46"/>
    <mergeCell ref="D46:E46"/>
    <mergeCell ref="G46:H46"/>
    <mergeCell ref="I46:J46"/>
    <mergeCell ref="D47:E47"/>
    <mergeCell ref="G47:H47"/>
    <mergeCell ref="I47:J47"/>
    <mergeCell ref="K46:M46"/>
    <mergeCell ref="H6:H7"/>
    <mergeCell ref="I6:I7"/>
    <mergeCell ref="J6:J7"/>
    <mergeCell ref="K6:M6"/>
    <mergeCell ref="K39:M39"/>
    <mergeCell ref="A43:F43"/>
    <mergeCell ref="I43:M44"/>
    <mergeCell ref="A44:H44"/>
    <mergeCell ref="A6:A7"/>
    <mergeCell ref="B6:C6"/>
    <mergeCell ref="D6:D7"/>
    <mergeCell ref="E6:E7"/>
    <mergeCell ref="F6:F7"/>
    <mergeCell ref="G6:G7"/>
    <mergeCell ref="F39:G39"/>
    <mergeCell ref="E36:F36"/>
    <mergeCell ref="K36:M36"/>
    <mergeCell ref="E29:F29"/>
    <mergeCell ref="K29:M29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21 E8:E21 E23:E26 H23:H26 H28:H42 E28:E42">
    <cfRule type="cellIs" dxfId="109" priority="11" operator="equal">
      <formula>""</formula>
    </cfRule>
  </conditionalFormatting>
  <conditionalFormatting sqref="F62:H79">
    <cfRule type="cellIs" dxfId="108" priority="10" operator="equal">
      <formula>"?"</formula>
    </cfRule>
  </conditionalFormatting>
  <conditionalFormatting sqref="E22 H22">
    <cfRule type="cellIs" dxfId="107" priority="4" operator="equal">
      <formula>""</formula>
    </cfRule>
  </conditionalFormatting>
  <conditionalFormatting sqref="H27 E27">
    <cfRule type="cellIs" dxfId="106" priority="2" operator="equal">
      <formula>""</formula>
    </cfRule>
  </conditionalFormatting>
  <conditionalFormatting sqref="D9:D997">
    <cfRule type="duplicateValues" dxfId="105" priority="154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errorStyle="warning" allowBlank="1" showInputMessage="1">
          <x14:formula1>
            <xm:f>Staff!$B$15:$B$39</xm:f>
          </x14:formula1>
          <xm:sqref>D47:E47</xm:sqref>
        </x14:dataValidation>
        <x14:dataValidation type="list" allowBlank="1" showInputMessage="1" showErrorMessage="1">
          <x14:formula1>
            <xm:f>Staff!$G$23:$G$52</xm:f>
          </x14:formula1>
          <xm:sqref>K49:M53</xm:sqref>
        </x14:dataValidation>
        <x14:dataValidation type="list" allowBlank="1" showInputMessage="1">
          <x14:formula1>
            <xm:f>Staff!$G$12:$G$52</xm:f>
          </x14:formula1>
          <xm:sqref>G49:I50</xm:sqref>
        </x14:dataValidation>
        <x14:dataValidation type="list" allowBlank="1" showInputMessage="1">
          <x14:formula1>
            <xm:f>Staff!$G$2:$G$9</xm:f>
          </x14:formula1>
          <xm:sqref>K46:M47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4"/>
  <sheetViews>
    <sheetView view="pageBreakPreview" topLeftCell="A4" zoomScale="85" zoomScaleNormal="100" zoomScaleSheetLayoutView="85" workbookViewId="0">
      <selection activeCell="E18" sqref="E18:F18"/>
    </sheetView>
  </sheetViews>
  <sheetFormatPr defaultRowHeight="15.75"/>
  <cols>
    <col min="1" max="1" width="9.125" style="234" customWidth="1"/>
    <col min="2" max="2" width="10.25" style="234" customWidth="1"/>
    <col min="3" max="3" width="9.75" style="234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35" customWidth="1"/>
    <col min="9" max="9" width="9" style="54" customWidth="1"/>
    <col min="10" max="10" width="9.125" style="54" customWidth="1"/>
    <col min="11" max="13" width="9.125" style="234" customWidth="1"/>
    <col min="14" max="14" width="9" style="234"/>
    <col min="15" max="15" width="10.75" style="112" bestFit="1" customWidth="1"/>
    <col min="16" max="16" width="12.25" style="234" bestFit="1" customWidth="1"/>
    <col min="17" max="16384" width="9" style="234"/>
  </cols>
  <sheetData>
    <row r="1" spans="1:15">
      <c r="A1" s="244"/>
      <c r="B1" s="244"/>
      <c r="C1" s="108" t="s">
        <v>20</v>
      </c>
      <c r="D1" s="355">
        <v>45755</v>
      </c>
      <c r="E1" s="355"/>
      <c r="F1" s="238" t="s">
        <v>23</v>
      </c>
      <c r="G1" s="110">
        <f>D1</f>
        <v>45755</v>
      </c>
      <c r="H1" s="242" t="s">
        <v>24</v>
      </c>
      <c r="I1" s="239"/>
      <c r="J1" s="239"/>
      <c r="K1" s="244"/>
      <c r="L1" s="244"/>
      <c r="M1" s="47"/>
    </row>
    <row r="2" spans="1:15" ht="17.25" customHeight="1" thickBot="1">
      <c r="A2" s="244"/>
      <c r="B2" s="244"/>
      <c r="C2" s="244"/>
      <c r="D2" s="356"/>
      <c r="E2" s="356"/>
      <c r="F2" s="239"/>
      <c r="G2" s="357"/>
      <c r="H2" s="357"/>
      <c r="I2" s="357"/>
      <c r="J2" s="239"/>
      <c r="K2" s="244"/>
      <c r="L2" s="244"/>
      <c r="M2" s="47"/>
    </row>
    <row r="3" spans="1:15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5">
      <c r="A4" s="41" t="s">
        <v>18</v>
      </c>
      <c r="B4" s="366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S9(4) </v>
      </c>
      <c r="C4" s="367"/>
      <c r="D4" s="366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 &lt;S5(7)&gt;  S6(7) </v>
      </c>
      <c r="E4" s="367"/>
      <c r="F4" s="366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S8(7) </v>
      </c>
      <c r="G4" s="367"/>
      <c r="H4" s="366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S7(6) </v>
      </c>
      <c r="I4" s="367"/>
      <c r="J4" s="366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S1(6)  &lt;S3(5)&gt;  S4(7) </v>
      </c>
      <c r="K4" s="367"/>
      <c r="L4" s="366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S2(7) </v>
      </c>
      <c r="M4" s="367"/>
    </row>
    <row r="5" spans="1:15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5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5">
      <c r="A7" s="380"/>
      <c r="B7" s="247" t="s">
        <v>52</v>
      </c>
      <c r="C7" s="247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5" ht="16.5" customHeight="1">
      <c r="A8" s="9">
        <f>IF($A6="S/N",1,IF($F8="Wavied","-",IF($D8=0,"",ROW($A8)-ROW($A$7)-COUNTIF($A$7:$A$8,"@")-COUNTIF($A$7:$A$8,"-"))))</f>
        <v>1</v>
      </c>
      <c r="B8" s="9" t="str">
        <f>IF($E8&lt;&gt;"",IF($E8-715&lt;0,VLOOKUP($B$3,$E$60:$J$71,6,FALSE),IF(AND($E8-2130&gt;0,_xlfn.IFNA(MATCH($D8,$D$104:$D$114,0)&lt;20,"")=TRUE),VLOOKUP($L$3,$E$60:$J$71,6,FALSE),"-")),"")</f>
        <v>S9</v>
      </c>
      <c r="C8" s="9" t="str">
        <f>IF($E8&lt;&gt;"",IF(ISNUMBER(SEARCH("Hall Operation",$K8)),"-",IF($E8-715&lt;0,VLOOKUP($B$3,$E$60:$J$71,6,FALSE),IF($E8-2129&gt;0,VLOOKUP($L$3,$E$60:$J$71,6,FALSE),""))),"")</f>
        <v>-</v>
      </c>
      <c r="D8" s="165" t="s">
        <v>659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>IF($D8=0,"",IF(OR(ISNUMBER(SEARCH("S",$B8)),_xlfn.IFNA(MATCH($D8,$D$104:$D$114,0)&lt;20,"")=TRUE),"&lt;   Hall Operation   &gt;",""))</f>
        <v>&lt;   Hall Operation   &gt;</v>
      </c>
      <c r="L8" s="166"/>
      <c r="M8" s="166"/>
      <c r="N8" s="173"/>
    </row>
    <row r="9" spans="1:15" s="262" customFormat="1" ht="16.5" customHeight="1">
      <c r="A9" s="9">
        <f>IF($F9="Wavied","-",IF($D9=0,"",ROW($A9)-ROW($A$8)+1-COUNTIF($A$8:$A8,"@")-COUNTIF($A$8:$A8,"-")))</f>
        <v>2</v>
      </c>
      <c r="B9" s="9" t="s">
        <v>874</v>
      </c>
      <c r="C9" s="9" t="s">
        <v>920</v>
      </c>
      <c r="D9" s="165" t="s">
        <v>658</v>
      </c>
      <c r="E9" s="172">
        <v>545</v>
      </c>
      <c r="F9" s="43"/>
      <c r="G9" s="43"/>
      <c r="H9" s="44" t="str">
        <f>IF($D9&gt;0,VLOOKUP($D9,Flight!$A$1:$E$91,3,FALSE),"")</f>
        <v>CGK</v>
      </c>
      <c r="I9" s="44"/>
      <c r="J9" s="44"/>
      <c r="K9" s="166" t="str">
        <f>IF($D9=0,"",IF(OR(ISNUMBER(SEARCH("S",$B9)),_xlfn.IFNA(MATCH($D9,$D$104:$D$114,0)&lt;20,"")=TRUE),"&lt;   Hall Operation   &gt;",""))</f>
        <v>&lt;   Hall Operation   &gt;</v>
      </c>
      <c r="L9" s="166"/>
      <c r="M9" s="166"/>
      <c r="N9" s="173"/>
      <c r="O9" s="112"/>
    </row>
    <row r="10" spans="1:15" ht="16.5" customHeight="1">
      <c r="A10" s="9">
        <f>IF($F10="Wavied","-",IF($D10=0,"",ROW($A10)-ROW($A$8)+1-COUNTIF($A$8:$A9,"@")-COUNTIF($A$8:$A9,"-")))</f>
        <v>3</v>
      </c>
      <c r="B10" s="9" t="str">
        <f>IF($E10&lt;&gt;"",IF($E10-715&lt;0,VLOOKUP($B$3,$E$60:$J$71,6,FALSE),IF(AND($E10-2130&gt;0,_xlfn.IFNA(MATCH($D10,$D$104:$D$114,0)&lt;20,"")=TRUE),VLOOKUP($L$3,$E$60:$J$71,6,FALSE),"-")),"")</f>
        <v>S9</v>
      </c>
      <c r="C10" s="9" t="str">
        <f t="shared" ref="C10:C15" si="0">IF($E10&lt;&gt;"",IF(ISNUMBER(SEARCH("Hall Operation",$K10)),"-",IF($E10-715&lt;0,VLOOKUP($B$3,$E$60:$J$71,6,FALSE),IF($E10-2129&gt;0,VLOOKUP($L$3,$E$60:$J$71,6,FALSE),""))),"")</f>
        <v>-</v>
      </c>
      <c r="D10" s="213" t="s">
        <v>660</v>
      </c>
      <c r="E10" s="172" t="str">
        <f>IF($D10&gt;0,VLOOKUP($D10,Flight!$A$1:$E$91,2,FALSE),"")</f>
        <v>0555</v>
      </c>
      <c r="F10" s="45"/>
      <c r="G10" s="43" t="str">
        <f t="shared" ref="G10:G40" si="1">IF(A10="@",IF(H10="ZYK","Berth 3",IF(H10="HKM","Bay 7","")),"")</f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ref="K10:K17" si="2">IF($D10=0,"",IF(OR(ISNUMBER(SEARCH("S",$B10)),_xlfn.IFNA(MATCH($D10,$D$104:$D$114,0)&lt;20,"")=TRUE),"&lt;   Hall Operation   &gt;",""))</f>
        <v>&lt;   Hall Operation   &gt;</v>
      </c>
      <c r="L10" s="166"/>
      <c r="M10" s="166"/>
    </row>
    <row r="11" spans="1:15">
      <c r="A11" s="9">
        <f>IF($F11="Wavied","-",IF($D11=0,"",ROW($A11)-ROW($A$8)+1-COUNTIF($A$8:$A10,"@")-COUNTIF($A$8:$A10,"-")))</f>
        <v>4</v>
      </c>
      <c r="B11" s="9" t="str">
        <f>IF($E11&lt;&gt;"",IF($E11-715&lt;0,VLOOKUP($B$3,$E$60:$J$71,6,FALSE),IF(AND($E11-2130&gt;0,_xlfn.IFNA(MATCH($D11,$D$104:$D$114,0)&lt;20,"")=TRUE),VLOOKUP($L$3,$E$60:$J$71,6,FALSE),"-")),"")</f>
        <v>S9</v>
      </c>
      <c r="C11" s="9" t="str">
        <f t="shared" si="0"/>
        <v>-</v>
      </c>
      <c r="D11" s="213" t="s">
        <v>661</v>
      </c>
      <c r="E11" s="172" t="str">
        <f>IF($D11&gt;0,VLOOKUP($D11,Flight!$A$1:$E$91,2,FALSE),"")</f>
        <v>0615</v>
      </c>
      <c r="F11" s="45"/>
      <c r="G11" s="43" t="str">
        <f t="shared" si="1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5">
      <c r="A12" s="9">
        <f>IF($F12="Wavied","-",IF($D12=0,"",ROW($A12)-ROW($A$8)+1-COUNTIF($A$8:$A11,"@")-COUNTIF($A$8:$A11,"-")))</f>
        <v>5</v>
      </c>
      <c r="B12" s="9" t="str">
        <f>IF($E12&lt;&gt;"",IF($E12-715&lt;0,VLOOKUP($B$3,$E$60:$J$71,6,FALSE),IF(AND($E12-2130&gt;0,_xlfn.IFNA(MATCH($D12,$D$104:$D$114,0)&lt;20,"")=TRUE),VLOOKUP($L$3,$E$60:$J$71,6,FALSE),"-")),"")</f>
        <v>S9</v>
      </c>
      <c r="C12" s="9" t="str">
        <f t="shared" si="0"/>
        <v>-</v>
      </c>
      <c r="D12" s="10" t="s">
        <v>662</v>
      </c>
      <c r="E12" s="172" t="str">
        <f>IF($D12&gt;0,VLOOKUP($D12,Flight!$A$1:$E$91,2,FALSE),"")</f>
        <v>0640</v>
      </c>
      <c r="F12" s="43"/>
      <c r="G12" s="43" t="str">
        <f t="shared" si="1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5">
      <c r="A13" s="9">
        <f>IF($F13="Wavied","-",IF($D13=0,"",ROW($A13)-ROW($A$8)+1-COUNTIF($A$8:$A12,"@")-COUNTIF($A$8:$A12,"-")))</f>
        <v>6</v>
      </c>
      <c r="B13" s="9" t="s">
        <v>670</v>
      </c>
      <c r="C13" s="9" t="str">
        <f t="shared" si="0"/>
        <v>-</v>
      </c>
      <c r="D13" s="27" t="s">
        <v>663</v>
      </c>
      <c r="E13" s="172" t="str">
        <f>IF($D13&gt;0,VLOOKUP($D13,Flight!$A$1:$E$91,2,FALSE),"")</f>
        <v>0905</v>
      </c>
      <c r="F13" s="45"/>
      <c r="G13" s="43" t="str">
        <f t="shared" si="1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5">
      <c r="A14" s="9">
        <f>IF($F14="Wavied","-",IF($D14=0,"",ROW($A14)-ROW($A$8)+1-COUNTIF($A$8:$A13,"@")-COUNTIF($A$8:$A13,"-")))</f>
        <v>7</v>
      </c>
      <c r="B14" s="9" t="s">
        <v>88</v>
      </c>
      <c r="C14" s="9" t="str">
        <f t="shared" si="0"/>
        <v>-</v>
      </c>
      <c r="D14" s="213" t="s">
        <v>370</v>
      </c>
      <c r="E14" s="172" t="str">
        <f>IF($D14&gt;0,VLOOKUP($D14,Flight!$A$1:$E$91,2,FALSE),"")</f>
        <v>0935</v>
      </c>
      <c r="F14" s="46"/>
      <c r="G14" s="43" t="str">
        <f t="shared" si="1"/>
        <v/>
      </c>
      <c r="H14" s="44" t="str">
        <f>IF($D14&gt;0,VLOOKUP($D14,Flight!$A$1:$E$91,3,FALSE),"")</f>
        <v>BLR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5">
      <c r="A15" s="9">
        <f>IF($F15="Wavied","-",IF($D15=0,"",ROW($A15)-ROW($A$8)+1-COUNTIF($A$8:$A14,"@")-COUNTIF($A$8:$A14,"-")))</f>
        <v>8</v>
      </c>
      <c r="B15" s="9" t="s">
        <v>161</v>
      </c>
      <c r="C15" s="9" t="str">
        <f t="shared" si="0"/>
        <v>-</v>
      </c>
      <c r="D15" s="213" t="s">
        <v>371</v>
      </c>
      <c r="E15" s="172" t="str">
        <f>IF($D15&gt;0,VLOOKUP($D15,Flight!$A$1:$E$91,2,FALSE),"")</f>
        <v>0955</v>
      </c>
      <c r="F15" s="46"/>
      <c r="G15" s="43" t="str">
        <f t="shared" si="1"/>
        <v/>
      </c>
      <c r="H15" s="44" t="str">
        <f>IF($D15&gt;0,VLOOKUP($D15,Flight!$A$1:$E$91,3,FALSE),"")</f>
        <v>BOM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5">
      <c r="A16" s="9">
        <f>IF($F16="Wavied","-",IF($D16=0,"",ROW($A16)-ROW($A$8)+1-COUNTIF($A$8:$A15,"@")-COUNTIF($A$8:$A15,"-")))</f>
        <v>9</v>
      </c>
      <c r="B16" s="9" t="s">
        <v>922</v>
      </c>
      <c r="C16" s="9"/>
      <c r="D16" s="27" t="s">
        <v>372</v>
      </c>
      <c r="E16" s="172" t="str">
        <f>IF($D16&gt;0,VLOOKUP($D16,Flight!$A$1:$E$91,2,FALSE),"")</f>
        <v>1000</v>
      </c>
      <c r="F16" s="45"/>
      <c r="G16" s="43" t="str">
        <f t="shared" si="1"/>
        <v/>
      </c>
      <c r="H16" s="44" t="str">
        <f>IF($D16&gt;0,VLOOKUP($D16,Flight!$A$1:$E$91,3,FALSE),"")</f>
        <v>DMK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f>IF($F17="Wavied","-",IF($D17=0,"",ROW($A17)-ROW($A$8)+1-COUNTIF($A$8:$A16,"@")-COUNTIF($A$8:$A16,"-")))</f>
        <v>10</v>
      </c>
      <c r="B17" s="9" t="s">
        <v>671</v>
      </c>
      <c r="C17" s="112" t="s">
        <v>927</v>
      </c>
      <c r="D17" s="27" t="s">
        <v>373</v>
      </c>
      <c r="E17" s="172" t="str">
        <f>IF($D17&gt;0,VLOOKUP($D17,Flight!$A$1:$E$91,2,FALSE),"")</f>
        <v>1010</v>
      </c>
      <c r="F17" s="45"/>
      <c r="G17" s="43" t="str">
        <f t="shared" si="1"/>
        <v/>
      </c>
      <c r="H17" s="44" t="str">
        <f>IF($D17&gt;0,VLOOKUP($D17,Flight!$A$1:$E$91,3,FALSE),"")</f>
        <v>MNL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251" t="s">
        <v>31</v>
      </c>
      <c r="B18" s="251" t="s">
        <v>31</v>
      </c>
      <c r="C18" s="251" t="s">
        <v>672</v>
      </c>
      <c r="D18" s="252" t="s">
        <v>374</v>
      </c>
      <c r="E18" s="432" t="s">
        <v>822</v>
      </c>
      <c r="F18" s="419"/>
      <c r="G18" s="291" t="str">
        <f t="shared" si="1"/>
        <v/>
      </c>
      <c r="H18" s="254" t="str">
        <f>IF($D18&gt;0,VLOOKUP($D18,Flight!$A$1:$E$91,3,FALSE),"")</f>
        <v>KUL</v>
      </c>
      <c r="I18" s="254" t="str">
        <f>IF($D18&gt;0,IF(VLOOKUP($D18,Flight!$A$1:$E$91,4,FALSE)&gt;1,VLOOKUP($D18,Flight!$A$1:$E101,4,FALSE),""),"")</f>
        <v/>
      </c>
      <c r="J18" s="279"/>
      <c r="K18" s="402" t="s">
        <v>928</v>
      </c>
      <c r="L18" s="402"/>
      <c r="M18" s="403"/>
      <c r="O18" s="114"/>
    </row>
    <row r="19" spans="1:15" ht="16.5" customHeight="1">
      <c r="A19" s="251" t="s">
        <v>31</v>
      </c>
      <c r="B19" s="251" t="s">
        <v>31</v>
      </c>
      <c r="C19" s="251" t="s">
        <v>673</v>
      </c>
      <c r="D19" s="252" t="s">
        <v>375</v>
      </c>
      <c r="E19" s="432" t="s">
        <v>822</v>
      </c>
      <c r="F19" s="419"/>
      <c r="G19" s="291" t="str">
        <f t="shared" si="1"/>
        <v/>
      </c>
      <c r="H19" s="254" t="str">
        <f>IF($D19&gt;0,VLOOKUP($D19,Flight!$A$1:$E$91,3,FALSE),"")</f>
        <v>BKK</v>
      </c>
      <c r="I19" s="254" t="str">
        <f>IF($D19&gt;0,IF(VLOOKUP($D19,Flight!$A$1:$E$91,4,FALSE)&gt;1,VLOOKUP($D19,Flight!$A$1:$E102,4,FALSE),""),"")</f>
        <v/>
      </c>
      <c r="J19" s="279"/>
      <c r="K19" s="402" t="s">
        <v>928</v>
      </c>
      <c r="L19" s="402"/>
      <c r="M19" s="403"/>
      <c r="O19" s="114"/>
    </row>
    <row r="20" spans="1:15" s="262" customFormat="1">
      <c r="A20" s="251" t="s">
        <v>31</v>
      </c>
      <c r="B20" s="251" t="s">
        <v>31</v>
      </c>
      <c r="C20" s="251" t="s">
        <v>670</v>
      </c>
      <c r="D20" s="252" t="s">
        <v>664</v>
      </c>
      <c r="E20" s="432" t="s">
        <v>822</v>
      </c>
      <c r="F20" s="419"/>
      <c r="G20" s="291"/>
      <c r="H20" s="254" t="str">
        <f>IF($D20&gt;0,VLOOKUP($D20,Flight!$A$1:$E$91,3,FALSE),"")</f>
        <v>BKK</v>
      </c>
      <c r="I20" s="254"/>
      <c r="J20" s="306"/>
      <c r="K20" s="431" t="s">
        <v>933</v>
      </c>
      <c r="L20" s="402"/>
      <c r="M20" s="403"/>
      <c r="O20" s="114"/>
    </row>
    <row r="21" spans="1:15">
      <c r="A21" s="9">
        <f>IF($F21="Wavied","-",IF($D21=0,"",ROW($A21)-ROW($A$8)+1-COUNTIF($A$8:$A20,"@")-COUNTIF($A$8:$A20,"-")))</f>
        <v>11</v>
      </c>
      <c r="B21" s="9" t="s">
        <v>930</v>
      </c>
      <c r="C21" s="9" t="s">
        <v>464</v>
      </c>
      <c r="D21" s="10" t="s">
        <v>376</v>
      </c>
      <c r="E21" s="172" t="str">
        <f>IF($D21&gt;0,VLOOKUP($D21,Flight!$A$1:$E$91,2,FALSE),"")</f>
        <v>1305</v>
      </c>
      <c r="F21" s="45"/>
      <c r="G21" s="43" t="str">
        <f t="shared" si="1"/>
        <v/>
      </c>
      <c r="H21" s="44" t="str">
        <f>IF($D21&gt;0,VLOOKUP($D21,Flight!$A$1:$E$91,3,FALSE),"")</f>
        <v>DMK</v>
      </c>
      <c r="I21" s="44" t="str">
        <f>IF($D21&gt;0,IF(VLOOKUP($D21,Flight!$A$1:$E$91,4,FALSE)&gt;1,VLOOKUP($D21,Flight!$A$1:$E103,4,FALSE),""),"")</f>
        <v/>
      </c>
      <c r="J21" s="44" t="str">
        <f>IF($D21&gt;0,IF(VLOOKUP($D21,Flight!$A$1:$E$91,5,FALSE)&gt;1,VLOOKUP($D21,Flight!$A$1:$E$91,5,FALSE),""),"")</f>
        <v/>
      </c>
      <c r="K21" s="166" t="str">
        <f>IF($D21=0,"",IF(OR(ISNUMBER(SEARCH("S",$B21)),_xlfn.IFNA(MATCH($D21,$D$104:$D$114,0)&lt;20,"")=TRUE),"&lt;   Hall Operation   &gt;",""))</f>
        <v>&lt;   Hall Operation   &gt;</v>
      </c>
      <c r="L21" s="166"/>
      <c r="M21" s="166"/>
      <c r="O21" s="114"/>
    </row>
    <row r="22" spans="1:15" ht="15.75" customHeight="1">
      <c r="A22" s="251" t="s">
        <v>31</v>
      </c>
      <c r="B22" s="251" t="s">
        <v>932</v>
      </c>
      <c r="C22" s="251" t="s">
        <v>931</v>
      </c>
      <c r="D22" s="251" t="s">
        <v>377</v>
      </c>
      <c r="E22" s="432" t="s">
        <v>822</v>
      </c>
      <c r="F22" s="419"/>
      <c r="G22" s="291" t="str">
        <f t="shared" si="1"/>
        <v/>
      </c>
      <c r="H22" s="254" t="str">
        <f>IF($D22&gt;0,VLOOKUP($D22,Flight!$A$1:$E$91,3,FALSE),"")</f>
        <v>DEL</v>
      </c>
      <c r="I22" s="254" t="str">
        <f>IF($D22&gt;0,IF(VLOOKUP($D22,Flight!$A$1:$E$91,4,FALSE)&gt;1,VLOOKUP($D22,Flight!$A$1:$E104,4,FALSE),""),"")</f>
        <v/>
      </c>
      <c r="J22" s="279"/>
      <c r="K22" s="402" t="s">
        <v>928</v>
      </c>
      <c r="L22" s="402"/>
      <c r="M22" s="403"/>
      <c r="O22" s="114"/>
    </row>
    <row r="23" spans="1:15">
      <c r="A23" s="9">
        <f>IF($F23="Wavied","-",IF($D23=0,"",ROW($A23)-ROW($A$8)+1-COUNTIF($A$8:$A22,"@")-COUNTIF($A$8:$A22,"-")))</f>
        <v>12</v>
      </c>
      <c r="B23" s="9" t="s">
        <v>162</v>
      </c>
      <c r="C23" s="9" t="s">
        <v>926</v>
      </c>
      <c r="D23" s="9" t="s">
        <v>378</v>
      </c>
      <c r="E23" s="172" t="str">
        <f>IF($D23&gt;0,VLOOKUP($D23,Flight!$A$1:$E$91,2,FALSE),"")</f>
        <v>1415</v>
      </c>
      <c r="F23" s="44"/>
      <c r="G23" s="43" t="str">
        <f t="shared" si="1"/>
        <v/>
      </c>
      <c r="H23" s="44" t="str">
        <f>IF($D23&gt;0,VLOOKUP($D23,Flight!$A$1:$E$91,3,FALSE),"")</f>
        <v>KUL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 t="str">
        <f>IF($D23=0,"",IF(OR(ISNUMBER(SEARCH("S",$B23)),_xlfn.IFNA(MATCH($D23,$D$104:$D$114,0)&lt;20,"")=TRUE),"&lt;   Hall Operation   &gt;",""))</f>
        <v>&lt;   Hall Operation   &gt;</v>
      </c>
      <c r="L23" s="166"/>
      <c r="M23" s="166"/>
      <c r="O23" s="114"/>
    </row>
    <row r="24" spans="1:15">
      <c r="A24" s="9">
        <f>IF($F24="Wavied","-",IF($D24=0,"",ROW($A24)-ROW($A$8)+1-COUNTIF($A$8:$A23,"@")-COUNTIF($A$8:$A23,"-")))</f>
        <v>13</v>
      </c>
      <c r="B24" s="9" t="s">
        <v>162</v>
      </c>
      <c r="C24" s="9" t="s">
        <v>464</v>
      </c>
      <c r="D24" s="9" t="s">
        <v>379</v>
      </c>
      <c r="E24" s="172" t="str">
        <f>IF($D24&gt;0,VLOOKUP($D24,Flight!$A$1:$E$91,2,FALSE),"")</f>
        <v>1420</v>
      </c>
      <c r="F24" s="44"/>
      <c r="G24" s="43" t="str">
        <f t="shared" si="1"/>
        <v/>
      </c>
      <c r="H24" s="44" t="str">
        <f>IF($D24&gt;0,VLOOKUP($D24,Flight!$A$1:$E$91,3,FALSE),"")</f>
        <v>BKK</v>
      </c>
      <c r="I24" s="44" t="str">
        <f>IF($D24&gt;0,IF(VLOOKUP($D24,Flight!$A$1:$E$91,4,FALSE)&gt;1,VLOOKUP($D24,Flight!$A$1:$E106,4,FALSE),""),"")</f>
        <v/>
      </c>
      <c r="J24" s="44" t="str">
        <f>IF($D24&gt;0,IF(VLOOKUP($D24,Flight!$A$1:$E$91,5,FALSE)&gt;1,VLOOKUP($D24,Flight!$A$1:$E$91,5,FALSE),""),"")</f>
        <v/>
      </c>
      <c r="K24" s="166" t="str">
        <f>IF($D24=0,"",IF(OR(ISNUMBER(SEARCH("S",$B24)),_xlfn.IFNA(MATCH($D24,$D$104:$D$114,0)&lt;20,"")=TRUE),"&lt;   Hall Operation   &gt;",""))</f>
        <v>&lt;   Hall Operation   &gt;</v>
      </c>
      <c r="L24" s="166"/>
      <c r="M24" s="166"/>
      <c r="O24" s="114"/>
    </row>
    <row r="25" spans="1:15" s="262" customFormat="1">
      <c r="A25" s="251" t="s">
        <v>31</v>
      </c>
      <c r="B25" s="251" t="s">
        <v>31</v>
      </c>
      <c r="C25" s="251" t="s">
        <v>756</v>
      </c>
      <c r="D25" s="251" t="s">
        <v>665</v>
      </c>
      <c r="E25" s="432" t="s">
        <v>822</v>
      </c>
      <c r="F25" s="419"/>
      <c r="G25" s="291"/>
      <c r="H25" s="254" t="str">
        <f>IF($D25&gt;0,VLOOKUP($D25,Flight!$A$1:$E$91,3,FALSE),"")</f>
        <v>BKK</v>
      </c>
      <c r="I25" s="254"/>
      <c r="J25" s="279"/>
      <c r="K25" s="402" t="s">
        <v>822</v>
      </c>
      <c r="L25" s="402"/>
      <c r="M25" s="449"/>
      <c r="O25" s="114"/>
    </row>
    <row r="26" spans="1:15">
      <c r="A26" s="251"/>
      <c r="B26" s="251"/>
      <c r="C26" s="251" t="s">
        <v>754</v>
      </c>
      <c r="D26" s="252" t="s">
        <v>380</v>
      </c>
      <c r="E26" s="432" t="s">
        <v>822</v>
      </c>
      <c r="F26" s="419"/>
      <c r="G26" s="291" t="str">
        <f t="shared" si="1"/>
        <v/>
      </c>
      <c r="H26" s="254" t="str">
        <f>IF($D26&gt;0,VLOOKUP($D26,Flight!$A$1:$E$91,3,FALSE),"")</f>
        <v>ADD</v>
      </c>
      <c r="I26" s="254" t="str">
        <f>IF($D26&gt;0,IF(VLOOKUP($D26,Flight!$A$1:$E$91,4,FALSE)&gt;1,VLOOKUP($D26,Flight!$A$1:$E107,4,FALSE),""),"")</f>
        <v/>
      </c>
      <c r="J26" s="254" t="str">
        <f>IF($D26&gt;0,IF(VLOOKUP($D26,Flight!$A$1:$E$91,5,FALSE)&gt;1,VLOOKUP($D26,Flight!$A$1:$E$91,5,FALSE),""),"")</f>
        <v/>
      </c>
      <c r="K26" s="402" t="s">
        <v>934</v>
      </c>
      <c r="L26" s="402"/>
      <c r="M26" s="449"/>
      <c r="O26" s="114"/>
    </row>
    <row r="27" spans="1:15">
      <c r="A27" s="9">
        <v>14</v>
      </c>
      <c r="B27" s="9" t="s">
        <v>940</v>
      </c>
      <c r="C27" s="9" t="s">
        <v>464</v>
      </c>
      <c r="D27" s="27" t="s">
        <v>381</v>
      </c>
      <c r="E27" s="172" t="str">
        <f>IF($D27&gt;0,VLOOKUP($D27,Flight!$A$1:$E$91,2,FALSE),"")</f>
        <v>1510</v>
      </c>
      <c r="F27" s="45"/>
      <c r="G27" s="43" t="str">
        <f t="shared" si="1"/>
        <v/>
      </c>
      <c r="H27" s="44" t="str">
        <f>IF($D27&gt;0,VLOOKUP($D27,Flight!$A$1:$E$91,3,FALSE),"")</f>
        <v>DOH</v>
      </c>
      <c r="I27" s="44" t="str">
        <f>IF($D27&gt;0,IF(VLOOKUP($D27,Flight!$A$1:$E$91,4,FALSE)&gt;1,VLOOKUP($D27,Flight!$A$1:$E108,4,FALSE),""),"")</f>
        <v/>
      </c>
      <c r="J27" s="44" t="str">
        <f>IF($D27&gt;0,IF(VLOOKUP($D27,Flight!$A$1:$E$91,5,FALSE)&gt;1,VLOOKUP($D27,Flight!$A$1:$E$91,5,FALSE),""),"")</f>
        <v/>
      </c>
      <c r="K27" s="166" t="str">
        <f>IF($D27=0,"",IF(OR(ISNUMBER(SEARCH("S",$B27)),_xlfn.IFNA(MATCH($D27,$D$104:$D$114,0)&lt;20,"")=TRUE),"&lt;   Hall Operation   &gt;",""))</f>
        <v>&lt;   Hall Operation   &gt;</v>
      </c>
      <c r="L27" s="166"/>
      <c r="M27" s="166"/>
      <c r="O27" s="114"/>
    </row>
    <row r="28" spans="1:15">
      <c r="A28" s="9">
        <v>15</v>
      </c>
      <c r="B28" s="9" t="str">
        <f>IF($E28&lt;&gt;"",IF($E28-715&lt;0,VLOOKUP($B$3,$E$60:$J$71,6,FALSE),IF(AND($E28-2130&gt;0,_xlfn.IFNA(MATCH($D28,$D$104:$D$114,0)&lt;20,"")=TRUE),VLOOKUP($L$3,$E$60:$J$71,6,FALSE),"-")),"")</f>
        <v>-</v>
      </c>
      <c r="C28" s="9" t="s">
        <v>757</v>
      </c>
      <c r="D28" s="27" t="s">
        <v>382</v>
      </c>
      <c r="E28" s="172" t="str">
        <f>IF($D28&gt;0,VLOOKUP($D28,Flight!$A$1:$E$91,2,FALSE),"")</f>
        <v>1715</v>
      </c>
      <c r="F28" s="44">
        <v>1647</v>
      </c>
      <c r="G28" s="43" t="s">
        <v>943</v>
      </c>
      <c r="H28" s="44" t="str">
        <f>IF($D28&gt;0,VLOOKUP($D28,Flight!$A$1:$E$91,3,FALSE),"")</f>
        <v>IST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>
        <v>1</v>
      </c>
      <c r="L28" s="166">
        <v>1</v>
      </c>
      <c r="M28" s="166">
        <v>5</v>
      </c>
      <c r="O28" s="114"/>
    </row>
    <row r="29" spans="1:15" s="262" customFormat="1">
      <c r="A29" s="9">
        <v>16</v>
      </c>
      <c r="B29" s="9" t="s">
        <v>929</v>
      </c>
      <c r="C29" s="9" t="s">
        <v>464</v>
      </c>
      <c r="D29" s="27" t="s">
        <v>666</v>
      </c>
      <c r="E29" s="172" t="str">
        <f>IF($D29&gt;0,VLOOKUP($D29,Flight!$A$1:$E$91,2,FALSE),"")</f>
        <v>1720</v>
      </c>
      <c r="F29" s="44"/>
      <c r="G29" s="43"/>
      <c r="H29" s="44" t="str">
        <f>IF($D29&gt;0,VLOOKUP($D29,Flight!$A$1:$E$91,3,FALSE),"")</f>
        <v>MNL</v>
      </c>
      <c r="I29" s="44"/>
      <c r="J29" s="44"/>
      <c r="K29" s="166" t="str">
        <f>IF($D29=0,"",IF(OR(ISNUMBER(SEARCH("S",$B29)),_xlfn.IFNA(MATCH($D29,$D$104:$D$114,0)&lt;20,"")=TRUE),"&lt;   Hall Operation   &gt;",""))</f>
        <v>&lt;   Hall Operation   &gt;</v>
      </c>
      <c r="L29" s="166"/>
      <c r="M29" s="166"/>
      <c r="O29" s="114"/>
    </row>
    <row r="30" spans="1:15">
      <c r="A30" s="9">
        <v>17</v>
      </c>
      <c r="B30" s="9" t="s">
        <v>944</v>
      </c>
      <c r="C30" s="9" t="str">
        <f t="shared" ref="B30:C40" si="3">IF($E30&lt;&gt;"",IF($E30-715&lt;0,VLOOKUP($B$3,$E$60:$J$71,6,FALSE),IF(AND($E30-2130&gt;0,_xlfn.IFNA(MATCH($D30,$D$104:$D$114,0)&lt;20,"")=TRUE),VLOOKUP($L$3,$E$60:$J$71,6,FALSE),"-")),"")</f>
        <v>-</v>
      </c>
      <c r="D30" s="27" t="s">
        <v>383</v>
      </c>
      <c r="E30" s="172" t="str">
        <f>IF($D30&gt;0,VLOOKUP($D30,Flight!$A$1:$E$91,2,FALSE),"")</f>
        <v>1755</v>
      </c>
      <c r="F30" s="45"/>
      <c r="G30" s="43" t="str">
        <f t="shared" si="1"/>
        <v/>
      </c>
      <c r="H30" s="44" t="str">
        <f>IF($D30&gt;0,VLOOKUP($D30,Flight!$A$1:$E$91,3,FALSE),"")</f>
        <v>KUL</v>
      </c>
      <c r="I30" s="44" t="str">
        <f>IF($D30&gt;0,IF(VLOOKUP($D30,Flight!$A$1:$E$91,4,FALSE)&gt;1,VLOOKUP($D30,Flight!$A$1:$E110,4,FALSE),""),"")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ref="K30:K40" si="4">IF($D30=0,"",IF(OR(ISNUMBER(SEARCH("S",$B30)),_xlfn.IFNA(MATCH($D30,$D$104:$D$114,0)&lt;20,"")=TRUE),"&lt;   Hall Operation   &gt;",""))</f>
        <v>&lt;   Hall Operation   &gt;</v>
      </c>
      <c r="L30" s="166"/>
      <c r="M30" s="166"/>
      <c r="O30" s="114"/>
    </row>
    <row r="31" spans="1:15">
      <c r="A31" s="9">
        <v>18</v>
      </c>
      <c r="B31" s="9" t="str">
        <f t="shared" si="3"/>
        <v>-</v>
      </c>
      <c r="C31" s="9" t="s">
        <v>755</v>
      </c>
      <c r="D31" s="27" t="s">
        <v>384</v>
      </c>
      <c r="E31" s="172" t="str">
        <f>IF($D31&gt;0,VLOOKUP($D31,Flight!$A$1:$E$91,2,FALSE),"")</f>
        <v>1805</v>
      </c>
      <c r="F31" s="45">
        <v>1733</v>
      </c>
      <c r="G31" s="43" t="s">
        <v>945</v>
      </c>
      <c r="H31" s="44" t="str">
        <f>IF($D31&gt;0,VLOOKUP($D31,Flight!$A$1:$E$91,3,FALSE),"")</f>
        <v>DXB</v>
      </c>
      <c r="I31" s="44" t="str">
        <f>IF($D31&gt;0,IF(VLOOKUP($D31,Flight!$A$1:$E$91,4,FALSE)&gt;1,VLOOKUP($D31,Flight!$A$1:$E111,4,FALSE),""),"")</f>
        <v>BKK</v>
      </c>
      <c r="J31" s="44" t="str">
        <f>IF($D31&gt;0,IF(VLOOKUP($D31,Flight!$A$1:$E$91,5,FALSE)&gt;1,VLOOKUP($D31,Flight!$A$1:$E$91,5,FALSE),""),"")</f>
        <v/>
      </c>
      <c r="K31" s="166">
        <v>1</v>
      </c>
      <c r="L31" s="166">
        <v>1</v>
      </c>
      <c r="M31" s="166">
        <v>4</v>
      </c>
    </row>
    <row r="32" spans="1:15">
      <c r="A32" s="9">
        <v>19</v>
      </c>
      <c r="B32" s="9" t="str">
        <f t="shared" si="3"/>
        <v>-</v>
      </c>
      <c r="C32" s="9" t="s">
        <v>757</v>
      </c>
      <c r="D32" s="27" t="s">
        <v>385</v>
      </c>
      <c r="E32" s="172" t="str">
        <f>IF($D32&gt;0,VLOOKUP($D32,Flight!$A$1:$E$91,2,FALSE),"")</f>
        <v>1810</v>
      </c>
      <c r="F32" s="49">
        <v>1756</v>
      </c>
      <c r="G32" s="43" t="s">
        <v>946</v>
      </c>
      <c r="H32" s="44" t="str">
        <f>IF($D32&gt;0,VLOOKUP($D32,Flight!$A$1:$E$91,3,FALSE),"")</f>
        <v>MNL</v>
      </c>
      <c r="I32" s="44" t="str">
        <f>IF($D32&gt;0,IF(VLOOKUP($D32,Flight!$A$1:$E$91,4,FALSE)&gt;1,VLOOKUP($D32,Flight!$A$1:$E112,4,FALSE),""),"")</f>
        <v/>
      </c>
      <c r="J32" s="44" t="str">
        <f>IF($D32&gt;0,IF(VLOOKUP($D32,Flight!$A$1:$E$91,5,FALSE)&gt;1,VLOOKUP($D32,Flight!$A$1:$E$91,5,FALSE),""),"")</f>
        <v/>
      </c>
      <c r="K32" s="340">
        <v>0</v>
      </c>
      <c r="L32" s="341">
        <v>1</v>
      </c>
      <c r="M32" s="342">
        <v>4</v>
      </c>
    </row>
    <row r="33" spans="1:18">
      <c r="A33" s="9">
        <v>20</v>
      </c>
      <c r="B33" s="9" t="s">
        <v>944</v>
      </c>
      <c r="C33" s="9" t="str">
        <f t="shared" si="3"/>
        <v>-</v>
      </c>
      <c r="D33" s="27" t="s">
        <v>667</v>
      </c>
      <c r="E33" s="172" t="str">
        <f>IF($D33&gt;0,VLOOKUP($D33,Flight!$A$1:$E$91,2,FALSE),"")</f>
        <v>1820</v>
      </c>
      <c r="F33" s="45"/>
      <c r="G33" s="43" t="str">
        <f t="shared" si="1"/>
        <v/>
      </c>
      <c r="H33" s="44" t="str">
        <f>IF($D33&gt;0,VLOOKUP($D33,Flight!$A$1:$E$91,3,FALSE),"")</f>
        <v>SIN</v>
      </c>
      <c r="I33" s="44" t="str">
        <f>IF($D33&gt;0,IF(VLOOKUP($D33,Flight!$A$1:$E$91,4,FALSE)&gt;1,VLOOKUP($D33,Flight!$A$1:$E113,4,FALSE),""),"")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4"/>
        <v>&lt;   Hall Operation   &gt;</v>
      </c>
      <c r="L33" s="166"/>
      <c r="M33" s="166"/>
    </row>
    <row r="34" spans="1:18">
      <c r="A34" s="9">
        <v>21</v>
      </c>
      <c r="B34" s="9" t="s">
        <v>947</v>
      </c>
      <c r="C34" s="9" t="s">
        <v>464</v>
      </c>
      <c r="D34" s="27" t="s">
        <v>387</v>
      </c>
      <c r="E34" s="172" t="str">
        <f>IF($D34&gt;0,VLOOKUP($D34,Flight!$A$1:$E$91,2,FALSE),"")</f>
        <v>1920</v>
      </c>
      <c r="F34" s="45"/>
      <c r="G34" s="43" t="str">
        <f t="shared" si="1"/>
        <v/>
      </c>
      <c r="H34" s="44" t="str">
        <f>IF($D34&gt;0,VLOOKUP($D34,Flight!$A$1:$E$91,3,FALSE),"")</f>
        <v>DMK</v>
      </c>
      <c r="I34" s="44" t="str">
        <f>IF($D34&gt;0,IF(VLOOKUP($D34,Flight!$A$1:$E$91,4,FALSE)&gt;1,VLOOKUP($D34,Flight!$A$1:$E114,4,FALSE),""),"")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4"/>
        <v>&lt;   Hall Operation   &gt;</v>
      </c>
      <c r="L34" s="166"/>
      <c r="M34" s="166"/>
    </row>
    <row r="35" spans="1:18">
      <c r="A35" s="9">
        <v>22</v>
      </c>
      <c r="B35" s="9" t="s">
        <v>87</v>
      </c>
      <c r="C35" s="9" t="s">
        <v>948</v>
      </c>
      <c r="D35" s="27" t="s">
        <v>388</v>
      </c>
      <c r="E35" s="172" t="str">
        <f>IF($D35&gt;0,VLOOKUP($D35,Flight!$A$1:$E$91,2,FALSE),"")</f>
        <v>1950</v>
      </c>
      <c r="F35" s="46"/>
      <c r="G35" s="43" t="str">
        <f t="shared" si="1"/>
        <v/>
      </c>
      <c r="H35" s="44" t="str">
        <f>IF($D35&gt;0,VLOOKUP($D35,Flight!$A$1:$E$91,3,FALSE),"")</f>
        <v>BKK</v>
      </c>
      <c r="I35" s="44" t="str">
        <f>IF($D35&gt;0,IF(VLOOKUP($D35,Flight!$A$1:$E$91,4,FALSE)&gt;1,VLOOKUP($D35,Flight!$A$1:$E115,4,FALSE),""),"")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4"/>
        <v>&lt;   Hall Operation   &gt;</v>
      </c>
      <c r="L35" s="166"/>
      <c r="M35" s="166"/>
    </row>
    <row r="36" spans="1:18">
      <c r="A36" s="9">
        <v>23</v>
      </c>
      <c r="B36" s="9" t="s">
        <v>947</v>
      </c>
      <c r="C36" s="9" t="s">
        <v>464</v>
      </c>
      <c r="D36" s="27" t="s">
        <v>669</v>
      </c>
      <c r="E36" s="172" t="str">
        <f>IF($D36&gt;0,VLOOKUP($D36,Flight!$A$1:$E$91,2,FALSE),"")</f>
        <v>2030</v>
      </c>
      <c r="F36" s="45"/>
      <c r="G36" s="43" t="str">
        <f t="shared" si="1"/>
        <v/>
      </c>
      <c r="H36" s="44" t="str">
        <f>IF($D36&gt;0,VLOOKUP($D36,Flight!$A$1:$E$91,3,FALSE),"")</f>
        <v>CGK</v>
      </c>
      <c r="I36" s="44" t="str">
        <f>IF($D36&gt;0,IF(VLOOKUP($D36,Flight!$A$1:$E$91,4,FALSE)&gt;1,VLOOKUP($D36,Flight!$A$1:$E116,4,FALSE),""),"")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4"/>
        <v>&lt;   Hall Operation   &gt;</v>
      </c>
      <c r="L36" s="166"/>
      <c r="M36" s="166"/>
    </row>
    <row r="37" spans="1:18" s="307" customFormat="1">
      <c r="A37" s="251" t="s">
        <v>31</v>
      </c>
      <c r="B37" s="251" t="s">
        <v>31</v>
      </c>
      <c r="C37" s="251" t="s">
        <v>464</v>
      </c>
      <c r="D37" s="252" t="s">
        <v>668</v>
      </c>
      <c r="E37" s="432" t="s">
        <v>822</v>
      </c>
      <c r="F37" s="419"/>
      <c r="G37" s="291" t="str">
        <f t="shared" si="1"/>
        <v/>
      </c>
      <c r="H37" s="254" t="str">
        <f>IF($D37&gt;0,VLOOKUP($D37,Flight!$A$1:$E$91,3,FALSE),"")</f>
        <v>DEL</v>
      </c>
      <c r="I37" s="254" t="str">
        <f>IF($D37&gt;0,IF(VLOOKUP($D37,Flight!$A$1:$E$91,4,FALSE)&gt;1,VLOOKUP($D37,Flight!$A$1:$E117,4,FALSE),""),"")</f>
        <v/>
      </c>
      <c r="J37" s="254" t="str">
        <f>IF($D37&gt;0,IF(VLOOKUP($D37,Flight!$A$1:$E$91,5,FALSE)&gt;1,VLOOKUP($D37,Flight!$A$1:$E$91,5,FALSE),""),"")</f>
        <v/>
      </c>
      <c r="K37" s="402" t="s">
        <v>523</v>
      </c>
      <c r="L37" s="402"/>
      <c r="M37" s="403"/>
      <c r="O37" s="308"/>
      <c r="P37" s="343"/>
    </row>
    <row r="38" spans="1:18">
      <c r="A38" s="9">
        <v>24</v>
      </c>
      <c r="B38" s="9"/>
      <c r="C38" s="9" t="s">
        <v>949</v>
      </c>
      <c r="D38" s="27" t="s">
        <v>390</v>
      </c>
      <c r="E38" s="172" t="str">
        <f>IF($D38&gt;0,VLOOKUP($D38,Flight!$A$1:$E$91,2,FALSE),"")</f>
        <v>2155</v>
      </c>
      <c r="F38" s="45">
        <v>2059</v>
      </c>
      <c r="G38" s="43" t="s">
        <v>950</v>
      </c>
      <c r="H38" s="44" t="str">
        <f>IF($D38&gt;0,VLOOKUP($D38,Flight!$A$1:$E$91,3,FALSE),"")</f>
        <v>DOH</v>
      </c>
      <c r="I38" s="44" t="str">
        <f>IF($D38&gt;0,IF(VLOOKUP($D38,Flight!$A$1:$E$91,4,FALSE)&gt;1,VLOOKUP($D38,Flight!$A$1:$E118,4,FALSE),""),"")</f>
        <v/>
      </c>
      <c r="J38" s="44" t="str">
        <f>IF($D38&gt;0,IF(VLOOKUP($D38,Flight!$A$1:$E$91,5,FALSE)&gt;1,VLOOKUP($D38,Flight!$A$1:$E$91,5,FALSE),""),"")</f>
        <v/>
      </c>
      <c r="K38" s="166">
        <v>1</v>
      </c>
      <c r="L38" s="166">
        <v>1</v>
      </c>
      <c r="M38" s="167">
        <v>5</v>
      </c>
      <c r="O38" s="115"/>
      <c r="P38" s="87"/>
    </row>
    <row r="39" spans="1:18" ht="16.5">
      <c r="A39" s="9">
        <v>25</v>
      </c>
      <c r="B39" s="9" t="s">
        <v>954</v>
      </c>
      <c r="C39" s="9"/>
      <c r="D39" s="27" t="s">
        <v>77</v>
      </c>
      <c r="E39" s="172" t="str">
        <f>IF($D39&gt;0,VLOOKUP($D39,Flight!$A$1:$E$91,2,FALSE),"")</f>
        <v>2320</v>
      </c>
      <c r="F39" s="45"/>
      <c r="G39" s="43" t="str">
        <f t="shared" si="1"/>
        <v/>
      </c>
      <c r="H39" s="44" t="str">
        <f>IF($D39&gt;0,VLOOKUP($D39,Flight!$A$1:$E$91,3,FALSE),"")</f>
        <v>BKK</v>
      </c>
      <c r="I39" s="44" t="str">
        <f>IF($D39&gt;0,IF(VLOOKUP($D39,Flight!$A$1:$E$91,4,FALSE)&gt;1,VLOOKUP($D39,Flight!$A$1:$E119,4,FALSE),""),"")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4"/>
        <v>&lt;   Hall Operation   &gt;</v>
      </c>
      <c r="L39" s="166"/>
      <c r="M39" s="167"/>
      <c r="O39" s="4"/>
      <c r="P39" s="88"/>
      <c r="Q39" s="4"/>
      <c r="R39" s="4"/>
    </row>
    <row r="40" spans="1:18">
      <c r="A40" s="9" t="str">
        <f t="shared" ref="A40" si="5">IF($A38="S/N",1,IF($F40="Wavied","-",IF($D40=0,"",ROW($A40)-ROW($A$7)-COUNTIF($A$7:$A$8,"@")-COUNTIF($A$7:$A$8,"-"))))</f>
        <v/>
      </c>
      <c r="B40" s="9" t="str">
        <f t="shared" si="3"/>
        <v/>
      </c>
      <c r="C40" s="9" t="str">
        <f t="shared" ref="C40" si="6">IF($E40&lt;&gt;"",IF(ISNUMBER(SEARCH("Hall Operation",$K40)),"-",IF($E40-715&lt;0,VLOOKUP($B$3,$E$60:$J$71,6,FALSE),IF($E40-2129&gt;0,VLOOKUP($L$3,$E$60:$J$71,6,FALSE),""))),"")</f>
        <v/>
      </c>
      <c r="D40" s="27"/>
      <c r="E40" s="172" t="str">
        <f>IF($D40&gt;0,VLOOKUP($D40,Flight!$A$1:$E$91,2,FALSE),"")</f>
        <v/>
      </c>
      <c r="F40" s="45"/>
      <c r="G40" s="43" t="str">
        <f t="shared" si="1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IF($D40&gt;0,IF(VLOOKUP($D40,Flight!$A$1:$E$91,4,FALSE)&gt;1,VLOOKUP($D40,Flight!$A$1:$E120,4,FALSE),""),"")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4"/>
        <v/>
      </c>
      <c r="L40" s="166"/>
      <c r="M40" s="167"/>
      <c r="O40" s="4"/>
      <c r="P40" s="4"/>
      <c r="Q40" s="4"/>
      <c r="R40" s="4"/>
    </row>
    <row r="41" spans="1:18">
      <c r="A41" s="376" t="s">
        <v>5</v>
      </c>
      <c r="B41" s="376"/>
      <c r="C41" s="376"/>
      <c r="D41" s="376"/>
      <c r="E41" s="376"/>
      <c r="F41" s="376"/>
      <c r="G41" s="50"/>
      <c r="H41" s="246" t="s">
        <v>40</v>
      </c>
      <c r="I41" s="377"/>
      <c r="J41" s="377"/>
      <c r="K41" s="377"/>
      <c r="L41" s="377"/>
      <c r="M41" s="377"/>
      <c r="N41" s="5"/>
    </row>
    <row r="42" spans="1:18">
      <c r="A42" s="379" t="s">
        <v>35</v>
      </c>
      <c r="B42" s="379"/>
      <c r="C42" s="379" t="s">
        <v>31</v>
      </c>
      <c r="D42" s="379"/>
      <c r="E42" s="379"/>
      <c r="F42" s="379"/>
      <c r="G42" s="379"/>
      <c r="H42" s="379"/>
      <c r="I42" s="378"/>
      <c r="J42" s="378"/>
      <c r="K42" s="378"/>
      <c r="L42" s="378"/>
      <c r="M42" s="378"/>
    </row>
    <row r="43" spans="1:18">
      <c r="A43" s="379"/>
      <c r="B43" s="379"/>
      <c r="C43" s="379"/>
      <c r="D43" s="379"/>
      <c r="E43" s="379"/>
      <c r="F43" s="379"/>
      <c r="G43" s="379"/>
      <c r="H43" s="379"/>
      <c r="I43" s="51"/>
      <c r="J43" s="51"/>
      <c r="K43" s="6"/>
      <c r="L43" s="6"/>
      <c r="M43" s="6"/>
    </row>
    <row r="44" spans="1:18">
      <c r="A44" s="389" t="s">
        <v>216</v>
      </c>
      <c r="B44" s="389"/>
      <c r="C44" s="243" t="str">
        <f>VLOOKUP($D$44,Staff!$B$2:$D$41,2,FALSE)</f>
        <v>CIA</v>
      </c>
      <c r="D44" s="375" t="str">
        <f>VLOOKUP(VLOOKUP($E$56,$E$60:$J$71,6,FALSE),Staff!$A$2:$D$13,2,FALSE)</f>
        <v>WL TSE</v>
      </c>
      <c r="E44" s="375"/>
      <c r="F44" s="240" t="s">
        <v>215</v>
      </c>
      <c r="G44" s="390" t="str">
        <f>VLOOKUP($D$44,Staff!$B$2:$D$39,3,FALSE)</f>
        <v>9669 1314</v>
      </c>
      <c r="H44" s="390"/>
      <c r="I44" s="391" t="s">
        <v>223</v>
      </c>
      <c r="J44" s="391"/>
      <c r="K44" s="375" t="str">
        <f>IF(COUNTIF($E$60:$E$63,$E$56)&gt;0,Staff!$G$2,"")&amp;IF(COUNTIF($E$64:$E$67,$E$56)&gt;0,Staff!$G$3,"")&amp;IF(COUNTIF($E$68:$E$71,$E$56)&gt;0,Staff!$G$4,"")</f>
        <v>HO, KING KAI</v>
      </c>
      <c r="L44" s="375"/>
      <c r="M44" s="375"/>
    </row>
    <row r="45" spans="1:18">
      <c r="A45" s="389" t="s">
        <v>217</v>
      </c>
      <c r="B45" s="389"/>
      <c r="C45" s="243" t="str">
        <f>VLOOKUP($D$45,Staff!$B$2:$D$41,2,FALSE)</f>
        <v>CIA</v>
      </c>
      <c r="D45" s="375" t="s">
        <v>858</v>
      </c>
      <c r="E45" s="375"/>
      <c r="F45" s="240" t="s">
        <v>215</v>
      </c>
      <c r="G45" s="390" t="str">
        <f>VLOOKUP($D$45,Staff!$B$2:$D$39,3,FALSE)</f>
        <v>9425 1098</v>
      </c>
      <c r="H45" s="390"/>
      <c r="I45" s="391" t="s">
        <v>224</v>
      </c>
      <c r="J45" s="391"/>
      <c r="K45" s="375" t="s">
        <v>425</v>
      </c>
      <c r="L45" s="375"/>
      <c r="M45" s="375"/>
    </row>
    <row r="46" spans="1:18">
      <c r="A46" s="245"/>
      <c r="B46" s="245"/>
      <c r="C46" s="241"/>
      <c r="D46" s="395"/>
      <c r="E46" s="395"/>
      <c r="F46" s="239"/>
      <c r="G46" s="396"/>
      <c r="H46" s="396"/>
      <c r="I46" s="390"/>
      <c r="J46" s="390"/>
      <c r="K46" s="143"/>
      <c r="L46" s="143"/>
      <c r="M46" s="143"/>
    </row>
    <row r="47" spans="1:18" s="112" customFormat="1">
      <c r="A47" s="397" t="s">
        <v>4</v>
      </c>
      <c r="B47" s="397"/>
      <c r="C47" s="396" t="s">
        <v>218</v>
      </c>
      <c r="D47" s="396"/>
      <c r="E47" s="396"/>
      <c r="F47" s="154" t="s">
        <v>213</v>
      </c>
      <c r="G47" s="398" t="str">
        <f>IF(COUNTIF($E$60:$E$63,$E$56)&gt;0,Staff!$G$14,"")&amp;IF(COUNTIF($E$64:$E$67,$E$56)&gt;0,Staff!$G$13,"")&amp;IF(COUNTIF($E$68:$E$71,$E$56)&gt;0,Staff!$G$12,"")</f>
        <v>CHIU, OI YU (F)</v>
      </c>
      <c r="H47" s="398"/>
      <c r="I47" s="398"/>
      <c r="J47" s="238" t="s">
        <v>209</v>
      </c>
      <c r="K47" s="390" t="str">
        <f>VLOOKUP(VLOOKUP($B$3,$E$60:$J$71,6,FALSE),Staff!$F$22:$G$47,2,FALSE)</f>
        <v>AU, ANTHONY WEN YANG</v>
      </c>
      <c r="L47" s="390"/>
      <c r="M47" s="390"/>
      <c r="N47" s="12"/>
      <c r="P47" s="234"/>
      <c r="Q47" s="234"/>
      <c r="R47" s="234"/>
    </row>
    <row r="48" spans="1:18" s="112" customFormat="1">
      <c r="A48" s="155"/>
      <c r="B48" s="155"/>
      <c r="C48" s="396" t="s">
        <v>219</v>
      </c>
      <c r="D48" s="396"/>
      <c r="E48" s="396"/>
      <c r="F48" s="154" t="s">
        <v>214</v>
      </c>
      <c r="G48" s="375" t="s">
        <v>433</v>
      </c>
      <c r="H48" s="375"/>
      <c r="I48" s="375"/>
      <c r="J48" s="238" t="s">
        <v>208</v>
      </c>
      <c r="K48" s="390" t="s">
        <v>674</v>
      </c>
      <c r="L48" s="390"/>
      <c r="M48" s="390"/>
      <c r="N48" s="234"/>
      <c r="P48" s="234"/>
      <c r="Q48" s="234"/>
      <c r="R48" s="234"/>
    </row>
    <row r="49" spans="1:18" s="112" customFormat="1">
      <c r="A49" s="244"/>
      <c r="B49" s="244"/>
      <c r="C49" s="241"/>
      <c r="D49" s="401"/>
      <c r="E49" s="401"/>
      <c r="F49" s="401"/>
      <c r="G49" s="401"/>
      <c r="H49" s="401"/>
      <c r="I49" s="401"/>
      <c r="J49" s="238" t="s">
        <v>210</v>
      </c>
      <c r="K49" s="390" t="s">
        <v>675</v>
      </c>
      <c r="L49" s="390"/>
      <c r="M49" s="390"/>
      <c r="N49" s="234"/>
      <c r="P49" s="234"/>
      <c r="Q49" s="234"/>
      <c r="R49" s="234"/>
    </row>
    <row r="50" spans="1:18" s="112" customFormat="1">
      <c r="A50" s="392" t="s">
        <v>3</v>
      </c>
      <c r="B50" s="393"/>
      <c r="C50" s="394" t="s">
        <v>220</v>
      </c>
      <c r="D50" s="394"/>
      <c r="E50" s="394"/>
      <c r="F50" s="397" t="s">
        <v>408</v>
      </c>
      <c r="G50" s="397"/>
      <c r="H50" s="397"/>
      <c r="I50" s="397"/>
      <c r="J50" s="238" t="s">
        <v>211</v>
      </c>
      <c r="K50" s="390" t="s">
        <v>429</v>
      </c>
      <c r="L50" s="390"/>
      <c r="M50" s="390"/>
      <c r="N50" s="234"/>
      <c r="P50" s="234"/>
      <c r="Q50" s="234"/>
      <c r="R50" s="234"/>
    </row>
    <row r="51" spans="1:18" s="112" customFormat="1">
      <c r="A51" s="393" t="s">
        <v>2</v>
      </c>
      <c r="B51" s="393"/>
      <c r="C51" s="411" t="s">
        <v>221</v>
      </c>
      <c r="D51" s="411"/>
      <c r="E51" s="411"/>
      <c r="F51" s="412" t="s">
        <v>1</v>
      </c>
      <c r="G51" s="412"/>
      <c r="H51" s="400" t="s">
        <v>409</v>
      </c>
      <c r="I51" s="400"/>
      <c r="J51" s="238" t="s">
        <v>212</v>
      </c>
      <c r="K51" s="390" t="s">
        <v>677</v>
      </c>
      <c r="L51" s="390"/>
      <c r="M51" s="390"/>
      <c r="N51" s="234"/>
      <c r="P51" s="234"/>
      <c r="Q51" s="234"/>
      <c r="R51" s="234"/>
    </row>
    <row r="52" spans="1:18" s="112" customFormat="1">
      <c r="A52" s="155"/>
      <c r="B52" s="155"/>
      <c r="C52" s="244"/>
      <c r="D52" s="399"/>
      <c r="E52" s="399"/>
      <c r="F52" s="391"/>
      <c r="G52" s="391"/>
      <c r="H52" s="400" t="s">
        <v>410</v>
      </c>
      <c r="I52" s="400"/>
      <c r="J52" s="236"/>
      <c r="K52" s="245"/>
      <c r="L52" s="245"/>
      <c r="M52" s="47"/>
      <c r="N52" s="234"/>
      <c r="P52" s="234"/>
      <c r="Q52" s="234"/>
      <c r="R52" s="234"/>
    </row>
    <row r="53" spans="1:18" s="112" customFormat="1" ht="16.5" customHeight="1">
      <c r="A53" s="392" t="s">
        <v>0</v>
      </c>
      <c r="B53" s="392"/>
      <c r="C53" s="407" t="s">
        <v>222</v>
      </c>
      <c r="D53" s="407"/>
      <c r="E53" s="407"/>
      <c r="F53" s="236"/>
      <c r="G53" s="238"/>
      <c r="H53" s="394" t="s">
        <v>411</v>
      </c>
      <c r="I53" s="394"/>
      <c r="J53" s="237"/>
      <c r="K53" s="245"/>
      <c r="L53" s="245"/>
      <c r="M53" s="47"/>
      <c r="N53" s="234"/>
      <c r="P53" s="234"/>
      <c r="Q53" s="234"/>
      <c r="R53" s="234"/>
    </row>
    <row r="54" spans="1:18" s="112" customFormat="1">
      <c r="A54" s="234"/>
      <c r="B54" s="234"/>
      <c r="C54" s="408"/>
      <c r="D54" s="408"/>
      <c r="E54" s="408"/>
      <c r="F54" s="408"/>
      <c r="G54" s="408"/>
      <c r="H54" s="408"/>
      <c r="I54" s="54"/>
      <c r="J54" s="53"/>
      <c r="M54" s="234"/>
      <c r="N54" s="234"/>
      <c r="P54" s="234"/>
      <c r="Q54" s="234"/>
      <c r="R54" s="234"/>
    </row>
    <row r="55" spans="1:18" s="112" customFormat="1" ht="16.5" thickBot="1">
      <c r="A55" s="3"/>
      <c r="B55" s="3"/>
      <c r="C55" s="3"/>
      <c r="D55" s="2"/>
      <c r="E55" s="39"/>
      <c r="F55" s="235"/>
      <c r="G55" s="235"/>
      <c r="H55" s="235"/>
      <c r="I55" s="409"/>
      <c r="J55" s="409"/>
      <c r="M55" s="234"/>
      <c r="N55" s="234"/>
      <c r="P55" s="234"/>
      <c r="Q55" s="234"/>
      <c r="R55" s="234"/>
    </row>
    <row r="56" spans="1:18" s="112" customFormat="1">
      <c r="A56" s="234"/>
      <c r="B56" s="234"/>
      <c r="C56" s="234"/>
      <c r="D56" s="234"/>
      <c r="E56" s="90" t="s">
        <v>133</v>
      </c>
      <c r="F56" s="91" t="s">
        <v>135</v>
      </c>
      <c r="G56" s="91"/>
      <c r="H56" s="92"/>
      <c r="I56" s="234"/>
      <c r="J56" s="234"/>
      <c r="K56" s="234"/>
      <c r="L56" s="234"/>
      <c r="M56" s="234"/>
      <c r="N56" s="234"/>
      <c r="P56" s="234"/>
      <c r="Q56" s="234"/>
      <c r="R56" s="234"/>
    </row>
    <row r="57" spans="1:18" s="112" customFormat="1" ht="16.5" thickBot="1">
      <c r="A57" s="234"/>
      <c r="B57" s="234"/>
      <c r="C57" s="234"/>
      <c r="D57" s="234"/>
      <c r="E57" s="93" t="s">
        <v>134</v>
      </c>
      <c r="F57" s="94" t="s">
        <v>136</v>
      </c>
      <c r="G57" s="94"/>
      <c r="H57" s="95"/>
      <c r="I57" s="234"/>
      <c r="J57" s="234"/>
      <c r="K57" s="234"/>
      <c r="L57" s="234"/>
      <c r="M57" s="234"/>
      <c r="N57" s="234"/>
      <c r="P57" s="234"/>
      <c r="Q57" s="234"/>
      <c r="R57" s="234"/>
    </row>
    <row r="58" spans="1:18" s="112" customFormat="1">
      <c r="A58" s="234"/>
      <c r="B58" s="234"/>
      <c r="C58" s="234"/>
      <c r="D58" s="234"/>
      <c r="E58" s="234"/>
      <c r="F58" s="234"/>
      <c r="G58" s="234"/>
      <c r="H58" s="234"/>
      <c r="I58" s="234"/>
      <c r="J58" s="234"/>
      <c r="K58" s="234"/>
      <c r="L58" s="234"/>
      <c r="M58" s="234"/>
      <c r="N58" s="234"/>
      <c r="P58" s="234"/>
      <c r="Q58" s="234"/>
      <c r="R58" s="234"/>
    </row>
    <row r="59" spans="1:18" s="112" customFormat="1" ht="16.5" thickBot="1">
      <c r="A59" s="234"/>
      <c r="B59" s="234"/>
      <c r="C59" s="234"/>
      <c r="D59" s="85" t="s">
        <v>132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98</v>
      </c>
      <c r="J59" s="234"/>
      <c r="K59" s="96" t="s">
        <v>302</v>
      </c>
      <c r="L59" s="96" t="s">
        <v>303</v>
      </c>
      <c r="M59" s="96"/>
      <c r="N59" s="234"/>
      <c r="P59" s="234"/>
      <c r="Q59" s="234"/>
      <c r="R59" s="234"/>
    </row>
    <row r="60" spans="1:18" s="112" customFormat="1">
      <c r="A60" s="234"/>
      <c r="B60" s="234"/>
      <c r="C60" s="234"/>
      <c r="D60" s="97" t="s">
        <v>86</v>
      </c>
      <c r="E60" s="98" t="str">
        <f>_xlfn.IFNA(VLOOKUP(MOD((($D$1-WEEKDAY($D$1,2)+1)-45523)/7+21,24),Shift!$A$2:$H$25,WEEKDAY($D$1,2)+1),VLOOKUP(24,Shift!$A$2:$H$25,WEEKDAY($D$1,2)+1))</f>
        <v>P1</v>
      </c>
      <c r="F60" s="98">
        <v>1</v>
      </c>
      <c r="G60" s="98">
        <v>1</v>
      </c>
      <c r="H60" s="98">
        <v>4</v>
      </c>
      <c r="I60" s="99">
        <f t="shared" ref="I60:I71" si="7">IF(OR($E60="L",$E60="L#"),0,SUM($F60:$H60))</f>
        <v>6</v>
      </c>
      <c r="J60" s="136" t="s">
        <v>86</v>
      </c>
      <c r="K60" s="112" t="str">
        <f>IF(AND($F60&gt;1,$F60&lt;&gt;"?"),$F60-1,"")</f>
        <v/>
      </c>
      <c r="L60" s="112" t="str">
        <f>IF(AND($G60&gt;1,$G60&lt;&gt;"?"),$G60-1,"")</f>
        <v/>
      </c>
      <c r="N60" s="234"/>
      <c r="P60" s="234"/>
      <c r="Q60" s="234"/>
      <c r="R60" s="234"/>
    </row>
    <row r="61" spans="1:18" s="112" customFormat="1">
      <c r="A61" s="234"/>
      <c r="B61" s="234"/>
      <c r="C61" s="234"/>
      <c r="D61" s="100" t="s">
        <v>85</v>
      </c>
      <c r="E61" s="101" t="str">
        <f>_xlfn.IFNA(VLOOKUP(MOD((($D$1-WEEKDAY($D$1,2)+1)-45523)/7+3,24),Shift!$A$2:$H$25,WEEKDAY($D$1,2)+1),VLOOKUP(24,Shift!$A$2:$H$25,WEEKDAY($D$1,2)+1))</f>
        <v>P4</v>
      </c>
      <c r="F61" s="101">
        <v>1</v>
      </c>
      <c r="G61" s="101">
        <v>1</v>
      </c>
      <c r="H61" s="101">
        <v>5</v>
      </c>
      <c r="I61" s="102">
        <f t="shared" si="7"/>
        <v>7</v>
      </c>
      <c r="J61" s="137" t="s">
        <v>85</v>
      </c>
      <c r="K61" s="112" t="str">
        <f t="shared" ref="K61:K71" si="8">IF(AND($F61&gt;1,$F61&lt;&gt;"?"),$F61-1,"")</f>
        <v/>
      </c>
      <c r="L61" s="112" t="str">
        <f t="shared" ref="L61:L71" si="9">IF(AND($G61&gt;1,$G61&lt;&gt;"?"),$G61-1,"")</f>
        <v/>
      </c>
      <c r="N61" s="234"/>
      <c r="P61" s="234"/>
      <c r="Q61" s="234"/>
      <c r="R61" s="234"/>
    </row>
    <row r="62" spans="1:18" s="112" customFormat="1">
      <c r="A62" s="234"/>
      <c r="B62" s="234"/>
      <c r="C62" s="234"/>
      <c r="D62" s="100" t="s">
        <v>99</v>
      </c>
      <c r="E62" s="101" t="str">
        <f>_xlfn.IFNA(VLOOKUP(MOD((($D$1-WEEKDAY($D$1,2)+1)-45523)/7+9,24),Shift!$A$2:$H$25,WEEKDAY($D$1,2)+1),VLOOKUP(24,Shift!$A$2:$H$25,WEEKDAY($D$1,2)+1))</f>
        <v>P1 @</v>
      </c>
      <c r="F62" s="101">
        <v>1</v>
      </c>
      <c r="G62" s="101">
        <v>1</v>
      </c>
      <c r="H62" s="101">
        <v>3</v>
      </c>
      <c r="I62" s="102">
        <f t="shared" si="7"/>
        <v>5</v>
      </c>
      <c r="J62" s="137" t="s">
        <v>99</v>
      </c>
      <c r="K62" s="112" t="str">
        <f t="shared" si="8"/>
        <v/>
      </c>
      <c r="L62" s="112" t="str">
        <f t="shared" si="9"/>
        <v/>
      </c>
      <c r="N62" s="234"/>
      <c r="P62" s="234"/>
      <c r="Q62" s="234"/>
      <c r="R62" s="234"/>
    </row>
    <row r="63" spans="1:18" ht="16.5" thickBot="1">
      <c r="D63" s="103" t="s">
        <v>100</v>
      </c>
      <c r="E63" s="104" t="str">
        <f>_xlfn.IFNA(VLOOKUP(MOD((($D$1-WEEKDAY($D$1,2)+1)-45523)/7+15,24),Shift!$A$2:$H$25,WEEKDAY($D$1,2)+1),VLOOKUP(24,Shift!$A$2:$H$25,WEEKDAY($D$1,2)+1))</f>
        <v>P1</v>
      </c>
      <c r="F63" s="104">
        <v>1</v>
      </c>
      <c r="G63" s="104">
        <v>1</v>
      </c>
      <c r="H63" s="104">
        <v>5</v>
      </c>
      <c r="I63" s="105">
        <f t="shared" si="7"/>
        <v>7</v>
      </c>
      <c r="J63" s="138" t="s">
        <v>100</v>
      </c>
      <c r="K63" s="112" t="str">
        <f t="shared" si="8"/>
        <v/>
      </c>
      <c r="L63" s="112" t="str">
        <f t="shared" si="9"/>
        <v/>
      </c>
      <c r="M63" s="112"/>
    </row>
    <row r="64" spans="1:18">
      <c r="D64" s="97" t="s">
        <v>101</v>
      </c>
      <c r="E64" s="98" t="str">
        <f>_xlfn.IFNA(VLOOKUP(MOD((($D$1-WEEKDAY($D$1,2)+1)-45523)/7+19,24),Shift!$A$2:$H$25,WEEKDAY($D$1,2)+1),VLOOKUP(24,Shift!$A$2:$H$25,WEEKDAY($D$1,2)+1))</f>
        <v>M @</v>
      </c>
      <c r="F64" s="98">
        <v>1</v>
      </c>
      <c r="G64" s="98">
        <v>1</v>
      </c>
      <c r="H64" s="98">
        <v>5</v>
      </c>
      <c r="I64" s="99">
        <f t="shared" si="7"/>
        <v>7</v>
      </c>
      <c r="J64" s="136" t="s">
        <v>101</v>
      </c>
      <c r="K64" s="112" t="str">
        <f t="shared" si="8"/>
        <v/>
      </c>
      <c r="L64" s="112" t="str">
        <f t="shared" si="9"/>
        <v/>
      </c>
      <c r="M64" s="112"/>
    </row>
    <row r="65" spans="4:13">
      <c r="D65" s="100" t="s">
        <v>102</v>
      </c>
      <c r="E65" s="101" t="str">
        <f>_xlfn.IFNA(VLOOKUP(MOD((($D$1-WEEKDAY($D$1,2)+1)-45523)/7+1,24),Shift!$A$2:$H$25,WEEKDAY($D$1,2)+1),VLOOKUP(24,Shift!$A$2:$H$25,WEEKDAY($D$1,2)+1))</f>
        <v>M</v>
      </c>
      <c r="F65" s="101">
        <v>1</v>
      </c>
      <c r="G65" s="101">
        <v>1</v>
      </c>
      <c r="H65" s="101">
        <v>5</v>
      </c>
      <c r="I65" s="102">
        <f t="shared" si="7"/>
        <v>7</v>
      </c>
      <c r="J65" s="137" t="s">
        <v>102</v>
      </c>
      <c r="K65" s="112" t="str">
        <f t="shared" si="8"/>
        <v/>
      </c>
      <c r="L65" s="112" t="str">
        <f t="shared" si="9"/>
        <v/>
      </c>
      <c r="M65" s="112"/>
    </row>
    <row r="66" spans="4:13">
      <c r="D66" s="100" t="s">
        <v>103</v>
      </c>
      <c r="E66" s="101" t="str">
        <f>_xlfn.IFNA(VLOOKUP(MOD((($D$1-WEEKDAY($D$1,2)+1)-45523)/7+7,24),Shift!$A$2:$H$25,WEEKDAY($D$1,2)+1),VLOOKUP(24,Shift!$A$2:$H$25,WEEKDAY($D$1,2)+1))</f>
        <v>G1</v>
      </c>
      <c r="F66" s="101">
        <v>0</v>
      </c>
      <c r="G66" s="101">
        <v>1</v>
      </c>
      <c r="H66" s="101">
        <v>5</v>
      </c>
      <c r="I66" s="102">
        <f t="shared" si="7"/>
        <v>6</v>
      </c>
      <c r="J66" s="137" t="s">
        <v>103</v>
      </c>
      <c r="K66" s="112" t="str">
        <f t="shared" si="8"/>
        <v/>
      </c>
      <c r="L66" s="112" t="str">
        <f t="shared" si="9"/>
        <v/>
      </c>
      <c r="M66" s="112"/>
    </row>
    <row r="67" spans="4:13" ht="16.5" thickBot="1">
      <c r="D67" s="103" t="s">
        <v>104</v>
      </c>
      <c r="E67" s="104" t="str">
        <f>_xlfn.IFNA(VLOOKUP(MOD((($D$1-WEEKDAY($D$1,2)+1)-45523)/7+13,24),Shift!$A$2:$H$25,WEEKDAY($D$1,2)+1),VLOOKUP(24,Shift!$A$2:$H$25,WEEKDAY($D$1,2)+1))</f>
        <v>M1</v>
      </c>
      <c r="F67" s="104">
        <v>1</v>
      </c>
      <c r="G67" s="104">
        <v>1</v>
      </c>
      <c r="H67" s="104">
        <v>5</v>
      </c>
      <c r="I67" s="105">
        <f t="shared" si="7"/>
        <v>7</v>
      </c>
      <c r="J67" s="138" t="s">
        <v>104</v>
      </c>
      <c r="K67" s="112" t="str">
        <f t="shared" si="8"/>
        <v/>
      </c>
      <c r="L67" s="112" t="str">
        <f t="shared" si="9"/>
        <v/>
      </c>
      <c r="M67" s="112"/>
    </row>
    <row r="68" spans="4:13">
      <c r="D68" s="97" t="s">
        <v>105</v>
      </c>
      <c r="E68" s="98" t="str">
        <f>_xlfn.IFNA(VLOOKUP(MOD((($D$1-WEEKDAY($D$1,2)+1)-45523)/7+17,24),Shift!$A$2:$H$25,WEEKDAY($D$1,2)+1),VLOOKUP(24,Shift!$A$2:$H$25,WEEKDAY($D$1,2)+1))</f>
        <v>A</v>
      </c>
      <c r="F68" s="98">
        <v>1</v>
      </c>
      <c r="G68" s="98">
        <v>0</v>
      </c>
      <c r="H68" s="98">
        <v>3</v>
      </c>
      <c r="I68" s="99">
        <f t="shared" si="7"/>
        <v>4</v>
      </c>
      <c r="J68" s="136" t="s">
        <v>105</v>
      </c>
      <c r="K68" s="112" t="str">
        <f t="shared" si="8"/>
        <v/>
      </c>
      <c r="L68" s="112" t="str">
        <f t="shared" si="9"/>
        <v/>
      </c>
      <c r="M68" s="112"/>
    </row>
    <row r="69" spans="4:13">
      <c r="D69" s="100" t="s">
        <v>106</v>
      </c>
      <c r="E69" s="101" t="str">
        <f>_xlfn.IFNA(VLOOKUP(MOD((($D$1-WEEKDAY($D$1,2)+1)-45523)/7+23,24),Shift!$A$2:$H$25,WEEKDAY($D$1,2)+1),VLOOKUP(24,Shift!$A$2:$H$25,WEEKDAY($D$1,2)+1))</f>
        <v>L</v>
      </c>
      <c r="F69" s="101">
        <f t="shared" ref="F69:H71" si="10">IF(OR($E69="L",$E69="L#"),0,"?")</f>
        <v>0</v>
      </c>
      <c r="G69" s="101">
        <f t="shared" si="10"/>
        <v>0</v>
      </c>
      <c r="H69" s="101">
        <f t="shared" si="10"/>
        <v>0</v>
      </c>
      <c r="I69" s="102">
        <f t="shared" si="7"/>
        <v>0</v>
      </c>
      <c r="J69" s="137" t="s">
        <v>106</v>
      </c>
      <c r="K69" s="112" t="str">
        <f t="shared" si="8"/>
        <v/>
      </c>
      <c r="L69" s="112" t="str">
        <f t="shared" si="9"/>
        <v/>
      </c>
      <c r="M69" s="112"/>
    </row>
    <row r="70" spans="4:13">
      <c r="D70" s="100" t="s">
        <v>107</v>
      </c>
      <c r="E70" s="101" t="str">
        <f>_xlfn.IFNA(VLOOKUP(MOD((($D$1-WEEKDAY($D$1,2)+1)-45523)/7+5,24),Shift!$A$2:$H$25,WEEKDAY($D$1,2)+1),VLOOKUP(24,Shift!$A$2:$H$25,WEEKDAY($D$1,2)+1))</f>
        <v>L</v>
      </c>
      <c r="F70" s="101">
        <f t="shared" si="10"/>
        <v>0</v>
      </c>
      <c r="G70" s="101">
        <f t="shared" si="10"/>
        <v>0</v>
      </c>
      <c r="H70" s="101">
        <f t="shared" si="10"/>
        <v>0</v>
      </c>
      <c r="I70" s="102">
        <f t="shared" si="7"/>
        <v>0</v>
      </c>
      <c r="J70" s="137" t="s">
        <v>107</v>
      </c>
      <c r="K70" s="112" t="str">
        <f t="shared" si="8"/>
        <v/>
      </c>
      <c r="L70" s="112" t="str">
        <f t="shared" si="9"/>
        <v/>
      </c>
      <c r="M70" s="112"/>
    </row>
    <row r="71" spans="4:13" ht="16.5" thickBot="1">
      <c r="D71" s="103" t="s">
        <v>108</v>
      </c>
      <c r="E71" s="104" t="str">
        <f>_xlfn.IFNA(VLOOKUP(MOD((($D$1-WEEKDAY($D$1,2)+1)-45523)/7+11,24),Shift!$A$2:$H$25,WEEKDAY($D$1,2)+1),VLOOKUP(24,Shift!$A$2:$H$25,WEEKDAY($D$1,2)+1))</f>
        <v>L</v>
      </c>
      <c r="F71" s="104">
        <f t="shared" si="10"/>
        <v>0</v>
      </c>
      <c r="G71" s="104">
        <f t="shared" si="10"/>
        <v>0</v>
      </c>
      <c r="H71" s="104">
        <f t="shared" si="10"/>
        <v>0</v>
      </c>
      <c r="I71" s="105">
        <f t="shared" si="7"/>
        <v>0</v>
      </c>
      <c r="J71" s="138" t="s">
        <v>108</v>
      </c>
      <c r="K71" s="112" t="str">
        <f t="shared" si="8"/>
        <v/>
      </c>
      <c r="L71" s="112" t="str">
        <f t="shared" si="9"/>
        <v/>
      </c>
      <c r="M71" s="112"/>
    </row>
    <row r="72" spans="4:13">
      <c r="D72" s="144" t="s">
        <v>86</v>
      </c>
      <c r="E72" s="98" t="s">
        <v>127</v>
      </c>
      <c r="F72" s="98"/>
      <c r="G72" s="98"/>
      <c r="H72" s="98"/>
      <c r="I72" s="99">
        <f>IF(OR($E72="L",$E72="L#",$E72="?"),0,SUM($F72:$H72))</f>
        <v>0</v>
      </c>
      <c r="J72" s="234"/>
    </row>
    <row r="73" spans="4:13">
      <c r="D73" s="145" t="s">
        <v>137</v>
      </c>
      <c r="E73" s="101" t="s">
        <v>127</v>
      </c>
      <c r="F73" s="101"/>
      <c r="G73" s="101"/>
      <c r="H73" s="101"/>
      <c r="I73" s="102">
        <f>IF(OR($E73="L",$E73="L#",$E73="?"),0,SUM($F73:$H73))</f>
        <v>0</v>
      </c>
      <c r="J73" s="234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234"/>
    </row>
    <row r="75" spans="4:13" ht="16.5" thickBot="1">
      <c r="D75" s="146" t="s">
        <v>137</v>
      </c>
      <c r="E75" s="104" t="s">
        <v>127</v>
      </c>
      <c r="F75" s="106"/>
      <c r="G75" s="106"/>
      <c r="H75" s="106"/>
      <c r="I75" s="105">
        <f>IF(OR($E75="L",$E75="L#",$E75="?"),0,SUM($F75:$H75))</f>
        <v>0</v>
      </c>
      <c r="J75" s="234"/>
    </row>
    <row r="76" spans="4:13">
      <c r="D76" s="234"/>
      <c r="E76" s="96" t="s">
        <v>98</v>
      </c>
      <c r="F76" s="96" t="str">
        <f>SUM($F$60:$F$75)&amp;IF(SUM($F$60:$H$75)&gt;$I$76,"?","")</f>
        <v>8</v>
      </c>
      <c r="G76" s="96" t="str">
        <f>SUM($G$60:$G$75)&amp;IF(SUM($F$60:$H$75)&gt;$I$76,"?","")</f>
        <v>8</v>
      </c>
      <c r="H76" s="96" t="str">
        <f>SUM($H$60:$H$75)&amp;IF(SUM($F$60:$H$75)&gt;$I$76,"?","")</f>
        <v>40</v>
      </c>
      <c r="I76" s="96">
        <f>SUM(I60:I75)</f>
        <v>56</v>
      </c>
      <c r="J76" s="234"/>
    </row>
    <row r="77" spans="4:13">
      <c r="D77" s="234"/>
      <c r="E77" s="234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234"/>
      <c r="J77" s="234"/>
    </row>
    <row r="79" spans="4:13">
      <c r="D79" s="410" t="s">
        <v>281</v>
      </c>
      <c r="E79" s="410"/>
      <c r="F79" s="410"/>
    </row>
    <row r="80" spans="4:13">
      <c r="D80" s="49" t="str">
        <f>IF(Flight!$A$68=0,"",Flight!$A$68)</f>
        <v/>
      </c>
      <c r="E80" s="163"/>
      <c r="F80" s="164" t="str">
        <f>IF(D80="","",VLOOKUP(D80,Flight!$A$68:$C$91,3,FALSE))</f>
        <v/>
      </c>
    </row>
    <row r="81" spans="4:6">
      <c r="D81" s="49" t="str">
        <f>IF(Flight!$A69=0,"",Flight!$A69)</f>
        <v/>
      </c>
      <c r="F81" s="164" t="str">
        <f>IF(D81="","",VLOOKUP(D81,Flight!$A$68:$C$91,3,FALSE))</f>
        <v/>
      </c>
    </row>
    <row r="82" spans="4:6">
      <c r="D82" s="49" t="str">
        <f>IF(Flight!$A71=0,"",Flight!$A71)</f>
        <v>3A031</v>
      </c>
      <c r="F82" s="164" t="str">
        <f>IF(D82="","",VLOOKUP(D82,Flight!$A$68:$C$91,3,FALSE))</f>
        <v>ZTI</v>
      </c>
    </row>
    <row r="83" spans="4:6">
      <c r="D83" s="49" t="str">
        <f>IF(Flight!$A72=0,"",Flight!$A72)</f>
        <v>3A003</v>
      </c>
      <c r="F83" s="164" t="str">
        <f>IF(D83="","",VLOOKUP(D83,Flight!$A$68:$C$91,3,FALSE))</f>
        <v>ZYK</v>
      </c>
    </row>
    <row r="84" spans="4:6">
      <c r="D84" s="49" t="str">
        <f>IF(Flight!$A73=0,"",Flight!$A73)</f>
        <v>3A005</v>
      </c>
      <c r="F84" s="164" t="str">
        <f>IF(D84="","",VLOOKUP(D84,Flight!$A$68:$C$91,3,FALSE))</f>
        <v>HKM</v>
      </c>
    </row>
    <row r="85" spans="4:6">
      <c r="D85" s="49" t="str">
        <f>IF(Flight!$A74=0,"",Flight!$A74)</f>
        <v>3A007</v>
      </c>
      <c r="F85" s="164" t="str">
        <f>IF(D85="","",VLOOKUP(D85,Flight!$A$68:$C$91,3,FALSE))</f>
        <v>ZYK</v>
      </c>
    </row>
    <row r="86" spans="4:6">
      <c r="D86" s="49" t="str">
        <f>IF(Flight!$A75=0,"",Flight!$A75)</f>
        <v>3A008</v>
      </c>
      <c r="F86" s="164" t="str">
        <f>IF(D86="","",VLOOKUP(D86,Flight!$A$68:$C$91,3,FALSE))</f>
        <v>ZYK</v>
      </c>
    </row>
    <row r="87" spans="4:6">
      <c r="D87" s="49" t="str">
        <f>IF(Flight!$A76=0,"",Flight!$A76)</f>
        <v>3A009</v>
      </c>
      <c r="F87" s="164" t="str">
        <f>IF(D87="","",VLOOKUP(D87,Flight!$A$68:$C$91,3,FALSE))</f>
        <v>ZYK</v>
      </c>
    </row>
    <row r="88" spans="4:6">
      <c r="D88" s="49" t="str">
        <f>IF(Flight!$A77=0,"",Flight!$A77)</f>
        <v>3A010</v>
      </c>
      <c r="F88" s="164" t="str">
        <f>IF(D88="","",VLOOKUP(D88,Flight!$A$68:$C$91,3,FALSE))</f>
        <v>ZYK</v>
      </c>
    </row>
    <row r="89" spans="4:6">
      <c r="D89" s="49" t="str">
        <f>IF(Flight!$A78=0,"",Flight!$A78)</f>
        <v/>
      </c>
      <c r="F89" s="164" t="str">
        <f>IF(D89="","",VLOOKUP(D89,Flight!$A$68:$C$91,3,FALSE))</f>
        <v/>
      </c>
    </row>
    <row r="90" spans="4:6">
      <c r="D90" s="49" t="str">
        <f>IF(Flight!$A80=0,"",Flight!$A80)</f>
        <v>8S7121</v>
      </c>
      <c r="F90" s="164" t="str">
        <f>IF(D90="","",VLOOKUP(D90,Flight!$A$68:$C$91,3,FALSE))</f>
        <v>HKM</v>
      </c>
    </row>
    <row r="91" spans="4:6">
      <c r="D91" s="49" t="str">
        <f>IF(Flight!$A81=0,"",Flight!$A81)</f>
        <v>8S7108</v>
      </c>
      <c r="F91" s="164" t="str">
        <f>IF(D91="","",VLOOKUP(D91,Flight!$A$68:$C$91,3,FALSE))</f>
        <v>ZYK</v>
      </c>
    </row>
    <row r="92" spans="4:6">
      <c r="D92" s="49" t="str">
        <f>IF(Flight!$A82=0,"",Flight!$A82)</f>
        <v>8S7111</v>
      </c>
      <c r="F92" s="164" t="str">
        <f>IF(D92="","",VLOOKUP(D92,Flight!$A$68:$C$91,3,FALSE))</f>
        <v>ZYK</v>
      </c>
    </row>
    <row r="93" spans="4:6">
      <c r="D93" s="49" t="str">
        <f>IF(Flight!$A83=0,"",Flight!$A83)</f>
        <v>8S7131</v>
      </c>
      <c r="F93" s="164" t="str">
        <f>IF(D93="","",VLOOKUP(D93,Flight!$A$68:$C$91,3,FALSE))</f>
        <v>?</v>
      </c>
    </row>
    <row r="94" spans="4:6">
      <c r="D94" s="49" t="str">
        <f>IF(Flight!$A84=0,"",Flight!$A84)</f>
        <v>8S7119</v>
      </c>
      <c r="F94" s="164" t="str">
        <f>IF(D94="","",VLOOKUP(D94,Flight!$A$68:$C$91,3,FALSE))</f>
        <v>HKM</v>
      </c>
    </row>
    <row r="95" spans="4:6">
      <c r="D95" s="49" t="str">
        <f>IF(Flight!$A85=0,"",Flight!$A85)</f>
        <v>8S7126</v>
      </c>
      <c r="F95" s="164" t="str">
        <f>IF(D95="","",VLOOKUP(D95,Flight!$A$68:$C$91,3,FALSE))</f>
        <v>HKM</v>
      </c>
    </row>
    <row r="96" spans="4:6">
      <c r="D96" s="49" t="str">
        <f>IF(Flight!$A86=0,"",Flight!$A86)</f>
        <v>8S7128</v>
      </c>
      <c r="F96" s="164" t="str">
        <f>IF(D96="","",VLOOKUP(D96,Flight!$A$68:$C$91,3,FALSE))</f>
        <v>HKM</v>
      </c>
    </row>
    <row r="97" spans="4:6">
      <c r="D97" s="49" t="str">
        <f>IF(Flight!$A87=0,"",Flight!$A87)</f>
        <v>3A8010</v>
      </c>
      <c r="F97" s="164" t="str">
        <f>IF(D97="","",VLOOKUP(D97,Flight!$A$68:$C$91,3,FALSE))</f>
        <v>HZI</v>
      </c>
    </row>
    <row r="98" spans="4:6">
      <c r="D98" s="49" t="str">
        <f>IF(Flight!$A88=0,"",Flight!$A88)</f>
        <v>3A8015</v>
      </c>
      <c r="F98" s="164" t="str">
        <f>IF(D98="","",VLOOKUP(D98,Flight!$A$68:$C$91,3,FALSE))</f>
        <v>?</v>
      </c>
    </row>
    <row r="99" spans="4:6">
      <c r="D99" s="49" t="str">
        <f>IF(Flight!$A89=0,"",Flight!$A89)</f>
        <v>3A8016</v>
      </c>
      <c r="F99" s="164" t="str">
        <f>IF(D99="","",VLOOKUP(D99,Flight!$A$68:$C$91,3,FALSE))</f>
        <v>HZI</v>
      </c>
    </row>
    <row r="100" spans="4:6">
      <c r="D100" s="49" t="str">
        <f>IF(Flight!$A91=0,"",Flight!$A91)</f>
        <v xml:space="preserve">Last </v>
      </c>
      <c r="F100" s="164" t="str">
        <f>IF(D100="","",VLOOKUP(D100,Flight!$A$68:$C$91,3,FALSE))</f>
        <v>↑</v>
      </c>
    </row>
    <row r="101" spans="4:6">
      <c r="D101" s="49" t="str">
        <f>IF(Flight!$A92=0,"",Flight!$A92)</f>
        <v/>
      </c>
      <c r="F101" s="164" t="str">
        <f>IF(D101="","",VLOOKUP(D101,Flight!$A$68:$C$91,3,FALSE))</f>
        <v/>
      </c>
    </row>
    <row r="102" spans="4:6">
      <c r="D102" s="186"/>
      <c r="F102" s="187"/>
    </row>
    <row r="103" spans="4:6">
      <c r="D103" s="406" t="str">
        <f>IF(Flight!$A$93=0,"",Flight!$A$93)</f>
        <v>Target Flight</v>
      </c>
      <c r="E103" s="406"/>
      <c r="F103" s="406"/>
    </row>
    <row r="104" spans="4:6">
      <c r="D104" s="27" t="s">
        <v>59</v>
      </c>
      <c r="E104" s="158"/>
      <c r="F104" s="10" t="s">
        <v>38</v>
      </c>
    </row>
    <row r="105" spans="4:6">
      <c r="D105" s="27" t="s">
        <v>89</v>
      </c>
      <c r="E105" s="158"/>
      <c r="F105" s="10" t="s">
        <v>38</v>
      </c>
    </row>
    <row r="106" spans="4:6">
      <c r="D106" s="27" t="s">
        <v>254</v>
      </c>
      <c r="E106" s="158"/>
      <c r="F106" s="10" t="s">
        <v>38</v>
      </c>
    </row>
    <row r="107" spans="4:6">
      <c r="D107" s="27" t="s">
        <v>57</v>
      </c>
      <c r="E107" s="158"/>
      <c r="F107" s="10" t="s">
        <v>58</v>
      </c>
    </row>
    <row r="108" spans="4:6">
      <c r="D108" s="27" t="s">
        <v>198</v>
      </c>
      <c r="E108" s="158"/>
      <c r="F108" s="10" t="s">
        <v>199</v>
      </c>
    </row>
    <row r="109" spans="4:6">
      <c r="D109" s="27" t="s">
        <v>55</v>
      </c>
      <c r="E109" s="158"/>
      <c r="F109" s="10" t="s">
        <v>54</v>
      </c>
    </row>
    <row r="110" spans="4:6">
      <c r="D110" s="27" t="s">
        <v>39</v>
      </c>
      <c r="E110" s="158"/>
      <c r="F110" s="10" t="s">
        <v>38</v>
      </c>
    </row>
    <row r="111" spans="4:6">
      <c r="D111" s="27" t="s">
        <v>200</v>
      </c>
      <c r="E111" s="158"/>
      <c r="F111" s="10" t="s">
        <v>54</v>
      </c>
    </row>
    <row r="112" spans="4:6">
      <c r="D112" s="27" t="s">
        <v>201</v>
      </c>
      <c r="E112" s="158"/>
      <c r="F112" s="10" t="s">
        <v>38</v>
      </c>
    </row>
    <row r="113" spans="4:6">
      <c r="D113" s="161" t="s">
        <v>538</v>
      </c>
      <c r="E113" s="158"/>
      <c r="F113" s="159" t="s">
        <v>566</v>
      </c>
    </row>
    <row r="114" spans="4:6">
      <c r="D114" s="161"/>
      <c r="E114" s="158"/>
      <c r="F114" s="159"/>
    </row>
  </sheetData>
  <mergeCells count="90">
    <mergeCell ref="D46:E46"/>
    <mergeCell ref="G46:H46"/>
    <mergeCell ref="I46:J46"/>
    <mergeCell ref="I44:J44"/>
    <mergeCell ref="D103:F103"/>
    <mergeCell ref="D79:F79"/>
    <mergeCell ref="D52:E52"/>
    <mergeCell ref="F52:G52"/>
    <mergeCell ref="H52:I52"/>
    <mergeCell ref="I45:J45"/>
    <mergeCell ref="A53:B53"/>
    <mergeCell ref="C53:E53"/>
    <mergeCell ref="H53:I53"/>
    <mergeCell ref="C54:H54"/>
    <mergeCell ref="I55:J55"/>
    <mergeCell ref="A51:B51"/>
    <mergeCell ref="C51:E51"/>
    <mergeCell ref="F51:G51"/>
    <mergeCell ref="H51:I51"/>
    <mergeCell ref="K51:M51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9:I49"/>
    <mergeCell ref="K49:M49"/>
    <mergeCell ref="K25:M25"/>
    <mergeCell ref="A45:B45"/>
    <mergeCell ref="A43:H43"/>
    <mergeCell ref="A44:B44"/>
    <mergeCell ref="D44:E44"/>
    <mergeCell ref="G44:H44"/>
    <mergeCell ref="D45:E45"/>
    <mergeCell ref="G45:H45"/>
    <mergeCell ref="E26:F26"/>
    <mergeCell ref="K26:M26"/>
    <mergeCell ref="K45:M45"/>
    <mergeCell ref="A41:F41"/>
    <mergeCell ref="I41:M42"/>
    <mergeCell ref="A42:H42"/>
    <mergeCell ref="E25:F25"/>
    <mergeCell ref="K44:M44"/>
    <mergeCell ref="A6:A7"/>
    <mergeCell ref="B6:C6"/>
    <mergeCell ref="D6:D7"/>
    <mergeCell ref="E6:E7"/>
    <mergeCell ref="F6:F7"/>
    <mergeCell ref="K18:M18"/>
    <mergeCell ref="E22:F22"/>
    <mergeCell ref="E20:F20"/>
    <mergeCell ref="K20:M20"/>
    <mergeCell ref="K22:M22"/>
    <mergeCell ref="B3:C3"/>
    <mergeCell ref="D3:E3"/>
    <mergeCell ref="F3:G3"/>
    <mergeCell ref="H3:I3"/>
    <mergeCell ref="G6:G7"/>
    <mergeCell ref="B4:C4"/>
    <mergeCell ref="D4:E4"/>
    <mergeCell ref="F4:G4"/>
    <mergeCell ref="H4:I4"/>
    <mergeCell ref="B5:C5"/>
    <mergeCell ref="D5:E5"/>
    <mergeCell ref="F5:G5"/>
    <mergeCell ref="H5:I5"/>
    <mergeCell ref="H6:H7"/>
    <mergeCell ref="I6:I7"/>
    <mergeCell ref="K37:M37"/>
    <mergeCell ref="E37:F37"/>
    <mergeCell ref="J6:J7"/>
    <mergeCell ref="K6:M6"/>
    <mergeCell ref="D1:E1"/>
    <mergeCell ref="D2:E2"/>
    <mergeCell ref="G2:I2"/>
    <mergeCell ref="L5:M5"/>
    <mergeCell ref="J3:K3"/>
    <mergeCell ref="L3:M3"/>
    <mergeCell ref="J4:K4"/>
    <mergeCell ref="L4:M4"/>
    <mergeCell ref="J5:K5"/>
    <mergeCell ref="E19:F19"/>
    <mergeCell ref="K19:M19"/>
    <mergeCell ref="E18:F18"/>
  </mergeCells>
  <phoneticPr fontId="2" type="noConversion"/>
  <conditionalFormatting sqref="E8:E25 H8:H40 E27:E36 E38:E40">
    <cfRule type="cellIs" dxfId="104" priority="7" operator="equal">
      <formula>""</formula>
    </cfRule>
  </conditionalFormatting>
  <conditionalFormatting sqref="F60:H77">
    <cfRule type="cellIs" dxfId="103" priority="6" operator="equal">
      <formula>"?"</formula>
    </cfRule>
  </conditionalFormatting>
  <conditionalFormatting sqref="D114:D1002 D8:D112">
    <cfRule type="duplicateValues" dxfId="102" priority="5"/>
  </conditionalFormatting>
  <conditionalFormatting sqref="D113">
    <cfRule type="duplicateValues" dxfId="101" priority="4"/>
  </conditionalFormatting>
  <conditionalFormatting sqref="E26">
    <cfRule type="cellIs" dxfId="100" priority="3" operator="equal">
      <formula>""</formula>
    </cfRule>
  </conditionalFormatting>
  <conditionalFormatting sqref="E37">
    <cfRule type="cellIs" dxfId="99" priority="1" operator="equal">
      <formula>""</formula>
    </cfRule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D45:E45</xm:sqref>
        </x14:dataValidation>
        <x14:dataValidation type="list" allowBlank="1" showInputMessage="1">
          <x14:formula1>
            <xm:f>Staff!$B$15:$B$39</xm:f>
          </x14:formula1>
          <xm:sqref>D44:E44</xm:sqref>
        </x14:dataValidation>
        <x14:dataValidation type="list" allowBlank="1" showInputMessage="1" showErrorMessage="1">
          <x14:formula1>
            <xm:f>Staff!$G$23:$G$52</xm:f>
          </x14:formula1>
          <xm:sqref>K47:M51</xm:sqref>
        </x14:dataValidation>
        <x14:dataValidation type="list" allowBlank="1" showInputMessage="1">
          <x14:formula1>
            <xm:f>Staff!$G$12:$G$52</xm:f>
          </x14:formula1>
          <xm:sqref>G47:I48</xm:sqref>
        </x14:dataValidation>
        <x14:dataValidation type="list" allowBlank="1" showInputMessage="1">
          <x14:formula1>
            <xm:f>Staff!$G$2:$G$9</xm:f>
          </x14:formula1>
          <xm:sqref>K44:M45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7"/>
  <sheetViews>
    <sheetView tabSelected="1" view="pageBreakPreview" topLeftCell="A7" zoomScale="90" zoomScaleNormal="100" zoomScaleSheetLayoutView="90" workbookViewId="0">
      <selection activeCell="K22" sqref="K22"/>
    </sheetView>
  </sheetViews>
  <sheetFormatPr defaultRowHeight="15.75"/>
  <cols>
    <col min="1" max="1" width="9.125" style="234" customWidth="1"/>
    <col min="2" max="2" width="10.25" style="234" customWidth="1"/>
    <col min="3" max="3" width="9.75" style="234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35" customWidth="1"/>
    <col min="9" max="9" width="9" style="54" customWidth="1"/>
    <col min="10" max="10" width="9.125" style="54" customWidth="1"/>
    <col min="11" max="13" width="9.125" style="234" customWidth="1"/>
    <col min="14" max="14" width="9" style="234"/>
    <col min="15" max="15" width="10.75" style="112" bestFit="1" customWidth="1"/>
    <col min="16" max="16" width="12.25" style="234" bestFit="1" customWidth="1"/>
    <col min="17" max="16384" width="9" style="234"/>
  </cols>
  <sheetData>
    <row r="1" spans="1:16">
      <c r="A1" s="244"/>
      <c r="B1" s="244"/>
      <c r="C1" s="108" t="s">
        <v>20</v>
      </c>
      <c r="D1" s="355">
        <v>45756</v>
      </c>
      <c r="E1" s="355"/>
      <c r="F1" s="238" t="s">
        <v>23</v>
      </c>
      <c r="G1" s="110">
        <f>D1</f>
        <v>45756</v>
      </c>
      <c r="H1" s="242" t="s">
        <v>24</v>
      </c>
      <c r="I1" s="239"/>
      <c r="J1" s="239"/>
      <c r="K1" s="244"/>
      <c r="L1" s="244"/>
      <c r="M1" s="47"/>
    </row>
    <row r="2" spans="1:16" ht="17.25" customHeight="1" thickBot="1">
      <c r="A2" s="244"/>
      <c r="B2" s="244"/>
      <c r="C2" s="244"/>
      <c r="D2" s="356"/>
      <c r="E2" s="356"/>
      <c r="F2" s="239"/>
      <c r="G2" s="357"/>
      <c r="H2" s="357"/>
      <c r="I2" s="357"/>
      <c r="J2" s="239"/>
      <c r="K2" s="244"/>
      <c r="L2" s="244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","")&amp;IF($E$78=B$3,$D$78&amp;"("&amp;$I$78&amp;")"&amp;" ","")&amp;IF(COUNTIF($E$63:$E$77,B$3)=0,"-","")</f>
        <v xml:space="preserve">S2(7) </v>
      </c>
      <c r="C4" s="367"/>
      <c r="D4" s="366" t="str">
        <f>IF($E$63=$E$59," &lt;"&amp;$D$63&amp;"("&amp;$I$63&amp;")&gt; "&amp;" ","")&amp;IF($E$63=D$3,$D$63&amp;"("&amp;$I$63&amp;")"&amp;" ","")&amp;IF($E$64=$E$59," &lt;"&amp;$D$64&amp;"("&amp;$I$64&amp;")&gt; "&amp;" ","")&amp;IF($E$64=D$3,$D$64&amp;"("&amp;$I$64&amp;")"&amp;" ","")&amp;IF($E$65=$E$59," &lt;"&amp;$D$65&amp;"("&amp;$I$65&amp;")&gt; "&amp;" ","")&amp;IF($E$65=D$3,$D$65&amp;"("&amp;$I$65&amp;")"&amp;" ","")&amp;IF($E$66=$E$59," &lt;"&amp;$D$66&amp;"("&amp;$I$66&amp;")&gt; "&amp;" ","")&amp;IF($E$66=D$3,$D$66&amp;"("&amp;$I$66&amp;")"&amp;" ","")&amp;IF($E$67=$E$59," &lt;"&amp;$D$67&amp;"("&amp;$I$67&amp;")&gt; "&amp;" ","")&amp;IF($E$67=D$3,$D$67&amp;"("&amp;$I$67&amp;")"&amp;" ","")&amp;IF($E$68=$E$59," &lt;"&amp;$D$68&amp;"("&amp;$I$68&amp;")&gt; "&amp;" ","")&amp;IF($E$68=D$3,$D$68&amp;"("&amp;$I$68&amp;")"&amp;" ","")&amp;IF($E$69=$E$59," &lt;"&amp;$D$69&amp;"("&amp;$I$69&amp;")&gt; "&amp;" ","")&amp;IF($E$69=D$3,$D$69&amp;"("&amp;$I$69&amp;")"&amp;" ","")&amp;IF($E$70=$E$59," &lt;"&amp;$D$70&amp;"("&amp;$I$70&amp;")&gt; "&amp;" ","")&amp;IF($E$70=D$3,$D$70&amp;"("&amp;$I$70&amp;")"&amp;" ","")&amp;IF($E$71=$E$59," &lt;"&amp;$D$71&amp;"("&amp;$I$71&amp;")&gt; "&amp;" ","")&amp;IF($E$71=D$3,$D$71&amp;"("&amp;$I$71&amp;")"&amp;" ","")&amp;IF($E$72=$E$59," &lt;"&amp;$D$72&amp;"("&amp;$I$72&amp;")&gt; "&amp;" ","")&amp;IF($E$72=D$3,$D$72&amp;"("&amp;$I$72&amp;")"&amp;" ","")&amp;IF($E$73=$E$59," &lt;"&amp;$D$73&amp;"("&amp;$I$73&amp;")&gt; "&amp;" ","")&amp;IF($E$73=D$3,$D$73&amp;"("&amp;$I$73&amp;")"&amp;" ","")&amp;IF($E$74=$E$59," &lt;"&amp;$D$74&amp;"("&amp;$I$74&amp;")&gt; "&amp;" ","")&amp;IF($E$74=D$3,$D$74&amp;"("&amp;$I$74&amp;")"&amp;" ","")&amp;IF($E$75=D$3,$D$75&amp;"("&amp;$I$75&amp;")"&amp;" ","")&amp;IF($E$76=D$3,$D$76&amp;"("&amp;$I$76&amp;")"&amp;" ","")&amp;IF($E$77=D$3,$D$77&amp;"("&amp;$I$77&amp;")"&amp;" ","")&amp;IF($E$78=D$3,$D$78&amp;"("&amp;$I$78&amp;")"&amp;" ","")&amp;IF(COUNTIF($E$63:$E$78,D$3)=0,"-","")</f>
        <v xml:space="preserve">S5(7)  &lt;S6(6)&gt;  S7(7) </v>
      </c>
      <c r="E4" s="367"/>
      <c r="F4" s="366" t="str">
        <f>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","")&amp;IF($E$78=F$3,$D$78&amp;"("&amp;$I$78&amp;")"&amp;" ","")&amp;IF(COUNTIF($E$63:$E$77,F$3)=0,"-","")</f>
        <v xml:space="preserve">S10(7) S11(7) </v>
      </c>
      <c r="G4" s="367"/>
      <c r="H4" s="366" t="str">
        <f>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","")&amp;IF($E$78=H$3,$D$78&amp;"("&amp;$I$78&amp;")"&amp;" ","")&amp;IF(COUNTIF($E$63:$E$77,H$3)=0,"-","")</f>
        <v xml:space="preserve">S8(7) </v>
      </c>
      <c r="I4" s="367"/>
      <c r="J4" s="366" t="str">
        <f>IF($E$63=$E$60," &lt;"&amp;$D$63&amp;"("&amp;$I$63&amp;")&gt; "&amp;" ","")&amp;IF($E$63=J$3,$D$63&amp;"("&amp;$I$63&amp;")"&amp;" ","")&amp;IF($E$64=$E$60," &lt;"&amp;$D$64&amp;"("&amp;$I$64&amp;")&gt; "&amp;" ","")&amp;IF($E$64=J$3,$D$64&amp;"("&amp;$I$64&amp;")"&amp;" ","")&amp;IF($E$65=$E$60," &lt;"&amp;$D$65&amp;"("&amp;$I$65&amp;")&gt; "&amp;" ","")&amp;IF($E$65=J$3,$D$65&amp;"("&amp;$I$65&amp;")"&amp;" ","")&amp;IF($E$66=$E$60," &lt;"&amp;$D$66&amp;"("&amp;$I$66&amp;")&gt; "&amp;" ","")&amp;IF($E$66=J$3,$D$66&amp;"("&amp;$I$66&amp;")"&amp;" ","")&amp;IF($E$67=$E$60," &lt;"&amp;$D$67&amp;"("&amp;$I$67&amp;")&gt; "&amp;" ","")&amp;IF($E$67=J$3,$D$67&amp;"("&amp;$I$67&amp;")"&amp;" ","")&amp;IF($E$68=$E$60," &lt;"&amp;$D$68&amp;"("&amp;$I$68&amp;")&gt; "&amp;" ","")&amp;IF($E$68=J$3,$D$68&amp;"("&amp;$I$68&amp;")"&amp;" ","")&amp;IF($E$69=$E$60," &lt;"&amp;$D$69&amp;"("&amp;$I$69&amp;")&gt; "&amp;" ","")&amp;IF($E$69=J$3,$D$69&amp;"("&amp;$I$69&amp;")"&amp;" ","")&amp;IF($E$70=$E$60," &lt;"&amp;$D$70&amp;"("&amp;$I$70&amp;")&gt; "&amp;" ","")&amp;IF($E$70=J$3,$D$70&amp;"("&amp;$I$70&amp;")"&amp;" ","")&amp;IF($E$71=$E$60," &lt;"&amp;$D$71&amp;"("&amp;$I$71&amp;")&gt; "&amp;" ","")&amp;IF($E$71=J$3,$D$71&amp;"("&amp;$I$71&amp;")"&amp;" ","")&amp;IF($E$72=$E$60," &lt;"&amp;$D$72&amp;"("&amp;$I$72&amp;")&gt; "&amp;" ","")&amp;IF($E$72=J$3,$D$72&amp;"("&amp;$I$72&amp;")"&amp;" ","")&amp;IF($E$73=$E$60," &lt;"&amp;$D$73&amp;"("&amp;$I$73&amp;")&gt; "&amp;" ","")&amp;IF($E$73=J$3,$D$73&amp;"("&amp;$I$73&amp;")"&amp;" ","")&amp;IF($E$74=$E$60," &lt;"&amp;$D$74&amp;"("&amp;$I$74&amp;")&gt; "&amp;" ","")&amp;IF($E$74=J$3,$D$74&amp;"("&amp;$I$74&amp;")"&amp;" ","")&amp;IF($E$75=J$3,$D$75&amp;"("&amp;$I$75&amp;")"&amp;" ","")&amp;IF($E$76=J$3,$D$76&amp;"("&amp;$I$76&amp;")"&amp;" ","")&amp;IF($E$77=J$3,$D$77&amp;"("&amp;$I$77&amp;")"&amp;" ","")&amp;IF($E$78=J$3,$D$78&amp;"("&amp;$I$78&amp;")"&amp;" ","")&amp;IF(COUNTIF($E$63:$E$78,J$3)=0,"-","")</f>
        <v xml:space="preserve">S1(6)  &lt;S4(7)&gt;  </v>
      </c>
      <c r="K4" s="367"/>
      <c r="L4" s="366" t="str">
        <f>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","")&amp;IF($E$78=L$3,$D$78&amp;"("&amp;$I$78&amp;")"&amp;" ","")&amp;IF(COUNTIF($E$63:$E$77,L$3)=0,"-","")</f>
        <v xml:space="preserve">S3(6)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47" t="s">
        <v>52</v>
      </c>
      <c r="C7" s="247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13" si="0">IF($E8&lt;&gt;"",IF($E8-715&lt;0,VLOOKUP($B$3,$E$63:$J$74,6,FALSE),IF(AND($E8-2130&gt;0,_xlfn.IFNA(MATCH($D8,$D$107:$D$117,0)&lt;20,"")=TRUE),VLOOKUP($L$3,$E$63:$J$74,6,FALSE),"-")),"")</f>
        <v>S2</v>
      </c>
      <c r="C8" s="9" t="str">
        <f t="shared" ref="C8:C17" si="1">IF($E8&lt;&gt;"",IF(ISNUMBER(SEARCH("Hall Operation",$K8)),"-",IF($E8-715&lt;0,VLOOKUP($B$3,$E$63:$J$74,6,FALSE),IF($E8-2129&gt;0,VLOOKUP($L$3,$E$63:$J$74,6,FALSE),""))),"")</f>
        <v>-</v>
      </c>
      <c r="D8" s="27" t="s">
        <v>623</v>
      </c>
      <c r="E8" s="172" t="str">
        <f>IF($D8&gt;0,VLOOKUP($D8,Flight!$A$1:$E$91,2,FALSE),"")</f>
        <v>0130</v>
      </c>
      <c r="F8" s="46"/>
      <c r="G8" s="345"/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17" si="2">IF($D8=0,"",IF(OR(ISNUMBER(SEARCH("S",$B8)),_xlfn.IFNA(MATCH($D8,$D$107:$D$117,0)&lt;20,"")=TRUE),"&lt;   Hall Operation   &gt;",""))</f>
        <v>&lt;   Hall Operation   &gt;</v>
      </c>
      <c r="L8" s="166"/>
      <c r="M8" s="166"/>
      <c r="N8" s="173"/>
    </row>
    <row r="9" spans="1:16" ht="16.5" customHeight="1">
      <c r="A9" s="251" t="s">
        <v>955</v>
      </c>
      <c r="B9" s="251" t="str">
        <f t="shared" si="0"/>
        <v>S2</v>
      </c>
      <c r="C9" s="251" t="s">
        <v>955</v>
      </c>
      <c r="D9" s="252" t="s">
        <v>624</v>
      </c>
      <c r="E9" s="253" t="str">
        <f>IF($D9&gt;0,VLOOKUP($D9,Flight!$A$1:$E$91,2,FALSE),"")</f>
        <v>0545</v>
      </c>
      <c r="F9" s="458" t="s">
        <v>1015</v>
      </c>
      <c r="G9" s="459"/>
      <c r="H9" s="254" t="str">
        <f>IF($D9&gt;0,VLOOKUP($D9,Flight!$A$1:$E$91,3,FALSE),"")</f>
        <v>CGK</v>
      </c>
      <c r="I9" s="254" t="str">
        <f>IF($D9&gt;0,IF(VLOOKUP($D9,Flight!$A$1:$E$91,4,FALSE)&gt;1,VLOOKUP($D9,Flight!$A$1:$E92,4,FALSE),""),"")</f>
        <v/>
      </c>
      <c r="J9" s="254" t="str">
        <f>IF($D9&gt;0,IF(VLOOKUP($D9,Flight!$A$1:$E$91,5,FALSE)&gt;1,VLOOKUP($D9,Flight!$A$1:$E$91,5,FALSE),""),"")</f>
        <v/>
      </c>
      <c r="K9" s="450" t="s">
        <v>928</v>
      </c>
      <c r="L9" s="451"/>
      <c r="M9" s="449"/>
    </row>
    <row r="10" spans="1:16">
      <c r="A10" s="251" t="s">
        <v>955</v>
      </c>
      <c r="B10" s="251" t="str">
        <f t="shared" si="0"/>
        <v>S2</v>
      </c>
      <c r="C10" s="251" t="s">
        <v>955</v>
      </c>
      <c r="D10" s="252" t="s">
        <v>625</v>
      </c>
      <c r="E10" s="253" t="str">
        <f>IF($D10&gt;0,VLOOKUP($D10,Flight!$A$1:$E$91,2,FALSE),"")</f>
        <v>0555</v>
      </c>
      <c r="F10" s="460"/>
      <c r="G10" s="461"/>
      <c r="H10" s="254" t="str">
        <f>IF($D10&gt;0,VLOOKUP($D10,Flight!$A$1:$E$91,3,FALSE),"")</f>
        <v>BKK</v>
      </c>
      <c r="I10" s="254" t="str">
        <f>IF($D10&gt;0,IF(VLOOKUP($D10,Flight!$A$1:$E$91,4,FALSE)&gt;1,VLOOKUP($D10,Flight!$A$1:$E93,4,FALSE),""),"")</f>
        <v/>
      </c>
      <c r="J10" s="254" t="str">
        <f>IF($D10&gt;0,IF(VLOOKUP($D10,Flight!$A$1:$E$91,5,FALSE)&gt;1,VLOOKUP($D10,Flight!$A$1:$E$91,5,FALSE),""),"")</f>
        <v/>
      </c>
      <c r="K10" s="452"/>
      <c r="L10" s="453"/>
      <c r="M10" s="454"/>
    </row>
    <row r="11" spans="1:16">
      <c r="A11" s="251" t="s">
        <v>955</v>
      </c>
      <c r="B11" s="251" t="str">
        <f t="shared" si="0"/>
        <v>S2</v>
      </c>
      <c r="C11" s="251" t="s">
        <v>955</v>
      </c>
      <c r="D11" s="252" t="s">
        <v>640</v>
      </c>
      <c r="E11" s="253" t="str">
        <f>IF($D11&gt;0,VLOOKUP($D11,Flight!$A$1:$E$91,2,FALSE),"")</f>
        <v>0615</v>
      </c>
      <c r="F11" s="460"/>
      <c r="G11" s="461"/>
      <c r="H11" s="254" t="str">
        <f>IF($D11&gt;0,VLOOKUP($D11,Flight!$A$1:$E$91,3,FALSE),"")</f>
        <v>DEL</v>
      </c>
      <c r="I11" s="254" t="str">
        <f>IF($D11&gt;0,IF(VLOOKUP($D11,Flight!$A$1:$E$91,4,FALSE)&gt;1,VLOOKUP($D11,Flight!$A$1:$E94,4,FALSE),""),"")</f>
        <v/>
      </c>
      <c r="J11" s="254" t="str">
        <f>IF($D11&gt;0,IF(VLOOKUP($D11,Flight!$A$1:$E$91,5,FALSE)&gt;1,VLOOKUP($D11,Flight!$A$1:$E$91,5,FALSE),""),"")</f>
        <v/>
      </c>
      <c r="K11" s="452"/>
      <c r="L11" s="453"/>
      <c r="M11" s="454"/>
    </row>
    <row r="12" spans="1:16">
      <c r="A12" s="251" t="s">
        <v>955</v>
      </c>
      <c r="B12" s="251" t="str">
        <f t="shared" si="0"/>
        <v>S2</v>
      </c>
      <c r="C12" s="251" t="s">
        <v>955</v>
      </c>
      <c r="D12" s="252" t="s">
        <v>641</v>
      </c>
      <c r="E12" s="253" t="str">
        <f>IF($D12&gt;0,VLOOKUP($D12,Flight!$A$1:$E$91,2,FALSE),"")</f>
        <v>0640</v>
      </c>
      <c r="F12" s="462"/>
      <c r="G12" s="463"/>
      <c r="H12" s="254" t="str">
        <f>IF($D12&gt;0,VLOOKUP($D12,Flight!$A$1:$E$91,3,FALSE),"")</f>
        <v>DEL</v>
      </c>
      <c r="I12" s="254" t="str">
        <f>IF($D12&gt;0,IF(VLOOKUP($D12,Flight!$A$1:$E$91,4,FALSE)&gt;1,VLOOKUP($D12,Flight!$A$1:$E95,4,FALSE),""),"")</f>
        <v/>
      </c>
      <c r="J12" s="254" t="str">
        <f>IF($D12&gt;0,IF(VLOOKUP($D12,Flight!$A$1:$E$91,5,FALSE)&gt;1,VLOOKUP($D12,Flight!$A$1:$E$91,5,FALSE),""),"")</f>
        <v/>
      </c>
      <c r="K12" s="455"/>
      <c r="L12" s="456"/>
      <c r="M12" s="457"/>
    </row>
    <row r="13" spans="1:16">
      <c r="A13" s="9">
        <f>IF($F13="Wavied","-",IF($D13=0,"",ROW($A13)-ROW($A$8)+1-COUNTIF($A$8:$A12,"@")-COUNTIF($A$8:$A12,"-")))</f>
        <v>2</v>
      </c>
      <c r="B13" s="9" t="str">
        <f t="shared" si="0"/>
        <v>S2</v>
      </c>
      <c r="C13" s="9" t="str">
        <f t="shared" si="1"/>
        <v>-</v>
      </c>
      <c r="D13" s="27" t="s">
        <v>626</v>
      </c>
      <c r="E13" s="172" t="str">
        <f>IF($D13&gt;0,VLOOKUP($D13,Flight!$A$1:$E$91,2,FALSE),"")</f>
        <v>0700</v>
      </c>
      <c r="F13" s="46"/>
      <c r="G13" s="43" t="str">
        <f t="shared" ref="G13:G43" si="3">IF(A13="@",IF(H13="ZYK","Berth 3",IF(H13="HKM","Bay 7","")),"")</f>
        <v/>
      </c>
      <c r="H13" s="44" t="str">
        <f>IF($D13&gt;0,VLOOKUP($D13,Flight!$A$1:$E$91,3,FALSE),"")</f>
        <v>BOM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f>IF($F14="Wavied","-",IF($D14=0,"",ROW($A14)-ROW($A$8)+1-COUNTIF($A$8:$A13,"@")-COUNTIF($A$8:$A13,"-")))</f>
        <v>3</v>
      </c>
      <c r="B14" s="9" t="s">
        <v>634</v>
      </c>
      <c r="C14" s="9" t="str">
        <f t="shared" si="1"/>
        <v>-</v>
      </c>
      <c r="D14" s="27" t="s">
        <v>369</v>
      </c>
      <c r="E14" s="172" t="str">
        <f>IF($D14&gt;0,VLOOKUP($D14,Flight!$A$1:$E$91,2,FALSE),"")</f>
        <v>0905</v>
      </c>
      <c r="F14" s="46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>IF($F15="Wavied","-",IF($D15=0,"",ROW($A15)-ROW($A$8)+1-COUNTIF($A$8:$A14,"@")-COUNTIF($A$8:$A14,"-")))</f>
        <v>4</v>
      </c>
      <c r="B15" s="9" t="s">
        <v>635</v>
      </c>
      <c r="C15" s="9" t="str">
        <f t="shared" si="1"/>
        <v>-</v>
      </c>
      <c r="D15" s="27" t="s">
        <v>370</v>
      </c>
      <c r="E15" s="172" t="str">
        <f>IF($D15&gt;0,VLOOKUP($D15,Flight!$A$1:$E$91,2,FALSE),"")</f>
        <v>0935</v>
      </c>
      <c r="F15" s="46"/>
      <c r="G15" s="43" t="str">
        <f t="shared" si="3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 ht="16.5" customHeight="1">
      <c r="A16" s="9">
        <f>IF($F16="Wavied","-",IF($D16=0,"",ROW($A16)-ROW($A$8)+1-COUNTIF($A$8:$A15,"@")-COUNTIF($A$8:$A15,"-")))</f>
        <v>5</v>
      </c>
      <c r="B16" s="9" t="s">
        <v>636</v>
      </c>
      <c r="C16" s="9" t="str">
        <f t="shared" si="1"/>
        <v>-</v>
      </c>
      <c r="D16" s="27" t="s">
        <v>394</v>
      </c>
      <c r="E16" s="172" t="str">
        <f>IF($D16&gt;0,VLOOKUP($D16,Flight!$A$1:$E$91,2,FALSE),"")</f>
        <v>0950</v>
      </c>
      <c r="F16" s="45"/>
      <c r="G16" s="43" t="str">
        <f t="shared" si="3"/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IF($D16&gt;0,IF(VLOOKUP($D16,Flight!$A$1:$E$91,4,FALSE)&gt;1,VLOOKUP($D16,Flight!$A$1:$E100,4,FALSE),""),"")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>
      <c r="A17" s="9">
        <f>IF($F17="Wavied","-",IF($D17=0,"",ROW($A17)-ROW($A$8)+1-COUNTIF($A$8:$A16,"@")-COUNTIF($A$8:$A16,"-")))</f>
        <v>6</v>
      </c>
      <c r="B17" s="9" t="s">
        <v>636</v>
      </c>
      <c r="C17" s="9" t="str">
        <f t="shared" si="1"/>
        <v>-</v>
      </c>
      <c r="D17" s="27" t="s">
        <v>642</v>
      </c>
      <c r="E17" s="172" t="str">
        <f>IF($D17&gt;0,VLOOKUP($D17,Flight!$A$1:$E$91,2,FALSE),"")</f>
        <v>0955</v>
      </c>
      <c r="F17" s="45"/>
      <c r="G17" s="43" t="str">
        <f t="shared" si="3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IF($D17&gt;0,IF(VLOOKUP($D17,Flight!$A$1:$E$91,4,FALSE)&gt;1,VLOOKUP($D17,Flight!$A$1:$E101,4,FALSE),""),"")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 s="260" customFormat="1">
      <c r="A18" s="9">
        <f>IF($F18="Wavied","-",IF($D18=0,"",ROW($A18)-ROW($A$8)+1-COUNTIF($A$8:$A17,"@")-COUNTIF($A$8:$A17,"-")))</f>
        <v>7</v>
      </c>
      <c r="B18" s="257" t="s">
        <v>958</v>
      </c>
      <c r="C18" s="9" t="s">
        <v>652</v>
      </c>
      <c r="D18" s="27" t="s">
        <v>643</v>
      </c>
      <c r="E18" s="172" t="str">
        <f>IF($D18&gt;0,VLOOKUP($D18,Flight!$A$1:$E$91,2,FALSE),"")</f>
        <v>1000</v>
      </c>
      <c r="F18" s="45">
        <v>1013</v>
      </c>
      <c r="G18" s="43" t="s">
        <v>957</v>
      </c>
      <c r="H18" s="44" t="str">
        <f>IF($D18&gt;0,VLOOKUP($D18,Flight!$A$1:$E$91,3,FALSE),"")</f>
        <v>DMK</v>
      </c>
      <c r="I18" s="44"/>
      <c r="J18" s="44"/>
      <c r="K18" s="166">
        <v>1</v>
      </c>
      <c r="L18" s="166">
        <v>0</v>
      </c>
      <c r="M18" s="166">
        <v>3</v>
      </c>
      <c r="O18" s="114"/>
    </row>
    <row r="19" spans="1:15">
      <c r="A19" s="9">
        <f>IF($F19="Wavied","-",IF($D19=0,"",ROW($A19)-ROW($A$8)+1-COUNTIF($A$8:$A18,"@")-COUNTIF($A$8:$A18,"-")))</f>
        <v>8</v>
      </c>
      <c r="B19" s="9" t="str">
        <f>IF($E19&lt;&gt;"",IF($E19-715&lt;0,VLOOKUP($B$3,$E$63:$J$74,6,FALSE),IF(AND($E19-2130&gt;0,_xlfn.IFNA(MATCH($D19,$D$107:$D$117,0)&lt;20,"")=TRUE),VLOOKUP($L$3,$E$63:$J$74,6,FALSE),"-")),"")</f>
        <v>-</v>
      </c>
      <c r="C19" s="9" t="s">
        <v>653</v>
      </c>
      <c r="D19" s="27" t="s">
        <v>373</v>
      </c>
      <c r="E19" s="172" t="str">
        <f>IF($D19&gt;0,VLOOKUP($D19,Flight!$A$1:$E$91,2,FALSE),"")</f>
        <v>1010</v>
      </c>
      <c r="F19" s="45"/>
      <c r="G19" s="43" t="str">
        <f t="shared" si="3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>IF($D19=0,"",IF(OR(ISNUMBER(SEARCH("S",$B19)),_xlfn.IFNA(MATCH($D19,$D$107:$D$117,0)&lt;20,"")=TRUE),"&lt;   Hall Operation   &gt;",""))</f>
        <v/>
      </c>
      <c r="L19" s="166"/>
      <c r="M19" s="166"/>
      <c r="O19" s="114"/>
    </row>
    <row r="20" spans="1:15">
      <c r="A20" s="9">
        <f>IF($F20="Wavied","-",IF($D20=0,"",ROW($A20)-ROW($A$8)+1-COUNTIF($A$8:$A19,"@")-COUNTIF($A$8:$A19,"-")))</f>
        <v>9</v>
      </c>
      <c r="B20" s="9" t="str">
        <f>IF($E20&lt;&gt;"",IF($E20-715&lt;0,VLOOKUP($B$3,$E$63:$J$74,6,FALSE),IF(AND($E20-2130&gt;0,_xlfn.IFNA(MATCH($D20,$D$107:$D$117,0)&lt;20,"")=TRUE),VLOOKUP($L$3,$E$63:$J$74,6,FALSE),"-")),"")</f>
        <v>-</v>
      </c>
      <c r="C20" s="9" t="s">
        <v>637</v>
      </c>
      <c r="D20" s="9" t="s">
        <v>374</v>
      </c>
      <c r="E20" s="172" t="str">
        <f>IF($D20&gt;0,VLOOKUP($D20,Flight!$A$1:$E$91,2,FALSE),"")</f>
        <v>1115</v>
      </c>
      <c r="F20" s="45"/>
      <c r="G20" s="43" t="str">
        <f t="shared" si="3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>IF($D20=0,"",IF(OR(ISNUMBER(SEARCH("S",$B20)),_xlfn.IFNA(MATCH($D20,$D$107:$D$117,0)&lt;20,"")=TRUE),"&lt;   Hall Operation   &gt;",""))</f>
        <v/>
      </c>
      <c r="L20" s="166"/>
      <c r="M20" s="166"/>
      <c r="O20" s="114"/>
    </row>
    <row r="21" spans="1:15" ht="15.75" customHeight="1">
      <c r="A21" s="251" t="s">
        <v>1014</v>
      </c>
      <c r="B21" s="251" t="str">
        <f>IF($E21&lt;&gt;"",IF($E21-715&lt;0,VLOOKUP($B$3,$E$63:$J$74,6,FALSE),IF(AND($E21-2130&gt;0,_xlfn.IFNA(MATCH($D21,$D$107:$D$117,0)&lt;20,"")=TRUE),VLOOKUP($L$3,$E$63:$J$74,6,FALSE),"-")),"")</f>
        <v>-</v>
      </c>
      <c r="C21" s="251" t="s">
        <v>634</v>
      </c>
      <c r="D21" s="251" t="s">
        <v>375</v>
      </c>
      <c r="E21" s="253" t="str">
        <f>IF($D21&gt;0,VLOOKUP($D21,Flight!$A$1:$E$91,2,FALSE),"")</f>
        <v>1145</v>
      </c>
      <c r="F21" s="404" t="s">
        <v>1015</v>
      </c>
      <c r="G21" s="465"/>
      <c r="H21" s="254" t="str">
        <f>IF($D21&gt;0,VLOOKUP($D21,Flight!$A$1:$E$91,3,FALSE),"")</f>
        <v>BKK</v>
      </c>
      <c r="I21" s="254" t="str">
        <f>IF($D21&gt;0,IF(VLOOKUP($D21,Flight!$A$1:$E$91,4,FALSE)&gt;1,VLOOKUP($D21,Flight!$A$1:$E104,4,FALSE),""),"")</f>
        <v/>
      </c>
      <c r="J21" s="254" t="str">
        <f>IF($D21&gt;0,IF(VLOOKUP($D21,Flight!$A$1:$E$91,5,FALSE)&gt;1,VLOOKUP($D21,Flight!$A$1:$E$91,5,FALSE),""),"")</f>
        <v/>
      </c>
      <c r="K21" s="466" t="s">
        <v>1016</v>
      </c>
      <c r="L21" s="467"/>
      <c r="M21" s="468"/>
      <c r="O21" s="114"/>
    </row>
    <row r="22" spans="1:15" s="260" customFormat="1" ht="15.75" customHeight="1">
      <c r="A22" s="9">
        <f>IF($F22="Wavied","-",IF($D22=0,"",ROW($A22)-ROW($A$8)+1-COUNTIF($A$8:$A21,"@")-COUNTIF($A$8:$A21,"-")))</f>
        <v>10</v>
      </c>
      <c r="B22" s="9"/>
      <c r="C22" s="9" t="s">
        <v>652</v>
      </c>
      <c r="D22" s="9" t="s">
        <v>629</v>
      </c>
      <c r="E22" s="172" t="str">
        <f>IF($D22&gt;0,VLOOKUP($D22,Flight!$A$1:$E$91,2,FALSE),"")</f>
        <v>1210</v>
      </c>
      <c r="F22" s="44"/>
      <c r="G22" s="43"/>
      <c r="H22" s="44" t="str">
        <f>IF($D22&gt;0,VLOOKUP($D22,Flight!$A$1:$E$91,3,FALSE),"")</f>
        <v>BKK</v>
      </c>
      <c r="I22" s="44"/>
      <c r="J22" s="44"/>
      <c r="K22" s="166"/>
      <c r="L22" s="166"/>
      <c r="M22" s="166"/>
      <c r="O22" s="114"/>
    </row>
    <row r="23" spans="1:15">
      <c r="A23" s="9">
        <f>IF($F23="Wavied","-",IF($D23=0,"",ROW($A23)-ROW($A$8)+1-COUNTIF($A$8:$A22,"@")-COUNTIF($A$8:$A22,"-")))</f>
        <v>11</v>
      </c>
      <c r="B23" s="9" t="str">
        <f>IF($E23&lt;&gt;"",IF($E23-715&lt;0,VLOOKUP($B$3,$E$63:$J$74,6,FALSE),IF(AND($E23-2130&gt;0,_xlfn.IFNA(MATCH($D23,$D$107:$D$117,0)&lt;20,"")=TRUE),VLOOKUP($L$3,$E$63:$J$74,6,FALSE),"-")),"")</f>
        <v>-</v>
      </c>
      <c r="C23" s="9" t="s">
        <v>653</v>
      </c>
      <c r="D23" s="9" t="s">
        <v>376</v>
      </c>
      <c r="E23" s="172" t="str">
        <f>IF($D23&gt;0,VLOOKUP($D23,Flight!$A$1:$E$91,2,FALSE),"")</f>
        <v>1305</v>
      </c>
      <c r="F23" s="44"/>
      <c r="G23" s="43" t="str">
        <f t="shared" si="3"/>
        <v/>
      </c>
      <c r="H23" s="44" t="str">
        <f>IF($D23&gt;0,VLOOKUP($D23,Flight!$A$1:$E$91,3,FALSE),"")</f>
        <v>DMK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ref="K23:K31" si="4">IF($D23=0,"",IF(OR(ISNUMBER(SEARCH("S",$B23)),_xlfn.IFNA(MATCH($D23,$D$107:$D$117,0)&lt;20,"")=TRUE),"&lt;   Hall Operation   &gt;",""))</f>
        <v/>
      </c>
      <c r="L23" s="166"/>
      <c r="M23" s="166"/>
      <c r="O23" s="114"/>
    </row>
    <row r="24" spans="1:15">
      <c r="A24" s="215">
        <v>13</v>
      </c>
      <c r="B24" s="215" t="s">
        <v>1013</v>
      </c>
      <c r="C24" s="215"/>
      <c r="D24" s="10" t="s">
        <v>377</v>
      </c>
      <c r="E24" s="353">
        <v>1310</v>
      </c>
      <c r="F24" s="352"/>
      <c r="G24" s="277" t="str">
        <f t="shared" si="3"/>
        <v/>
      </c>
      <c r="H24" s="350" t="str">
        <f>IF($D24&gt;0,VLOOKUP($D24,Flight!$A$1:$E$91,3,FALSE),"")</f>
        <v>DEL</v>
      </c>
      <c r="I24" s="350" t="str">
        <f>IF($D24&gt;0,IF(VLOOKUP($D24,Flight!$A$1:$E$91,4,FALSE)&gt;1,VLOOKUP($D24,Flight!$A$1:$E106,4,FALSE),""),"")</f>
        <v/>
      </c>
      <c r="J24" s="351"/>
      <c r="K24" s="166" t="str">
        <f t="shared" si="4"/>
        <v>&lt;   Hall Operation   &gt;</v>
      </c>
      <c r="L24" s="166"/>
      <c r="M24" s="166"/>
      <c r="O24" s="114"/>
    </row>
    <row r="25" spans="1:15">
      <c r="A25" s="9">
        <f>IF($F25="Wavied","-",IF($D25=0,"",ROW($A25)-ROW($A$8)+1-COUNTIF($A$8:$A24,"@")-COUNTIF($A$8:$A24,"-")))</f>
        <v>13</v>
      </c>
      <c r="B25" s="9" t="str">
        <f>IF($E25&lt;&gt;"",IF($E25-715&lt;0,VLOOKUP($B$3,$E$63:$J$74,6,FALSE),IF(AND($E25-2130&gt;0,_xlfn.IFNA(MATCH($D25,$D$107:$D$117,0)&lt;20,"")=TRUE),VLOOKUP($L$3,$E$63:$J$74,6,FALSE),"-")),"")</f>
        <v>-</v>
      </c>
      <c r="C25" s="9" t="s">
        <v>637</v>
      </c>
      <c r="D25" s="27" t="s">
        <v>378</v>
      </c>
      <c r="E25" s="172" t="str">
        <f>IF($D25&gt;0,VLOOKUP($D25,Flight!$A$1:$E$91,2,FALSE),"")</f>
        <v>1415</v>
      </c>
      <c r="F25" s="45"/>
      <c r="G25" s="43" t="str">
        <f t="shared" si="3"/>
        <v/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IF($D25&gt;0,IF(VLOOKUP($D25,Flight!$A$1:$E$91,4,FALSE)&gt;1,VLOOKUP($D25,Flight!$A$1:$E107,4,FALSE),""),"")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4"/>
        <v/>
      </c>
      <c r="L25" s="166"/>
      <c r="M25" s="166"/>
      <c r="O25" s="114"/>
    </row>
    <row r="26" spans="1:15">
      <c r="A26" s="9">
        <f>IF($F26="Wavied","-",IF($D26=0,"",ROW($A26)-ROW($A$8)+1-COUNTIF($A$8:$A25,"@")-COUNTIF($A$8:$A25,"-")))</f>
        <v>14</v>
      </c>
      <c r="B26" s="9" t="str">
        <f>IF($E26&lt;&gt;"",IF($E26-715&lt;0,VLOOKUP($B$3,$E$63:$J$74,6,FALSE),IF(AND($E26-2130&gt;0,_xlfn.IFNA(MATCH($D26,$D$107:$D$117,0)&lt;20,"")=TRUE),VLOOKUP($L$3,$E$63:$J$74,6,FALSE),"-")),"")</f>
        <v>-</v>
      </c>
      <c r="C26" s="9" t="s">
        <v>207</v>
      </c>
      <c r="D26" s="27" t="s">
        <v>379</v>
      </c>
      <c r="E26" s="172" t="str">
        <f>IF($D26&gt;0,VLOOKUP($D26,Flight!$A$1:$E$91,2,FALSE),"")</f>
        <v>1420</v>
      </c>
      <c r="F26" s="45"/>
      <c r="G26" s="43" t="str">
        <f t="shared" si="3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IF($D26&gt;0,IF(VLOOKUP($D26,Flight!$A$1:$E$91,4,FALSE)&gt;1,VLOOKUP($D26,Flight!$A$1:$E108,4,FALSE),""),"")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4"/>
        <v/>
      </c>
      <c r="L26" s="166"/>
      <c r="M26" s="166"/>
      <c r="O26" s="114"/>
    </row>
    <row r="27" spans="1:15">
      <c r="A27" s="9">
        <f>IF($F27="Wavied","-",IF($D27=0,"",ROW($A27)-ROW($A$8)+1-COUNTIF($A$8:$A26,"@")-COUNTIF($A$8:$A26,"-")))</f>
        <v>15</v>
      </c>
      <c r="B27" s="9" t="str">
        <f>IF($E27&lt;&gt;"",IF($E27-715&lt;0,VLOOKUP($B$3,$E$63:$J$74,6,FALSE),IF(AND($E27-2130&gt;0,_xlfn.IFNA(MATCH($D27,$D$107:$D$117,0)&lt;20,"")=TRUE),VLOOKUP($L$3,$E$63:$J$74,6,FALSE),"-")),"")</f>
        <v>-</v>
      </c>
      <c r="C27" s="9" t="s">
        <v>164</v>
      </c>
      <c r="D27" s="27" t="s">
        <v>630</v>
      </c>
      <c r="E27" s="172" t="str">
        <f>IF($D27&gt;0,VLOOKUP($D27,Flight!$A$1:$E$91,2,FALSE),"")</f>
        <v>1450</v>
      </c>
      <c r="F27" s="44"/>
      <c r="G27" s="43" t="str">
        <f t="shared" si="3"/>
        <v/>
      </c>
      <c r="H27" s="44" t="str">
        <f>IF($D27&gt;0,VLOOKUP($D27,Flight!$A$1:$E$91,3,FALSE),"")</f>
        <v>BKK</v>
      </c>
      <c r="I27" s="44" t="str">
        <f>IF($D27&gt;0,IF(VLOOKUP($D27,Flight!$A$1:$E$91,4,FALSE)&gt;1,VLOOKUP($D27,Flight!$A$1:$E109,4,FALSE),""),"")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4"/>
        <v/>
      </c>
      <c r="L27" s="166"/>
      <c r="M27" s="166"/>
      <c r="O27" s="114"/>
    </row>
    <row r="28" spans="1:15">
      <c r="A28" s="9">
        <f>IF($F28="Wavied","-",IF($D28=0,"",ROW($A28)-ROW($A$8)+1-COUNTIF($A$8:$A27,"@")-COUNTIF($A$8:$A27,"-")))</f>
        <v>16</v>
      </c>
      <c r="B28" s="9" t="str">
        <f>IF($E28&lt;&gt;"",IF($E28-715&lt;0,VLOOKUP($B$3,$E$63:$J$74,6,FALSE),IF(AND($E28-2130&gt;0,_xlfn.IFNA(MATCH($D28,$D$107:$D$117,0)&lt;20,"")=TRUE),VLOOKUP($L$3,$E$63:$J$74,6,FALSE),"-")),"")</f>
        <v>-</v>
      </c>
      <c r="C28" s="9" t="s">
        <v>165</v>
      </c>
      <c r="D28" s="27" t="s">
        <v>644</v>
      </c>
      <c r="E28" s="172" t="str">
        <f>IF($D28&gt;0,VLOOKUP($D28,Flight!$A$1:$E$91,2,FALSE),"")</f>
        <v>1510</v>
      </c>
      <c r="F28" s="45"/>
      <c r="G28" s="43" t="str">
        <f t="shared" si="3"/>
        <v/>
      </c>
      <c r="H28" s="44" t="str">
        <f>IF($D28&gt;0,VLOOKUP($D28,Flight!$A$1:$E$91,3,FALSE),"")</f>
        <v>DOH</v>
      </c>
      <c r="I28" s="44" t="str">
        <f>IF($D28&gt;0,IF(VLOOKUP($D28,Flight!$A$1:$E$91,4,FALSE)&gt;1,VLOOKUP($D28,Flight!$A$1:$E110,4,FALSE),""),"")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4"/>
        <v/>
      </c>
      <c r="L28" s="166"/>
      <c r="M28" s="166"/>
      <c r="O28" s="114"/>
    </row>
    <row r="29" spans="1:15" s="276" customFormat="1">
      <c r="A29" s="263" t="s">
        <v>898</v>
      </c>
      <c r="B29" s="263"/>
      <c r="C29" s="263" t="s">
        <v>760</v>
      </c>
      <c r="D29" s="264" t="s">
        <v>257</v>
      </c>
      <c r="E29" s="265">
        <v>1530</v>
      </c>
      <c r="F29" s="268"/>
      <c r="G29" s="267"/>
      <c r="H29" s="266" t="s">
        <v>761</v>
      </c>
      <c r="I29" s="44"/>
      <c r="J29" s="44"/>
      <c r="K29" s="166"/>
      <c r="L29" s="166"/>
      <c r="M29" s="166"/>
      <c r="O29" s="114"/>
    </row>
    <row r="30" spans="1:15" s="276" customFormat="1">
      <c r="A30" s="263" t="s">
        <v>898</v>
      </c>
      <c r="B30" s="263"/>
      <c r="C30" s="263" t="s">
        <v>760</v>
      </c>
      <c r="D30" s="264" t="s">
        <v>271</v>
      </c>
      <c r="E30" s="265">
        <v>1545</v>
      </c>
      <c r="F30" s="268"/>
      <c r="G30" s="267"/>
      <c r="H30" s="266" t="s">
        <v>762</v>
      </c>
      <c r="I30" s="44"/>
      <c r="J30" s="44"/>
      <c r="K30" s="166"/>
      <c r="L30" s="166"/>
      <c r="M30" s="166"/>
      <c r="O30" s="114"/>
    </row>
    <row r="31" spans="1:15">
      <c r="A31" s="9">
        <f>IF($F31="Wavied","-",IF($D31=0,"",ROW($A31)-ROW($A$8)+1-COUNTIF($A$8:$A30,"@")-COUNTIF($A$8:$A30,"-")))</f>
        <v>17</v>
      </c>
      <c r="B31" s="9" t="str">
        <f>IF($E31&lt;&gt;"",IF($E31-715&lt;0,VLOOKUP($B$3,$E$63:$J$74,6,FALSE),IF(AND($E31-2130&gt;0,_xlfn.IFNA(MATCH($D31,$D$107:$D$117,0)&lt;20,"")=TRUE),VLOOKUP($L$3,$E$63:$J$74,6,FALSE),"-")),"")</f>
        <v>-</v>
      </c>
      <c r="C31" s="9" t="s">
        <v>207</v>
      </c>
      <c r="D31" s="27" t="s">
        <v>395</v>
      </c>
      <c r="E31" s="172" t="str">
        <f>IF($D31&gt;0,VLOOKUP($D31,Flight!$A$1:$E$91,2,FALSE),"")</f>
        <v>1645</v>
      </c>
      <c r="F31" s="46"/>
      <c r="G31" s="43" t="str">
        <f t="shared" si="3"/>
        <v/>
      </c>
      <c r="H31" s="44" t="str">
        <f>IF($D31&gt;0,VLOOKUP($D31,Flight!$A$1:$E$91,3,FALSE),"")</f>
        <v>ADD</v>
      </c>
      <c r="I31" s="44" t="str">
        <f>IF($D31&gt;0,IF(VLOOKUP($D31,Flight!$A$1:$E$91,4,FALSE)&gt;1,VLOOKUP($D31,Flight!$A$1:$E115,4,FALSE),""),"")</f>
        <v>BKK</v>
      </c>
      <c r="J31" s="44" t="str">
        <f>IF($D31&gt;0,IF(VLOOKUP($D31,Flight!$A$1:$E$91,5,FALSE)&gt;1,VLOOKUP($D31,Flight!$A$1:$E$91,5,FALSE),""),"")</f>
        <v/>
      </c>
      <c r="K31" s="166" t="str">
        <f t="shared" si="4"/>
        <v/>
      </c>
      <c r="L31" s="166"/>
      <c r="M31" s="166"/>
    </row>
    <row r="32" spans="1:15" s="260" customFormat="1">
      <c r="A32" s="9">
        <f>IF($F32="Wavied","-",IF($D32=0,"",ROW($A32)-ROW($A$8)+1-COUNTIF($A$8:$A31,"@")-COUNTIF($A$8:$A31,"-")))</f>
        <v>18</v>
      </c>
      <c r="B32" s="9"/>
      <c r="C32" s="9" t="s">
        <v>818</v>
      </c>
      <c r="D32" s="27" t="s">
        <v>645</v>
      </c>
      <c r="E32" s="172" t="str">
        <f>IF($D32&gt;0,VLOOKUP($D32,Flight!$A$1:$E$91,2,FALSE),"")</f>
        <v>1720</v>
      </c>
      <c r="F32" s="46"/>
      <c r="G32" s="43"/>
      <c r="H32" s="44" t="str">
        <f>IF($D32&gt;0,VLOOKUP($D32,Flight!$A$1:$E$91,3,FALSE),"")</f>
        <v>MNL</v>
      </c>
      <c r="I32" s="44"/>
      <c r="J32" s="44"/>
      <c r="K32" s="166"/>
      <c r="L32" s="166"/>
      <c r="M32" s="166"/>
      <c r="O32" s="112"/>
    </row>
    <row r="33" spans="1:18" s="260" customFormat="1">
      <c r="A33" s="9">
        <f>IF($F33="Wavied","-",IF($D33=0,"",ROW($A33)-ROW($A$8)+1-COUNTIF($A$8:$A32,"@")-COUNTIF($A$8:$A32,"-")))</f>
        <v>19</v>
      </c>
      <c r="B33" s="9"/>
      <c r="C33" s="9" t="s">
        <v>819</v>
      </c>
      <c r="D33" s="27" t="s">
        <v>646</v>
      </c>
      <c r="E33" s="172" t="str">
        <f>IF($D33&gt;0,VLOOKUP($D33,Flight!$A$1:$E$91,2,FALSE),"")</f>
        <v>1755</v>
      </c>
      <c r="F33" s="46"/>
      <c r="G33" s="43"/>
      <c r="H33" s="44" t="str">
        <f>IF($D33&gt;0,VLOOKUP($D33,Flight!$A$1:$E$91,3,FALSE),"")</f>
        <v>KUL</v>
      </c>
      <c r="I33" s="44"/>
      <c r="J33" s="44"/>
      <c r="K33" s="166"/>
      <c r="L33" s="166"/>
      <c r="M33" s="166"/>
      <c r="O33" s="112"/>
    </row>
    <row r="34" spans="1:18" s="260" customFormat="1">
      <c r="A34" s="9">
        <f>IF($F34="Wavied","-",IF($D34=0,"",ROW($A34)-ROW($A$8)+1-COUNTIF($A$8:$A33,"@")-COUNTIF($A$8:$A33,"-")))</f>
        <v>20</v>
      </c>
      <c r="B34" s="9"/>
      <c r="C34" s="9" t="s">
        <v>820</v>
      </c>
      <c r="D34" s="27" t="s">
        <v>647</v>
      </c>
      <c r="E34" s="172" t="str">
        <f>IF($D34&gt;0,VLOOKUP($D34,Flight!$A$1:$E$91,2,FALSE),"")</f>
        <v>1805</v>
      </c>
      <c r="F34" s="46"/>
      <c r="G34" s="43"/>
      <c r="H34" s="44" t="str">
        <f>IF($D34&gt;0,VLOOKUP($D34,Flight!$A$1:$E$91,3,FALSE),"")</f>
        <v>DXB</v>
      </c>
      <c r="I34" s="44"/>
      <c r="J34" s="44"/>
      <c r="K34" s="166"/>
      <c r="L34" s="166"/>
      <c r="M34" s="166"/>
      <c r="O34" s="112"/>
    </row>
    <row r="35" spans="1:18" s="260" customFormat="1">
      <c r="A35" s="9">
        <f>IF($F35="Wavied","-",IF($D35=0,"",ROW($A35)-ROW($A$8)+1-COUNTIF($A$8:$A34,"@")-COUNTIF($A$8:$A34,"-")))</f>
        <v>21</v>
      </c>
      <c r="B35" s="9"/>
      <c r="C35" s="9" t="s">
        <v>819</v>
      </c>
      <c r="D35" s="27" t="s">
        <v>648</v>
      </c>
      <c r="E35" s="172" t="str">
        <f>IF($D35&gt;0,VLOOKUP($D35,Flight!$A$1:$E$91,2,FALSE),"")</f>
        <v>1810</v>
      </c>
      <c r="F35" s="46"/>
      <c r="G35" s="43"/>
      <c r="H35" s="44" t="str">
        <f>IF($D35&gt;0,VLOOKUP($D35,Flight!$A$1:$E$91,3,FALSE),"")</f>
        <v>MNL</v>
      </c>
      <c r="I35" s="44"/>
      <c r="J35" s="44"/>
      <c r="K35" s="166"/>
      <c r="L35" s="166"/>
      <c r="M35" s="166"/>
      <c r="O35" s="112"/>
    </row>
    <row r="36" spans="1:18" s="260" customFormat="1">
      <c r="A36" s="9">
        <f>IF($F36="Wavied","-",IF($D36=0,"",ROW($A36)-ROW($A$8)+1-COUNTIF($A$8:$A35,"@")-COUNTIF($A$8:$A35,"-")))</f>
        <v>22</v>
      </c>
      <c r="B36" s="9"/>
      <c r="C36" s="9" t="s">
        <v>820</v>
      </c>
      <c r="D36" s="27" t="s">
        <v>632</v>
      </c>
      <c r="E36" s="172" t="str">
        <f>IF($D36&gt;0,VLOOKUP($D36,Flight!$A$1:$E$91,2,FALSE),"")</f>
        <v>1820</v>
      </c>
      <c r="F36" s="46"/>
      <c r="G36" s="277"/>
      <c r="H36" s="44" t="str">
        <f>IF($D36&gt;0,VLOOKUP($D36,Flight!$A$1:$E$91,3,FALSE),"")</f>
        <v>SIN</v>
      </c>
      <c r="I36" s="44"/>
      <c r="J36" s="44"/>
      <c r="K36" s="166"/>
      <c r="L36" s="166"/>
      <c r="M36" s="166"/>
      <c r="O36" s="112"/>
    </row>
    <row r="37" spans="1:18">
      <c r="A37" s="9">
        <f>IF($F37="Wavied","-",IF($D37=0,"",ROW($A37)-ROW($A$8)+1-COUNTIF($A$8:$A36,"@")-COUNTIF($A$8:$A36,"-")))</f>
        <v>23</v>
      </c>
      <c r="B37" s="9" t="str">
        <f>IF($E37&lt;&gt;"",IF($E37-715&lt;0,VLOOKUP($B$3,$E$63:$J$74,6,FALSE),IF(AND($E37-2130&gt;0,_xlfn.IFNA(MATCH($D37,$D$107:$D$117,0)&lt;20,"")=TRUE),VLOOKUP($L$3,$E$63:$J$74,6,FALSE),"-")),"")</f>
        <v>-</v>
      </c>
      <c r="C37" s="9" t="s">
        <v>819</v>
      </c>
      <c r="D37" s="27" t="s">
        <v>649</v>
      </c>
      <c r="E37" s="172" t="str">
        <f>IF($D37&gt;0,VLOOKUP($D37,Flight!$A$1:$E$91,2,FALSE),"")</f>
        <v>1920</v>
      </c>
      <c r="F37" s="45"/>
      <c r="G37" s="43" t="str">
        <f t="shared" si="3"/>
        <v/>
      </c>
      <c r="H37" s="44" t="str">
        <f>IF($D37&gt;0,VLOOKUP($D37,Flight!$A$1:$E$91,3,FALSE),"")</f>
        <v>DMK</v>
      </c>
      <c r="I37" s="44" t="str">
        <f>IF($D37&gt;0,IF(VLOOKUP($D37,Flight!$A$1:$E$91,4,FALSE)&gt;1,VLOOKUP($D37,Flight!$A$1:$E116,4,FALSE),""),"")</f>
        <v/>
      </c>
      <c r="J37" s="44" t="str">
        <f>IF($D37&gt;0,IF(VLOOKUP($D37,Flight!$A$1:$E$91,5,FALSE)&gt;1,VLOOKUP($D37,Flight!$A$1:$E$91,5,FALSE),""),"")</f>
        <v/>
      </c>
      <c r="K37" s="166" t="str">
        <f>IF($D37=0,"",IF(OR(ISNUMBER(SEARCH("S",$B37)),_xlfn.IFNA(MATCH($D37,$D$107:$D$117,0)&lt;20,"")=TRUE),"&lt;   Hall Operation   &gt;",""))</f>
        <v/>
      </c>
      <c r="L37" s="166"/>
      <c r="M37" s="166"/>
    </row>
    <row r="38" spans="1:18">
      <c r="A38" s="9">
        <f>IF($F38="Wavied","-",IF($D38=0,"",ROW($A38)-ROW($A$8)+1-COUNTIF($A$8:$A37,"@")-COUNTIF($A$8:$A37,"-")))</f>
        <v>24</v>
      </c>
      <c r="B38" s="9" t="str">
        <f>IF($E38&lt;&gt;"",IF($E38-715&lt;0,VLOOKUP($B$3,$E$63:$J$74,6,FALSE),IF(AND($E38-2130&gt;0,_xlfn.IFNA(MATCH($D38,$D$107:$D$117,0)&lt;20,"")=TRUE),VLOOKUP($L$3,$E$63:$J$74,6,FALSE),"-")),"")</f>
        <v>-</v>
      </c>
      <c r="C38" s="9" t="s">
        <v>820</v>
      </c>
      <c r="D38" s="27" t="s">
        <v>388</v>
      </c>
      <c r="E38" s="172" t="str">
        <f>IF($D38&gt;0,VLOOKUP($D38,Flight!$A$1:$E$91,2,FALSE),"")</f>
        <v>1950</v>
      </c>
      <c r="F38" s="45"/>
      <c r="G38" s="43" t="str">
        <f t="shared" si="3"/>
        <v/>
      </c>
      <c r="H38" s="44" t="str">
        <f>IF($D38&gt;0,VLOOKUP($D38,Flight!$A$1:$E$91,3,FALSE),"")</f>
        <v>BKK</v>
      </c>
      <c r="I38" s="44" t="str">
        <f>IF($D38&gt;0,IF(VLOOKUP($D38,Flight!$A$1:$E$91,4,FALSE)&gt;1,VLOOKUP($D38,Flight!$A$1:$E118,4,FALSE),""),"")</f>
        <v/>
      </c>
      <c r="J38" s="44" t="str">
        <f>IF($D38&gt;0,IF(VLOOKUP($D38,Flight!$A$1:$E$91,5,FALSE)&gt;1,VLOOKUP($D38,Flight!$A$1:$E$91,5,FALSE),""),"")</f>
        <v/>
      </c>
      <c r="K38" s="166" t="str">
        <f>IF($D38=0,"",IF(OR(ISNUMBER(SEARCH("S",$B38)),_xlfn.IFNA(MATCH($D38,$D$107:$D$117,0)&lt;20,"")=TRUE),"&lt;   Hall Operation   &gt;",""))</f>
        <v/>
      </c>
      <c r="L38" s="166"/>
      <c r="M38" s="167"/>
      <c r="O38" s="115"/>
      <c r="P38" s="87"/>
    </row>
    <row r="39" spans="1:18" ht="16.5">
      <c r="A39" s="9">
        <f>IF($F39="Wavied","-",IF($D39=0,"",ROW($A39)-ROW($A$8)+1-COUNTIF($A$8:$A38,"@")-COUNTIF($A$8:$A38,"-")))</f>
        <v>25</v>
      </c>
      <c r="B39" s="9" t="str">
        <f>IF($E39&lt;&gt;"",IF($E39-715&lt;0,VLOOKUP($B$3,$E$63:$J$74,6,FALSE),IF(AND($E39-2130&gt;0,_xlfn.IFNA(MATCH($D39,$D$107:$D$117,0)&lt;20,"")=TRUE),VLOOKUP($L$3,$E$63:$J$74,6,FALSE),"-")),"")</f>
        <v>-</v>
      </c>
      <c r="C39" s="9" t="s">
        <v>819</v>
      </c>
      <c r="D39" s="27" t="s">
        <v>389</v>
      </c>
      <c r="E39" s="172" t="str">
        <f>IF($D39&gt;0,VLOOKUP($D39,Flight!$A$1:$E$91,2,FALSE),"")</f>
        <v>2030</v>
      </c>
      <c r="F39" s="45"/>
      <c r="G39" s="43" t="str">
        <f t="shared" si="3"/>
        <v/>
      </c>
      <c r="H39" s="44" t="str">
        <f>IF($D39&gt;0,VLOOKUP($D39,Flight!$A$1:$E$91,3,FALSE),"")</f>
        <v>CGK</v>
      </c>
      <c r="I39" s="44" t="str">
        <f>IF($D39&gt;0,IF(VLOOKUP($D39,Flight!$A$1:$E$91,4,FALSE)&gt;1,VLOOKUP($D39,Flight!$A$1:$E119,4,FALSE),""),"")</f>
        <v/>
      </c>
      <c r="J39" s="44" t="str">
        <f>IF($D39&gt;0,IF(VLOOKUP($D39,Flight!$A$1:$E$91,5,FALSE)&gt;1,VLOOKUP($D39,Flight!$A$1:$E$91,5,FALSE),""),"")</f>
        <v/>
      </c>
      <c r="K39" s="166" t="str">
        <f>IF($D39=0,"",IF(OR(ISNUMBER(SEARCH("S",$B39)),_xlfn.IFNA(MATCH($D39,$D$107:$D$117,0)&lt;20,"")=TRUE),"&lt;   Hall Operation   &gt;",""))</f>
        <v/>
      </c>
      <c r="L39" s="166"/>
      <c r="M39" s="167"/>
      <c r="O39" s="4"/>
      <c r="P39" s="88"/>
      <c r="Q39" s="4"/>
      <c r="R39" s="4"/>
    </row>
    <row r="40" spans="1:18" s="260" customFormat="1" ht="16.5">
      <c r="A40" s="270" t="s">
        <v>953</v>
      </c>
      <c r="B40" s="270" t="s">
        <v>820</v>
      </c>
      <c r="C40" s="270" t="s">
        <v>842</v>
      </c>
      <c r="D40" s="271" t="s">
        <v>650</v>
      </c>
      <c r="E40" s="272" t="str">
        <f>IF($D40&gt;0,VLOOKUP($D40,Flight!$A$1:$E$91,2,FALSE),"")</f>
        <v>2120</v>
      </c>
      <c r="F40" s="439" t="s">
        <v>952</v>
      </c>
      <c r="G40" s="440"/>
      <c r="H40" s="273" t="str">
        <f>IF($D40&gt;0,VLOOKUP($D40,Flight!$A$1:$E$91,3,FALSE),"")</f>
        <v>DEL</v>
      </c>
      <c r="I40" s="273"/>
      <c r="J40" s="273"/>
      <c r="K40" s="294" t="s">
        <v>951</v>
      </c>
      <c r="L40" s="294"/>
      <c r="M40" s="344"/>
      <c r="O40" s="4"/>
      <c r="P40" s="88"/>
      <c r="Q40" s="4"/>
      <c r="R40" s="4"/>
    </row>
    <row r="41" spans="1:18" s="260" customFormat="1" ht="16.5">
      <c r="A41" s="9">
        <f>IF($F41="Wavied","-",IF($D41=0,"",ROW($A41)-ROW($A$8)+1-COUNTIF($A$8:$A40,"@")-COUNTIF($A$8:$A40,"-")))</f>
        <v>26</v>
      </c>
      <c r="B41" s="9"/>
      <c r="C41" s="9" t="str">
        <f>IF($E41&lt;&gt;"",IF(ISNUMBER(SEARCH("Hall Operation",$K41)),"-",IF($E41-715&lt;0,VLOOKUP($B$3,$E$63:$J$74,6,FALSE),IF($E41-2129&gt;0,VLOOKUP($L$3,$E$63:$J$74,6,FALSE),""))),"")</f>
        <v>S3</v>
      </c>
      <c r="D41" s="27" t="s">
        <v>651</v>
      </c>
      <c r="E41" s="172" t="str">
        <f>IF($D41&gt;0,VLOOKUP($D41,Flight!$A$1:$E$91,2,FALSE),"")</f>
        <v>2155</v>
      </c>
      <c r="F41" s="45"/>
      <c r="G41" s="43"/>
      <c r="H41" s="44" t="str">
        <f>IF($D41&gt;0,VLOOKUP($D41,Flight!$A$1:$E$91,3,FALSE),"")</f>
        <v>DOH</v>
      </c>
      <c r="I41" s="44"/>
      <c r="J41" s="44"/>
      <c r="K41" s="166"/>
      <c r="L41" s="166"/>
      <c r="M41" s="167"/>
      <c r="O41" s="4"/>
      <c r="P41" s="88"/>
      <c r="Q41" s="4"/>
      <c r="R41" s="4"/>
    </row>
    <row r="42" spans="1:18" ht="16.5">
      <c r="A42" s="9">
        <f>IF($F42="Wavied","-",IF($D42=0,"",ROW($A42)-ROW($A$8)+1-COUNTIF($A$8:$A41,"@")-COUNTIF($A$8:$A41,"-")))</f>
        <v>27</v>
      </c>
      <c r="B42" s="9" t="str">
        <f>IF($E42&lt;&gt;"",IF($E42-715&lt;0,VLOOKUP($B$3,$E$63:$J$74,6,FALSE),IF(AND($E42-2130&gt;0,_xlfn.IFNA(MATCH($D42,$D$107:$D$117,0)&lt;20,"")=TRUE),VLOOKUP($L$3,$E$63:$J$74,6,FALSE),"-")),"")</f>
        <v>-</v>
      </c>
      <c r="C42" s="9" t="str">
        <f>IF($E42&lt;&gt;"",IF(ISNUMBER(SEARCH("Hall Operation",$K42)),"-",IF($E42-715&lt;0,VLOOKUP($B$3,$E$63:$J$74,6,FALSE),IF($E42-2129&gt;0,VLOOKUP($L$3,$E$63:$J$74,6,FALSE),""))),"")</f>
        <v>S3</v>
      </c>
      <c r="D42" s="27" t="s">
        <v>392</v>
      </c>
      <c r="E42" s="172" t="str">
        <f>IF($D42&gt;0,VLOOKUP($D42,Flight!$A$1:$E$91,2,FALSE),"")</f>
        <v>2320</v>
      </c>
      <c r="F42" s="45"/>
      <c r="G42" s="43" t="str">
        <f t="shared" si="3"/>
        <v/>
      </c>
      <c r="H42" s="44" t="str">
        <f>IF($D42&gt;0,VLOOKUP($D42,Flight!$A$1:$E$91,3,FALSE),"")</f>
        <v>BKK</v>
      </c>
      <c r="I42" s="44" t="str">
        <f>IF($D42&gt;0,IF(VLOOKUP($D42,Flight!$A$1:$E$91,4,FALSE)&gt;1,VLOOKUP($D42,Flight!$A$1:$E123,4,FALSE),""),"")</f>
        <v/>
      </c>
      <c r="J42" s="44" t="str">
        <f>IF($D42&gt;0,IF(VLOOKUP($D42,Flight!$A$1:$E$91,5,FALSE)&gt;1,VLOOKUP($D42,Flight!$A$1:$E$91,5,FALSE),""),"")</f>
        <v/>
      </c>
      <c r="K42" s="166" t="str">
        <f>IF($D42=0,"",IF(OR(ISNUMBER(SEARCH("S",$B42)),_xlfn.IFNA(MATCH($D42,$D$107:$D$117,0)&lt;20,"")=TRUE),"&lt;   Hall Operation   &gt;",""))</f>
        <v/>
      </c>
      <c r="L42" s="166"/>
      <c r="M42" s="166"/>
      <c r="O42" s="4"/>
      <c r="P42" s="89"/>
      <c r="Q42" s="4"/>
      <c r="R42" s="4"/>
    </row>
    <row r="43" spans="1:18" ht="16.5">
      <c r="A43" s="9" t="str">
        <f>IF($A40="S/N",1,IF($F43="Wavied","-",IF($D43=0,"",ROW($A43)-ROW($A$7)-COUNTIF($A$7:$A$8,"@")-COUNTIF($A$7:$A$8,"-"))))</f>
        <v/>
      </c>
      <c r="B43" s="9" t="str">
        <f>IF($E43&lt;&gt;"",IF($E43-715&lt;0,VLOOKUP($B$3,$E$63:$J$74,6,FALSE),IF(AND($E43-2130&gt;0,_xlfn.IFNA(MATCH($D43,$D$107:$D$117,0)&lt;20,"")=TRUE),VLOOKUP($L$3,$E$63:$J$74,6,FALSE),"-")),"")</f>
        <v/>
      </c>
      <c r="C43" s="9" t="str">
        <f>IF($E43&lt;&gt;"",IF(ISNUMBER(SEARCH("Hall Operation",$K43)),"-",IF($E43-715&lt;0,VLOOKUP($B$3,$E$63:$J$74,6,FALSE),IF($E43-2129&gt;0,VLOOKUP($L$3,$E$63:$J$74,6,FALSE),""))),"")</f>
        <v/>
      </c>
      <c r="D43" s="27"/>
      <c r="E43" s="172" t="str">
        <f>IF($D43&gt;0,VLOOKUP($D43,Flight!$A$1:$E$91,2,FALSE),"")</f>
        <v/>
      </c>
      <c r="F43" s="45"/>
      <c r="G43" s="43" t="str">
        <f t="shared" si="3"/>
        <v/>
      </c>
      <c r="H43" s="44" t="str">
        <f>IF($D43&gt;0,VLOOKUP($D43,Flight!$A$1:$E$91,3,FALSE),"")</f>
        <v/>
      </c>
      <c r="I43" s="44" t="str">
        <f>IF($D43&gt;0,IF(VLOOKUP($D43,Flight!$A$1:$E$91,4,FALSE)&gt;1,VLOOKUP($D43,Flight!$A$1:$E125,4,FALSE),""),"")</f>
        <v/>
      </c>
      <c r="J43" s="44" t="str">
        <f>IF($D43&gt;0,IF(VLOOKUP($D43,Flight!$A$1:$E$91,5,FALSE)&gt;1,VLOOKUP($D43,Flight!$A$1:$E$91,5,FALSE),""),"")</f>
        <v/>
      </c>
      <c r="K43" s="166" t="str">
        <f>IF($D43=0,"",IF(OR(ISNUMBER(SEARCH("S",$B43)),_xlfn.IFNA(MATCH($D43,$D$107:$D$117,0)&lt;20,"")=TRUE),"&lt;   Hall Operation   &gt;",""))</f>
        <v/>
      </c>
      <c r="L43" s="166"/>
      <c r="M43" s="166"/>
      <c r="O43" s="4"/>
      <c r="P43" s="89"/>
      <c r="Q43" s="4"/>
      <c r="R43" s="4"/>
    </row>
    <row r="44" spans="1:18">
      <c r="A44" s="376" t="s">
        <v>5</v>
      </c>
      <c r="B44" s="376"/>
      <c r="C44" s="376"/>
      <c r="D44" s="376"/>
      <c r="E44" s="376"/>
      <c r="F44" s="376"/>
      <c r="G44" s="50"/>
      <c r="H44" s="246" t="s">
        <v>40</v>
      </c>
      <c r="I44" s="377"/>
      <c r="J44" s="377"/>
      <c r="K44" s="377"/>
      <c r="L44" s="377"/>
      <c r="M44" s="377"/>
      <c r="N44" s="5"/>
    </row>
    <row r="45" spans="1:18">
      <c r="A45" s="379" t="s">
        <v>35</v>
      </c>
      <c r="B45" s="379"/>
      <c r="C45" s="379" t="s">
        <v>31</v>
      </c>
      <c r="D45" s="379"/>
      <c r="E45" s="379"/>
      <c r="F45" s="379"/>
      <c r="G45" s="379"/>
      <c r="H45" s="379"/>
      <c r="I45" s="378"/>
      <c r="J45" s="378"/>
      <c r="K45" s="378"/>
      <c r="L45" s="378"/>
      <c r="M45" s="378"/>
    </row>
    <row r="46" spans="1:18">
      <c r="A46" s="379"/>
      <c r="B46" s="379"/>
      <c r="C46" s="379"/>
      <c r="D46" s="379"/>
      <c r="E46" s="379"/>
      <c r="F46" s="379"/>
      <c r="G46" s="379"/>
      <c r="H46" s="379"/>
      <c r="I46" s="51"/>
      <c r="J46" s="51"/>
      <c r="K46" s="6"/>
      <c r="L46" s="6"/>
      <c r="M46" s="6"/>
    </row>
    <row r="47" spans="1:18">
      <c r="A47" s="389" t="s">
        <v>216</v>
      </c>
      <c r="B47" s="389"/>
      <c r="C47" s="243" t="str">
        <f>VLOOKUP($D$47,Staff!$B$2:$D$41,2,FALSE)</f>
        <v>CIA</v>
      </c>
      <c r="D47" s="375" t="str">
        <f>VLOOKUP(VLOOKUP($E$59,$E$63:$J$74,6,FALSE),Staff!$A$2:$D$13,2,FALSE)</f>
        <v>CS YEUNG</v>
      </c>
      <c r="E47" s="375"/>
      <c r="F47" s="240" t="s">
        <v>215</v>
      </c>
      <c r="G47" s="390" t="str">
        <f>VLOOKUP($D$47,Staff!$B$2:$D$39,3,FALSE)</f>
        <v>9238 7181</v>
      </c>
      <c r="H47" s="390"/>
      <c r="I47" s="391" t="s">
        <v>223</v>
      </c>
      <c r="J47" s="391"/>
      <c r="K47" s="375" t="str">
        <f>IF(COUNTIF($E$63:$E$66,$E$59)&gt;0,Staff!$G$2,"")&amp;IF(COUNTIF($E$67:$E$70,$E$59)&gt;0,Staff!$G$3,"")&amp;IF(COUNTIF($E$71:$E$74,$E$59)&gt;0,Staff!$G$4,"")</f>
        <v>HO, KING KAI</v>
      </c>
      <c r="L47" s="375"/>
      <c r="M47" s="375"/>
    </row>
    <row r="48" spans="1:18">
      <c r="A48" s="389" t="s">
        <v>217</v>
      </c>
      <c r="B48" s="389"/>
      <c r="C48" s="243" t="str">
        <f>VLOOKUP($D$48,Staff!$B$2:$D$41,2,FALSE)</f>
        <v>CIA</v>
      </c>
      <c r="D48" s="375" t="str">
        <f>VLOOKUP(VLOOKUP($E$60,$E$63:$J$74,6,FALSE),Staff!$A$2:$D$13,2,FALSE)</f>
        <v>HY CHOY</v>
      </c>
      <c r="E48" s="375"/>
      <c r="F48" s="240" t="s">
        <v>215</v>
      </c>
      <c r="G48" s="390" t="str">
        <f>VLOOKUP($D$48,Staff!$B$2:$D$39,3,FALSE)</f>
        <v>6155 6957</v>
      </c>
      <c r="H48" s="390"/>
      <c r="I48" s="391" t="s">
        <v>224</v>
      </c>
      <c r="J48" s="391"/>
      <c r="K48" s="445" t="s">
        <v>655</v>
      </c>
      <c r="L48" s="375"/>
      <c r="M48" s="375"/>
    </row>
    <row r="49" spans="1:14">
      <c r="A49" s="245"/>
      <c r="B49" s="245"/>
      <c r="C49" s="241"/>
      <c r="D49" s="395"/>
      <c r="E49" s="395"/>
      <c r="F49" s="239"/>
      <c r="G49" s="396"/>
      <c r="H49" s="396"/>
      <c r="I49" s="390"/>
      <c r="J49" s="390"/>
      <c r="K49" s="143"/>
      <c r="L49" s="143"/>
      <c r="M49" s="143"/>
    </row>
    <row r="50" spans="1:14">
      <c r="A50" s="397" t="s">
        <v>4</v>
      </c>
      <c r="B50" s="397"/>
      <c r="C50" s="396" t="s">
        <v>218</v>
      </c>
      <c r="D50" s="396"/>
      <c r="E50" s="396"/>
      <c r="F50" s="154" t="s">
        <v>213</v>
      </c>
      <c r="G50" s="398" t="str">
        <f>IF(COUNTIF($E$63:$E$66,$E$59)&gt;0,Staff!$G$14,"")&amp;IF(COUNTIF($E$67:$E$70,$E$59)&gt;0,Staff!$G$13,"")&amp;IF(COUNTIF($E$71:$E$74,$E$59)&gt;0,Staff!$G$12,"")</f>
        <v>CHIU, OI YU (F)</v>
      </c>
      <c r="H50" s="398"/>
      <c r="I50" s="398"/>
      <c r="J50" s="238" t="s">
        <v>209</v>
      </c>
      <c r="K50" s="390" t="str">
        <f>VLOOKUP(VLOOKUP($B$3,$E$63:$J$74,6,FALSE),Staff!$F$22:$G$47,2,FALSE)</f>
        <v>LAM, PUI KWAN (F)</v>
      </c>
      <c r="L50" s="390"/>
      <c r="M50" s="390"/>
      <c r="N50" s="12"/>
    </row>
    <row r="51" spans="1:14">
      <c r="A51" s="155"/>
      <c r="B51" s="155"/>
      <c r="C51" s="396" t="s">
        <v>219</v>
      </c>
      <c r="D51" s="396"/>
      <c r="E51" s="396"/>
      <c r="F51" s="154" t="s">
        <v>214</v>
      </c>
      <c r="G51" s="375" t="s">
        <v>426</v>
      </c>
      <c r="H51" s="375"/>
      <c r="I51" s="375"/>
      <c r="J51" s="238" t="s">
        <v>208</v>
      </c>
      <c r="K51" s="390" t="s">
        <v>656</v>
      </c>
      <c r="L51" s="390"/>
      <c r="M51" s="390"/>
    </row>
    <row r="52" spans="1:14">
      <c r="A52" s="244"/>
      <c r="B52" s="244"/>
      <c r="C52" s="241"/>
      <c r="D52" s="401"/>
      <c r="E52" s="401"/>
      <c r="F52" s="401"/>
      <c r="G52" s="401"/>
      <c r="H52" s="401"/>
      <c r="I52" s="401"/>
      <c r="J52" s="238" t="s">
        <v>210</v>
      </c>
      <c r="K52" s="390" t="s">
        <v>436</v>
      </c>
      <c r="L52" s="390"/>
      <c r="M52" s="390"/>
    </row>
    <row r="53" spans="1:14">
      <c r="A53" s="392" t="s">
        <v>3</v>
      </c>
      <c r="B53" s="393"/>
      <c r="C53" s="394" t="s">
        <v>220</v>
      </c>
      <c r="D53" s="394"/>
      <c r="E53" s="394"/>
      <c r="F53" s="397" t="s">
        <v>408</v>
      </c>
      <c r="G53" s="397"/>
      <c r="H53" s="397"/>
      <c r="I53" s="397"/>
      <c r="J53" s="238" t="s">
        <v>211</v>
      </c>
      <c r="K53" s="390" t="s">
        <v>429</v>
      </c>
      <c r="L53" s="390"/>
      <c r="M53" s="390"/>
    </row>
    <row r="54" spans="1:14">
      <c r="A54" s="393" t="s">
        <v>2</v>
      </c>
      <c r="B54" s="393"/>
      <c r="C54" s="411" t="s">
        <v>221</v>
      </c>
      <c r="D54" s="411"/>
      <c r="E54" s="411"/>
      <c r="F54" s="412" t="s">
        <v>1</v>
      </c>
      <c r="G54" s="412"/>
      <c r="H54" s="400" t="s">
        <v>409</v>
      </c>
      <c r="I54" s="400"/>
      <c r="J54" s="238" t="s">
        <v>212</v>
      </c>
      <c r="K54" s="390" t="s">
        <v>433</v>
      </c>
      <c r="L54" s="390"/>
      <c r="M54" s="390"/>
    </row>
    <row r="55" spans="1:14">
      <c r="A55" s="155"/>
      <c r="B55" s="155"/>
      <c r="C55" s="244"/>
      <c r="D55" s="399"/>
      <c r="E55" s="399"/>
      <c r="F55" s="391"/>
      <c r="G55" s="391"/>
      <c r="H55" s="400" t="s">
        <v>410</v>
      </c>
      <c r="I55" s="400"/>
      <c r="J55" s="236"/>
      <c r="K55" s="245"/>
      <c r="L55" s="245"/>
      <c r="M55" s="47"/>
    </row>
    <row r="56" spans="1:14" ht="16.5" customHeight="1">
      <c r="A56" s="392" t="s">
        <v>0</v>
      </c>
      <c r="B56" s="392"/>
      <c r="C56" s="407" t="s">
        <v>222</v>
      </c>
      <c r="D56" s="407"/>
      <c r="E56" s="407"/>
      <c r="F56" s="236"/>
      <c r="G56" s="238"/>
      <c r="H56" s="394" t="s">
        <v>411</v>
      </c>
      <c r="I56" s="394"/>
      <c r="J56" s="237"/>
      <c r="K56" s="245"/>
      <c r="L56" s="245"/>
      <c r="M56" s="47"/>
    </row>
    <row r="57" spans="1:14">
      <c r="C57" s="408"/>
      <c r="D57" s="408"/>
      <c r="E57" s="408"/>
      <c r="F57" s="408"/>
      <c r="G57" s="408"/>
      <c r="H57" s="408"/>
      <c r="J57" s="53"/>
      <c r="K57" s="112"/>
      <c r="L57" s="112"/>
    </row>
    <row r="58" spans="1:14" ht="16.5" thickBot="1">
      <c r="A58" s="3"/>
      <c r="B58" s="3"/>
      <c r="C58" s="3"/>
      <c r="D58" s="2"/>
      <c r="E58" s="39"/>
      <c r="F58" s="235"/>
      <c r="G58" s="235"/>
      <c r="I58" s="409"/>
      <c r="J58" s="409"/>
      <c r="K58" s="112"/>
      <c r="L58" s="112"/>
    </row>
    <row r="59" spans="1:14">
      <c r="D59" s="234"/>
      <c r="E59" s="90" t="s">
        <v>133</v>
      </c>
      <c r="F59" s="91" t="s">
        <v>135</v>
      </c>
      <c r="G59" s="91"/>
      <c r="H59" s="92"/>
      <c r="I59" s="234"/>
      <c r="J59" s="234"/>
    </row>
    <row r="60" spans="1:14" ht="16.5" thickBot="1">
      <c r="D60" s="234"/>
      <c r="E60" s="93" t="s">
        <v>134</v>
      </c>
      <c r="F60" s="94" t="s">
        <v>136</v>
      </c>
      <c r="G60" s="94"/>
      <c r="H60" s="95"/>
      <c r="I60" s="234"/>
      <c r="J60" s="234"/>
    </row>
    <row r="61" spans="1:14">
      <c r="D61" s="234"/>
      <c r="E61" s="234"/>
      <c r="F61" s="234"/>
      <c r="G61" s="234"/>
      <c r="H61" s="234"/>
      <c r="I61" s="234"/>
      <c r="J61" s="234"/>
    </row>
    <row r="62" spans="1:14" ht="16.5" thickBot="1">
      <c r="D62" s="85" t="s">
        <v>132</v>
      </c>
      <c r="E62" s="85" t="s">
        <v>19</v>
      </c>
      <c r="F62" s="85" t="s">
        <v>8</v>
      </c>
      <c r="G62" s="85" t="s">
        <v>7</v>
      </c>
      <c r="H62" s="85" t="s">
        <v>6</v>
      </c>
      <c r="I62" s="85" t="s">
        <v>98</v>
      </c>
      <c r="J62" s="234"/>
      <c r="K62" s="96" t="s">
        <v>302</v>
      </c>
      <c r="L62" s="96" t="s">
        <v>303</v>
      </c>
      <c r="M62" s="96"/>
    </row>
    <row r="63" spans="1:14">
      <c r="D63" s="97" t="s">
        <v>86</v>
      </c>
      <c r="E63" s="98" t="str">
        <f>_xlfn.IFNA(VLOOKUP(MOD((($D$1-WEEKDAY($D$1,2)+1)-45523)/7+21,24),Shift!$A$2:$H$25,WEEKDAY($D$1,2)+1),VLOOKUP(24,Shift!$A$2:$H$25,WEEKDAY($D$1,2)+1))</f>
        <v>P1</v>
      </c>
      <c r="F63" s="98">
        <v>1</v>
      </c>
      <c r="G63" s="98">
        <v>1</v>
      </c>
      <c r="H63" s="98">
        <v>4</v>
      </c>
      <c r="I63" s="99">
        <f t="shared" ref="I63:I74" si="5">IF(OR($E63="L",$E63="L#"),0,SUM($F63:$H63))</f>
        <v>6</v>
      </c>
      <c r="J63" s="136" t="s">
        <v>86</v>
      </c>
      <c r="K63" s="112" t="str">
        <f>IF(AND($F63&gt;1,$F63&lt;&gt;"?"),$F63-1,"")</f>
        <v/>
      </c>
      <c r="L63" s="112" t="str">
        <f>IF(AND($G63&gt;1,$G63&lt;&gt;"?"),$G63-1,"")</f>
        <v/>
      </c>
      <c r="M63" s="112"/>
    </row>
    <row r="64" spans="1:14">
      <c r="D64" s="100" t="s">
        <v>85</v>
      </c>
      <c r="E64" s="101" t="str">
        <f>_xlfn.IFNA(VLOOKUP(MOD((($D$1-WEEKDAY($D$1,2)+1)-45523)/7+3,24),Shift!$A$2:$H$25,WEEKDAY($D$1,2)+1),VLOOKUP(24,Shift!$A$2:$H$25,WEEKDAY($D$1,2)+1))</f>
        <v>A</v>
      </c>
      <c r="F64" s="101">
        <v>1</v>
      </c>
      <c r="G64" s="101">
        <v>1</v>
      </c>
      <c r="H64" s="101">
        <v>5</v>
      </c>
      <c r="I64" s="102">
        <f t="shared" si="5"/>
        <v>7</v>
      </c>
      <c r="J64" s="137" t="s">
        <v>85</v>
      </c>
      <c r="K64" s="112" t="str">
        <f t="shared" ref="K64:K74" si="6">IF(AND($F64&gt;1,$F64&lt;&gt;"?"),$F64-1,"")</f>
        <v/>
      </c>
      <c r="L64" s="112" t="str">
        <f t="shared" ref="L64:L74" si="7">IF(AND($G64&gt;1,$G64&lt;&gt;"?"),$G64-1,"")</f>
        <v/>
      </c>
      <c r="M64" s="112"/>
    </row>
    <row r="65" spans="4:13">
      <c r="D65" s="100" t="s">
        <v>99</v>
      </c>
      <c r="E65" s="101" t="str">
        <f>_xlfn.IFNA(VLOOKUP(MOD((($D$1-WEEKDAY($D$1,2)+1)-45523)/7+9,24),Shift!$A$2:$H$25,WEEKDAY($D$1,2)+1),VLOOKUP(24,Shift!$A$2:$H$25,WEEKDAY($D$1,2)+1))</f>
        <v>P4</v>
      </c>
      <c r="F65" s="101">
        <v>1</v>
      </c>
      <c r="G65" s="101">
        <v>1</v>
      </c>
      <c r="H65" s="101">
        <v>4</v>
      </c>
      <c r="I65" s="102">
        <f t="shared" si="5"/>
        <v>6</v>
      </c>
      <c r="J65" s="137" t="s">
        <v>99</v>
      </c>
      <c r="K65" s="112" t="str">
        <f t="shared" si="6"/>
        <v/>
      </c>
      <c r="L65" s="112" t="str">
        <f t="shared" si="7"/>
        <v/>
      </c>
      <c r="M65" s="112"/>
    </row>
    <row r="66" spans="4:13" ht="16.5" thickBot="1">
      <c r="D66" s="103" t="s">
        <v>100</v>
      </c>
      <c r="E66" s="104" t="str">
        <f>_xlfn.IFNA(VLOOKUP(MOD((($D$1-WEEKDAY($D$1,2)+1)-45523)/7+15,24),Shift!$A$2:$H$25,WEEKDAY($D$1,2)+1),VLOOKUP(24,Shift!$A$2:$H$25,WEEKDAY($D$1,2)+1))</f>
        <v>P1 @</v>
      </c>
      <c r="F66" s="104">
        <v>1</v>
      </c>
      <c r="G66" s="104">
        <v>1</v>
      </c>
      <c r="H66" s="104">
        <v>5</v>
      </c>
      <c r="I66" s="105">
        <f t="shared" si="5"/>
        <v>7</v>
      </c>
      <c r="J66" s="138" t="s">
        <v>100</v>
      </c>
      <c r="K66" s="112" t="str">
        <f t="shared" si="6"/>
        <v/>
      </c>
      <c r="L66" s="112" t="str">
        <f t="shared" si="7"/>
        <v/>
      </c>
      <c r="M66" s="112"/>
    </row>
    <row r="67" spans="4:13">
      <c r="D67" s="97" t="s">
        <v>101</v>
      </c>
      <c r="E67" s="98" t="str">
        <f>_xlfn.IFNA(VLOOKUP(MOD((($D$1-WEEKDAY($D$1,2)+1)-45523)/7+19,24),Shift!$A$2:$H$25,WEEKDAY($D$1,2)+1),VLOOKUP(24,Shift!$A$2:$H$25,WEEKDAY($D$1,2)+1))</f>
        <v>M</v>
      </c>
      <c r="F67" s="98">
        <v>1</v>
      </c>
      <c r="G67" s="98">
        <v>1</v>
      </c>
      <c r="H67" s="98">
        <v>5</v>
      </c>
      <c r="I67" s="99">
        <f t="shared" si="5"/>
        <v>7</v>
      </c>
      <c r="J67" s="136" t="s">
        <v>101</v>
      </c>
      <c r="K67" s="112" t="str">
        <f t="shared" si="6"/>
        <v/>
      </c>
      <c r="L67" s="112" t="str">
        <f t="shared" si="7"/>
        <v/>
      </c>
      <c r="M67" s="112"/>
    </row>
    <row r="68" spans="4:13">
      <c r="D68" s="100" t="s">
        <v>102</v>
      </c>
      <c r="E68" s="101" t="str">
        <f>_xlfn.IFNA(VLOOKUP(MOD((($D$1-WEEKDAY($D$1,2)+1)-45523)/7+1,24),Shift!$A$2:$H$25,WEEKDAY($D$1,2)+1),VLOOKUP(24,Shift!$A$2:$H$25,WEEKDAY($D$1,2)+1))</f>
        <v>M @</v>
      </c>
      <c r="F68" s="101">
        <v>1</v>
      </c>
      <c r="G68" s="101">
        <v>1</v>
      </c>
      <c r="H68" s="101">
        <v>4</v>
      </c>
      <c r="I68" s="102">
        <f t="shared" si="5"/>
        <v>6</v>
      </c>
      <c r="J68" s="137" t="s">
        <v>102</v>
      </c>
      <c r="K68" s="112" t="str">
        <f t="shared" si="6"/>
        <v/>
      </c>
      <c r="L68" s="112" t="str">
        <f t="shared" si="7"/>
        <v/>
      </c>
      <c r="M68" s="112"/>
    </row>
    <row r="69" spans="4:13">
      <c r="D69" s="100" t="s">
        <v>103</v>
      </c>
      <c r="E69" s="101" t="str">
        <f>_xlfn.IFNA(VLOOKUP(MOD((($D$1-WEEKDAY($D$1,2)+1)-45523)/7+7,24),Shift!$A$2:$H$25,WEEKDAY($D$1,2)+1),VLOOKUP(24,Shift!$A$2:$H$25,WEEKDAY($D$1,2)+1))</f>
        <v>M</v>
      </c>
      <c r="F69" s="101">
        <v>1</v>
      </c>
      <c r="G69" s="101">
        <v>1</v>
      </c>
      <c r="H69" s="101">
        <v>5</v>
      </c>
      <c r="I69" s="102">
        <f t="shared" si="5"/>
        <v>7</v>
      </c>
      <c r="J69" s="137" t="s">
        <v>103</v>
      </c>
      <c r="K69" s="112" t="str">
        <f t="shared" si="6"/>
        <v/>
      </c>
      <c r="L69" s="112" t="str">
        <f t="shared" si="7"/>
        <v/>
      </c>
      <c r="M69" s="112"/>
    </row>
    <row r="70" spans="4:13" ht="16.5" thickBot="1">
      <c r="D70" s="103" t="s">
        <v>104</v>
      </c>
      <c r="E70" s="104" t="str">
        <f>_xlfn.IFNA(VLOOKUP(MOD((($D$1-WEEKDAY($D$1,2)+1)-45523)/7+13,24),Shift!$A$2:$H$25,WEEKDAY($D$1,2)+1),VLOOKUP(24,Shift!$A$2:$H$25,WEEKDAY($D$1,2)+1))</f>
        <v>G1</v>
      </c>
      <c r="F70" s="104">
        <v>1</v>
      </c>
      <c r="G70" s="104">
        <v>1</v>
      </c>
      <c r="H70" s="104">
        <v>5</v>
      </c>
      <c r="I70" s="105">
        <f t="shared" si="5"/>
        <v>7</v>
      </c>
      <c r="J70" s="138" t="s">
        <v>104</v>
      </c>
      <c r="K70" s="112" t="str">
        <f t="shared" si="6"/>
        <v/>
      </c>
      <c r="L70" s="112" t="str">
        <f t="shared" si="7"/>
        <v/>
      </c>
      <c r="M70" s="112"/>
    </row>
    <row r="71" spans="4:13">
      <c r="D71" s="97" t="s">
        <v>105</v>
      </c>
      <c r="E71" s="98" t="str">
        <f>_xlfn.IFNA(VLOOKUP(MOD((($D$1-WEEKDAY($D$1,2)+1)-45523)/7+17,24),Shift!$A$2:$H$25,WEEKDAY($D$1,2)+1),VLOOKUP(24,Shift!$A$2:$H$25,WEEKDAY($D$1,2)+1))</f>
        <v>L</v>
      </c>
      <c r="F71" s="98">
        <f t="shared" ref="F71:H74" si="8">IF(OR($E71="L",$E71="L#"),0,"?")</f>
        <v>0</v>
      </c>
      <c r="G71" s="98">
        <f t="shared" si="8"/>
        <v>0</v>
      </c>
      <c r="H71" s="98">
        <f t="shared" si="8"/>
        <v>0</v>
      </c>
      <c r="I71" s="99">
        <f t="shared" si="5"/>
        <v>0</v>
      </c>
      <c r="J71" s="136" t="s">
        <v>105</v>
      </c>
      <c r="K71" s="112" t="str">
        <f t="shared" si="6"/>
        <v/>
      </c>
      <c r="L71" s="112" t="str">
        <f t="shared" si="7"/>
        <v/>
      </c>
      <c r="M71" s="112"/>
    </row>
    <row r="72" spans="4:13">
      <c r="D72" s="100" t="s">
        <v>106</v>
      </c>
      <c r="E72" s="101" t="str">
        <f>_xlfn.IFNA(VLOOKUP(MOD((($D$1-WEEKDAY($D$1,2)+1)-45523)/7+23,24),Shift!$A$2:$H$25,WEEKDAY($D$1,2)+1),VLOOKUP(24,Shift!$A$2:$H$25,WEEKDAY($D$1,2)+1))</f>
        <v>M1</v>
      </c>
      <c r="F72" s="101">
        <v>1</v>
      </c>
      <c r="G72" s="101">
        <v>1</v>
      </c>
      <c r="H72" s="101">
        <v>5</v>
      </c>
      <c r="I72" s="102">
        <f t="shared" si="5"/>
        <v>7</v>
      </c>
      <c r="J72" s="137" t="s">
        <v>106</v>
      </c>
      <c r="K72" s="112" t="str">
        <f t="shared" si="6"/>
        <v/>
      </c>
      <c r="L72" s="112" t="str">
        <f t="shared" si="7"/>
        <v/>
      </c>
      <c r="M72" s="112"/>
    </row>
    <row r="73" spans="4:13">
      <c r="D73" s="100" t="s">
        <v>107</v>
      </c>
      <c r="E73" s="101" t="str">
        <f>_xlfn.IFNA(VLOOKUP(MOD((($D$1-WEEKDAY($D$1,2)+1)-45523)/7+5,24),Shift!$A$2:$H$25,WEEKDAY($D$1,2)+1),VLOOKUP(24,Shift!$A$2:$H$25,WEEKDAY($D$1,2)+1))</f>
        <v>M1</v>
      </c>
      <c r="F73" s="101">
        <v>1</v>
      </c>
      <c r="G73" s="101">
        <v>1</v>
      </c>
      <c r="H73" s="101">
        <v>5</v>
      </c>
      <c r="I73" s="102">
        <f t="shared" si="5"/>
        <v>7</v>
      </c>
      <c r="J73" s="137" t="s">
        <v>107</v>
      </c>
      <c r="K73" s="112" t="str">
        <f t="shared" si="6"/>
        <v/>
      </c>
      <c r="L73" s="112" t="str">
        <f t="shared" si="7"/>
        <v/>
      </c>
      <c r="M73" s="112"/>
    </row>
    <row r="74" spans="4:13" ht="16.5" thickBot="1">
      <c r="D74" s="103" t="s">
        <v>108</v>
      </c>
      <c r="E74" s="104" t="str">
        <f>_xlfn.IFNA(VLOOKUP(MOD((($D$1-WEEKDAY($D$1,2)+1)-45523)/7+11,24),Shift!$A$2:$H$25,WEEKDAY($D$1,2)+1),VLOOKUP(24,Shift!$A$2:$H$25,WEEKDAY($D$1,2)+1))</f>
        <v>L#</v>
      </c>
      <c r="F74" s="104">
        <f t="shared" si="8"/>
        <v>0</v>
      </c>
      <c r="G74" s="104">
        <f t="shared" si="8"/>
        <v>0</v>
      </c>
      <c r="H74" s="104">
        <f t="shared" si="8"/>
        <v>0</v>
      </c>
      <c r="I74" s="105">
        <f t="shared" si="5"/>
        <v>0</v>
      </c>
      <c r="J74" s="138" t="s">
        <v>108</v>
      </c>
      <c r="K74" s="112" t="str">
        <f t="shared" si="6"/>
        <v/>
      </c>
      <c r="L74" s="112" t="str">
        <f t="shared" si="7"/>
        <v/>
      </c>
      <c r="M74" s="112"/>
    </row>
    <row r="75" spans="4:13">
      <c r="D75" s="144" t="s">
        <v>86</v>
      </c>
      <c r="E75" s="98" t="s">
        <v>127</v>
      </c>
      <c r="F75" s="98"/>
      <c r="G75" s="98"/>
      <c r="H75" s="98"/>
      <c r="I75" s="99">
        <f>IF(OR($E75="L",$E75="L#",$E75="?"),0,SUM($F75:$H75))</f>
        <v>0</v>
      </c>
      <c r="J75" s="234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234"/>
    </row>
    <row r="77" spans="4:13">
      <c r="D77" s="145" t="s">
        <v>137</v>
      </c>
      <c r="E77" s="101" t="s">
        <v>127</v>
      </c>
      <c r="F77" s="101"/>
      <c r="G77" s="101"/>
      <c r="H77" s="101"/>
      <c r="I77" s="102">
        <f>IF(OR($E77="L",$E77="L#",$E77="?"),0,SUM($F77:$H77))</f>
        <v>0</v>
      </c>
      <c r="J77" s="234"/>
    </row>
    <row r="78" spans="4:13" ht="16.5" thickBot="1">
      <c r="D78" s="146" t="s">
        <v>137</v>
      </c>
      <c r="E78" s="104" t="s">
        <v>127</v>
      </c>
      <c r="F78" s="106"/>
      <c r="G78" s="106"/>
      <c r="H78" s="106"/>
      <c r="I78" s="105">
        <f>IF(OR($E78="L",$E78="L#",$E78="?"),0,SUM($F78:$H78))</f>
        <v>0</v>
      </c>
      <c r="J78" s="234"/>
    </row>
    <row r="79" spans="4:13">
      <c r="D79" s="234"/>
      <c r="E79" s="96" t="s">
        <v>98</v>
      </c>
      <c r="F79" s="96" t="str">
        <f>SUM($F$63:$F$78)&amp;IF(SUM($F$63:$H$78)&gt;$I$79,"?","")</f>
        <v>10</v>
      </c>
      <c r="G79" s="96" t="str">
        <f>SUM($G$63:$G$78)&amp;IF(SUM($F$63:$H$78)&gt;$I$79,"?","")</f>
        <v>10</v>
      </c>
      <c r="H79" s="96" t="str">
        <f>SUM($H$63:$H$78)&amp;IF(SUM($F$63:$H$78)&gt;$I$79,"?","")</f>
        <v>47</v>
      </c>
      <c r="I79" s="96">
        <f>SUM(I63:I78)</f>
        <v>67</v>
      </c>
      <c r="J79" s="234"/>
    </row>
    <row r="80" spans="4:13">
      <c r="D80" s="234"/>
      <c r="E80" s="234"/>
      <c r="F80" s="112" t="str">
        <f>IF(SUM($F$63:$F$78)&gt;0,IF(SUM($K$63:$K$74)&gt;0,SUM($F$63:$F$78)-SUM($K$63:$K$74)&amp;"+"&amp;SUM(K63:K74)&amp;"(Fam)",""),"")</f>
        <v/>
      </c>
      <c r="G80" s="112" t="str">
        <f>IF(SUM($G$63:$G$78)&gt;0,IF(SUM($L$63:$L$74)&gt;0,SUM($G$63:$G$78)-SUM($L$63:$L$74)&amp;"+"&amp;SUM(L63:L74)&amp;"(Fam)",""),"")</f>
        <v/>
      </c>
      <c r="H80" s="112"/>
      <c r="I80" s="234"/>
      <c r="J80" s="234"/>
    </row>
    <row r="82" spans="4:6">
      <c r="D82" s="410" t="s">
        <v>281</v>
      </c>
      <c r="E82" s="410"/>
      <c r="F82" s="410"/>
    </row>
    <row r="83" spans="4:6">
      <c r="D83" s="49" t="str">
        <f>IF(Flight!$A$68=0,"",Flight!$A$68)</f>
        <v/>
      </c>
      <c r="E83" s="163"/>
      <c r="F83" s="164" t="str">
        <f>IF(D83="","",VLOOKUP(D83,Flight!$A$68:$C$91,3,FALSE))</f>
        <v/>
      </c>
    </row>
    <row r="84" spans="4:6">
      <c r="D84" s="49" t="str">
        <f>IF(Flight!$A69=0,"",Flight!$A69)</f>
        <v/>
      </c>
      <c r="F84" s="164" t="str">
        <f>IF(D84="","",VLOOKUP(D84,Flight!$A$68:$C$91,3,FALSE))</f>
        <v/>
      </c>
    </row>
    <row r="85" spans="4:6">
      <c r="D85" s="49" t="str">
        <f>IF(Flight!$A71=0,"",Flight!$A71)</f>
        <v>3A031</v>
      </c>
      <c r="F85" s="164" t="str">
        <f>IF(D85="","",VLOOKUP(D85,Flight!$A$68:$C$91,3,FALSE))</f>
        <v>ZTI</v>
      </c>
    </row>
    <row r="86" spans="4:6">
      <c r="D86" s="49" t="str">
        <f>IF(Flight!$A72=0,"",Flight!$A72)</f>
        <v>3A003</v>
      </c>
      <c r="F86" s="164" t="str">
        <f>IF(D86="","",VLOOKUP(D86,Flight!$A$68:$C$91,3,FALSE))</f>
        <v>ZYK</v>
      </c>
    </row>
    <row r="87" spans="4:6">
      <c r="D87" s="49" t="str">
        <f>IF(Flight!$A73=0,"",Flight!$A73)</f>
        <v>3A005</v>
      </c>
      <c r="F87" s="164" t="str">
        <f>IF(D87="","",VLOOKUP(D87,Flight!$A$68:$C$91,3,FALSE))</f>
        <v>HKM</v>
      </c>
    </row>
    <row r="88" spans="4:6">
      <c r="D88" s="49" t="str">
        <f>IF(Flight!$A74=0,"",Flight!$A74)</f>
        <v>3A007</v>
      </c>
      <c r="F88" s="164" t="str">
        <f>IF(D88="","",VLOOKUP(D88,Flight!$A$68:$C$91,3,FALSE))</f>
        <v>ZYK</v>
      </c>
    </row>
    <row r="89" spans="4:6">
      <c r="D89" s="49" t="str">
        <f>IF(Flight!$A75=0,"",Flight!$A75)</f>
        <v>3A008</v>
      </c>
      <c r="F89" s="164" t="str">
        <f>IF(D89="","",VLOOKUP(D89,Flight!$A$68:$C$91,3,FALSE))</f>
        <v>ZYK</v>
      </c>
    </row>
    <row r="90" spans="4:6">
      <c r="D90" s="49" t="str">
        <f>IF(Flight!$A76=0,"",Flight!$A76)</f>
        <v>3A009</v>
      </c>
      <c r="F90" s="164" t="str">
        <f>IF(D90="","",VLOOKUP(D90,Flight!$A$68:$C$91,3,FALSE))</f>
        <v>ZYK</v>
      </c>
    </row>
    <row r="91" spans="4:6">
      <c r="D91" s="49" t="str">
        <f>IF(Flight!$A77=0,"",Flight!$A77)</f>
        <v>3A010</v>
      </c>
      <c r="F91" s="164" t="str">
        <f>IF(D91="","",VLOOKUP(D91,Flight!$A$68:$C$91,3,FALSE))</f>
        <v>ZYK</v>
      </c>
    </row>
    <row r="92" spans="4:6">
      <c r="D92" s="49" t="str">
        <f>IF(Flight!$A78=0,"",Flight!$A78)</f>
        <v/>
      </c>
      <c r="F92" s="164" t="str">
        <f>IF(D92="","",VLOOKUP(D92,Flight!$A$68:$C$91,3,FALSE))</f>
        <v/>
      </c>
    </row>
    <row r="93" spans="4:6">
      <c r="D93" s="49" t="str">
        <f>IF(Flight!$A80=0,"",Flight!$A80)</f>
        <v>8S7121</v>
      </c>
      <c r="F93" s="164" t="str">
        <f>IF(D93="","",VLOOKUP(D93,Flight!$A$68:$C$91,3,FALSE))</f>
        <v>HKM</v>
      </c>
    </row>
    <row r="94" spans="4:6">
      <c r="D94" s="49" t="str">
        <f>IF(Flight!$A81=0,"",Flight!$A81)</f>
        <v>8S7108</v>
      </c>
      <c r="F94" s="164" t="str">
        <f>IF(D94="","",VLOOKUP(D94,Flight!$A$68:$C$91,3,FALSE))</f>
        <v>ZYK</v>
      </c>
    </row>
    <row r="95" spans="4:6">
      <c r="D95" s="49" t="str">
        <f>IF(Flight!$A82=0,"",Flight!$A82)</f>
        <v>8S7111</v>
      </c>
      <c r="F95" s="164" t="str">
        <f>IF(D95="","",VLOOKUP(D95,Flight!$A$68:$C$91,3,FALSE))</f>
        <v>ZYK</v>
      </c>
    </row>
    <row r="96" spans="4:6">
      <c r="D96" s="49" t="str">
        <f>IF(Flight!$A83=0,"",Flight!$A83)</f>
        <v>8S7131</v>
      </c>
      <c r="F96" s="164" t="str">
        <f>IF(D96="","",VLOOKUP(D96,Flight!$A$68:$C$91,3,FALSE))</f>
        <v>?</v>
      </c>
    </row>
    <row r="97" spans="4:6">
      <c r="D97" s="49" t="str">
        <f>IF(Flight!$A84=0,"",Flight!$A84)</f>
        <v>8S7119</v>
      </c>
      <c r="F97" s="164" t="str">
        <f>IF(D97="","",VLOOKUP(D97,Flight!$A$68:$C$91,3,FALSE))</f>
        <v>HKM</v>
      </c>
    </row>
    <row r="98" spans="4:6">
      <c r="D98" s="49" t="str">
        <f>IF(Flight!$A85=0,"",Flight!$A85)</f>
        <v>8S7126</v>
      </c>
      <c r="F98" s="164" t="str">
        <f>IF(D98="","",VLOOKUP(D98,Flight!$A$68:$C$91,3,FALSE))</f>
        <v>HKM</v>
      </c>
    </row>
    <row r="99" spans="4:6">
      <c r="D99" s="49" t="str">
        <f>IF(Flight!$A86=0,"",Flight!$A86)</f>
        <v>8S7128</v>
      </c>
      <c r="F99" s="164" t="str">
        <f>IF(D99="","",VLOOKUP(D99,Flight!$A$68:$C$91,3,FALSE))</f>
        <v>HKM</v>
      </c>
    </row>
    <row r="100" spans="4:6">
      <c r="D100" s="49" t="str">
        <f>IF(Flight!$A87=0,"",Flight!$A87)</f>
        <v>3A8010</v>
      </c>
      <c r="F100" s="164" t="str">
        <f>IF(D100="","",VLOOKUP(D100,Flight!$A$68:$C$91,3,FALSE))</f>
        <v>HZI</v>
      </c>
    </row>
    <row r="101" spans="4:6">
      <c r="D101" s="49" t="str">
        <f>IF(Flight!$A88=0,"",Flight!$A88)</f>
        <v>3A8015</v>
      </c>
      <c r="F101" s="164" t="str">
        <f>IF(D101="","",VLOOKUP(D101,Flight!$A$68:$C$91,3,FALSE))</f>
        <v>?</v>
      </c>
    </row>
    <row r="102" spans="4:6">
      <c r="D102" s="49" t="str">
        <f>IF(Flight!$A89=0,"",Flight!$A89)</f>
        <v>3A8016</v>
      </c>
      <c r="F102" s="164" t="str">
        <f>IF(D102="","",VLOOKUP(D102,Flight!$A$68:$C$91,3,FALSE))</f>
        <v>HZI</v>
      </c>
    </row>
    <row r="103" spans="4:6">
      <c r="D103" s="49" t="str">
        <f>IF(Flight!$A91=0,"",Flight!$A91)</f>
        <v xml:space="preserve">Last </v>
      </c>
      <c r="F103" s="164" t="str">
        <f>IF(D103="","",VLOOKUP(D103,Flight!$A$68:$C$91,3,FALSE))</f>
        <v>↑</v>
      </c>
    </row>
    <row r="104" spans="4:6">
      <c r="D104" s="49" t="str">
        <f>IF(Flight!$A92=0,"",Flight!$A92)</f>
        <v/>
      </c>
      <c r="F104" s="164" t="str">
        <f>IF(D104="","",VLOOKUP(D104,Flight!$A$68:$C$91,3,FALSE))</f>
        <v/>
      </c>
    </row>
    <row r="105" spans="4:6">
      <c r="D105" s="186"/>
      <c r="F105" s="187"/>
    </row>
    <row r="106" spans="4:6">
      <c r="D106" s="406" t="str">
        <f>IF(Flight!$A$93=0,"",Flight!$A$93)</f>
        <v>Target Flight</v>
      </c>
      <c r="E106" s="406"/>
      <c r="F106" s="406"/>
    </row>
    <row r="107" spans="4:6">
      <c r="D107" s="27" t="s">
        <v>59</v>
      </c>
      <c r="E107" s="158"/>
      <c r="F107" s="10" t="s">
        <v>38</v>
      </c>
    </row>
    <row r="108" spans="4:6">
      <c r="D108" s="27" t="s">
        <v>89</v>
      </c>
      <c r="E108" s="158"/>
      <c r="F108" s="10" t="s">
        <v>38</v>
      </c>
    </row>
    <row r="109" spans="4:6">
      <c r="D109" s="27" t="s">
        <v>254</v>
      </c>
      <c r="E109" s="158"/>
      <c r="F109" s="10" t="s">
        <v>38</v>
      </c>
    </row>
    <row r="110" spans="4:6">
      <c r="D110" s="27" t="s">
        <v>57</v>
      </c>
      <c r="E110" s="158"/>
      <c r="F110" s="10" t="s">
        <v>58</v>
      </c>
    </row>
    <row r="111" spans="4:6">
      <c r="D111" s="27" t="s">
        <v>198</v>
      </c>
      <c r="E111" s="158"/>
      <c r="F111" s="10" t="s">
        <v>199</v>
      </c>
    </row>
    <row r="112" spans="4:6">
      <c r="D112" s="27" t="s">
        <v>55</v>
      </c>
      <c r="E112" s="158"/>
      <c r="F112" s="10" t="s">
        <v>54</v>
      </c>
    </row>
    <row r="113" spans="4:6">
      <c r="D113" s="27" t="s">
        <v>39</v>
      </c>
      <c r="E113" s="158"/>
      <c r="F113" s="10" t="s">
        <v>38</v>
      </c>
    </row>
    <row r="114" spans="4:6">
      <c r="D114" s="27" t="s">
        <v>200</v>
      </c>
      <c r="E114" s="158"/>
      <c r="F114" s="10" t="s">
        <v>54</v>
      </c>
    </row>
    <row r="115" spans="4:6">
      <c r="D115" s="27" t="s">
        <v>201</v>
      </c>
      <c r="E115" s="158"/>
      <c r="F115" s="10" t="s">
        <v>38</v>
      </c>
    </row>
    <row r="116" spans="4:6">
      <c r="D116" s="161" t="s">
        <v>538</v>
      </c>
      <c r="E116" s="158"/>
      <c r="F116" s="159" t="s">
        <v>566</v>
      </c>
    </row>
    <row r="117" spans="4:6">
      <c r="D117" s="161"/>
      <c r="E117" s="158"/>
      <c r="F117" s="159"/>
    </row>
  </sheetData>
  <mergeCells count="81">
    <mergeCell ref="K21:M21"/>
    <mergeCell ref="A46:H46"/>
    <mergeCell ref="A47:B47"/>
    <mergeCell ref="D47:E47"/>
    <mergeCell ref="G47:H47"/>
    <mergeCell ref="F21:G21"/>
    <mergeCell ref="D106:F106"/>
    <mergeCell ref="A56:B56"/>
    <mergeCell ref="C56:E56"/>
    <mergeCell ref="H56:I56"/>
    <mergeCell ref="C57:H57"/>
    <mergeCell ref="I58:J58"/>
    <mergeCell ref="D82:F82"/>
    <mergeCell ref="D55:E55"/>
    <mergeCell ref="F55:G55"/>
    <mergeCell ref="H55:I55"/>
    <mergeCell ref="D52:I52"/>
    <mergeCell ref="A48:B48"/>
    <mergeCell ref="A54:B54"/>
    <mergeCell ref="A53:B53"/>
    <mergeCell ref="A50:B50"/>
    <mergeCell ref="K52:M52"/>
    <mergeCell ref="C54:E54"/>
    <mergeCell ref="F54:G54"/>
    <mergeCell ref="H54:I54"/>
    <mergeCell ref="D49:E49"/>
    <mergeCell ref="G49:H49"/>
    <mergeCell ref="I49:J49"/>
    <mergeCell ref="K54:M54"/>
    <mergeCell ref="C53:E53"/>
    <mergeCell ref="F53:I53"/>
    <mergeCell ref="K53:M53"/>
    <mergeCell ref="C50:E50"/>
    <mergeCell ref="G50:I50"/>
    <mergeCell ref="K50:M50"/>
    <mergeCell ref="C51:E51"/>
    <mergeCell ref="G51:I51"/>
    <mergeCell ref="K51:M51"/>
    <mergeCell ref="I47:J47"/>
    <mergeCell ref="D48:E48"/>
    <mergeCell ref="G48:H48"/>
    <mergeCell ref="I48:J48"/>
    <mergeCell ref="K47:M47"/>
    <mergeCell ref="K48:M48"/>
    <mergeCell ref="H6:H7"/>
    <mergeCell ref="I6:I7"/>
    <mergeCell ref="J6:J7"/>
    <mergeCell ref="K6:M6"/>
    <mergeCell ref="A44:F44"/>
    <mergeCell ref="I44:M45"/>
    <mergeCell ref="A45:H45"/>
    <mergeCell ref="A6:A7"/>
    <mergeCell ref="B6:C6"/>
    <mergeCell ref="D6:D7"/>
    <mergeCell ref="E6:E7"/>
    <mergeCell ref="F6:F7"/>
    <mergeCell ref="G6:G7"/>
    <mergeCell ref="F40:G40"/>
    <mergeCell ref="K9:M12"/>
    <mergeCell ref="F9:G12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E8:E43 H8:H43">
    <cfRule type="cellIs" dxfId="98" priority="11" operator="equal">
      <formula>""</formula>
    </cfRule>
  </conditionalFormatting>
  <conditionalFormatting sqref="F63:H80">
    <cfRule type="cellIs" dxfId="97" priority="10" operator="equal">
      <formula>"?"</formula>
    </cfRule>
  </conditionalFormatting>
  <conditionalFormatting sqref="D117:D1000 D8:D28 D31:D115">
    <cfRule type="duplicateValues" dxfId="96" priority="9"/>
  </conditionalFormatting>
  <conditionalFormatting sqref="D116">
    <cfRule type="duplicateValues" dxfId="95" priority="8"/>
  </conditionalFormatting>
  <conditionalFormatting sqref="D29">
    <cfRule type="duplicateValues" dxfId="94" priority="7"/>
  </conditionalFormatting>
  <conditionalFormatting sqref="D30">
    <cfRule type="duplicateValues" dxfId="93" priority="6"/>
  </conditionalFormatting>
  <conditionalFormatting sqref="F9">
    <cfRule type="cellIs" dxfId="92" priority="4" operator="equal">
      <formula>""</formula>
    </cfRule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D48:E48</xm:sqref>
        </x14:dataValidation>
        <x14:dataValidation type="list" allowBlank="1" showInputMessage="1">
          <x14:formula1>
            <xm:f>Staff!$B$15:$B$39</xm:f>
          </x14:formula1>
          <xm:sqref>D47:E47</xm:sqref>
        </x14:dataValidation>
        <x14:dataValidation type="list" allowBlank="1" showInputMessage="1" showErrorMessage="1">
          <x14:formula1>
            <xm:f>Staff!$G$23:$G$52</xm:f>
          </x14:formula1>
          <xm:sqref>K50:M54</xm:sqref>
        </x14:dataValidation>
        <x14:dataValidation type="list" allowBlank="1" showInputMessage="1">
          <x14:formula1>
            <xm:f>Staff!$G$12:$G$52</xm:f>
          </x14:formula1>
          <xm:sqref>G50:I51</xm:sqref>
        </x14:dataValidation>
        <x14:dataValidation type="list" allowBlank="1" showInputMessage="1">
          <x14:formula1>
            <xm:f>Staff!$G$2:$G$9</xm:f>
          </x14:formula1>
          <xm:sqref>K47:M48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2"/>
  <sheetViews>
    <sheetView view="pageBreakPreview" zoomScale="85" zoomScaleNormal="100" zoomScaleSheetLayoutView="85" workbookViewId="0">
      <selection activeCell="F13" sqref="F13"/>
    </sheetView>
  </sheetViews>
  <sheetFormatPr defaultRowHeight="15.75"/>
  <cols>
    <col min="1" max="1" width="9.125" style="234" customWidth="1"/>
    <col min="2" max="2" width="10.25" style="234" customWidth="1"/>
    <col min="3" max="3" width="9.75" style="234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35" customWidth="1"/>
    <col min="9" max="9" width="9" style="54" customWidth="1"/>
    <col min="10" max="10" width="9.125" style="54" customWidth="1"/>
    <col min="11" max="13" width="9.125" style="234" customWidth="1"/>
    <col min="14" max="14" width="9" style="234"/>
    <col min="15" max="15" width="10.75" style="112" bestFit="1" customWidth="1"/>
    <col min="16" max="16" width="12.25" style="234" bestFit="1" customWidth="1"/>
    <col min="17" max="16384" width="9" style="234"/>
  </cols>
  <sheetData>
    <row r="1" spans="1:16">
      <c r="A1" s="244"/>
      <c r="B1" s="244"/>
      <c r="C1" s="108" t="s">
        <v>20</v>
      </c>
      <c r="D1" s="355">
        <v>45757</v>
      </c>
      <c r="E1" s="355"/>
      <c r="F1" s="238" t="s">
        <v>23</v>
      </c>
      <c r="G1" s="110">
        <f>D1</f>
        <v>45757</v>
      </c>
      <c r="H1" s="242" t="s">
        <v>24</v>
      </c>
      <c r="I1" s="239"/>
      <c r="J1" s="239"/>
      <c r="K1" s="244"/>
      <c r="L1" s="244"/>
      <c r="M1" s="47"/>
    </row>
    <row r="2" spans="1:16" ht="17.25" customHeight="1" thickBot="1">
      <c r="A2" s="244"/>
      <c r="B2" s="244"/>
      <c r="C2" s="244"/>
      <c r="D2" s="356"/>
      <c r="E2" s="356"/>
      <c r="F2" s="239"/>
      <c r="G2" s="357"/>
      <c r="H2" s="357"/>
      <c r="I2" s="357"/>
      <c r="J2" s="239"/>
      <c r="K2" s="244"/>
      <c r="L2" s="244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IF($E$58=B$3,$D$58&amp;"("&amp;$I$58&amp;")"&amp;" ","")&amp;IF($E$59=B$3,$D$59&amp;"("&amp;$I$59&amp;")"&amp;"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","")&amp;IF(COUNTIF($E$58:$E$72,B$3)=0,"-","")</f>
        <v xml:space="preserve">S3(7) </v>
      </c>
      <c r="C4" s="367"/>
      <c r="D4" s="366" t="str">
        <f>IF($E$58=$E$54," &lt;"&amp;$D$58&amp;"("&amp;$I$58&amp;")&gt; "&amp;" ","")&amp;IF($E$58=D$3,$D$58&amp;"("&amp;$I$58&amp;")"&amp;" ","")&amp;IF($E$59=$E$54," &lt;"&amp;$D$59&amp;"("&amp;$I$59&amp;")&gt; "&amp;" ","")&amp;IF($E$59=D$3,$D$59&amp;"("&amp;$I$59&amp;")"&amp;" ","")&amp;IF($E$60=$E$54," &lt;"&amp;$D$60&amp;"("&amp;$I$60&amp;")&gt; "&amp;" ","")&amp;IF($E$60=D$3,$D$60&amp;"("&amp;$I$60&amp;")"&amp;" ","")&amp;IF($E$61=$E$54," &lt;"&amp;$D$61&amp;"("&amp;$I$61&amp;")&gt; "&amp;" ","")&amp;IF($E$61=D$3,$D$61&amp;"("&amp;$I$61&amp;")"&amp;" ","")&amp;IF($E$62=$E$54," &lt;"&amp;$D$62&amp;"("&amp;$I$62&amp;")&gt; "&amp;" ","")&amp;IF($E$62=D$3,$D$62&amp;"("&amp;$I$62&amp;")"&amp;" ","")&amp;IF($E$63=$E$54," &lt;"&amp;$D$63&amp;"("&amp;$I$63&amp;")&gt; "&amp;" ","")&amp;IF($E$63=D$3,$D$63&amp;"("&amp;$I$63&amp;")"&amp;" ","")&amp;IF($E$64=$E$54," &lt;"&amp;$D$64&amp;"("&amp;$I$64&amp;")&gt; "&amp;" ","")&amp;IF($E$64=D$3,$D$64&amp;"("&amp;$I$64&amp;")"&amp;" ","")&amp;IF($E$65=$E$54," &lt;"&amp;$D$65&amp;"("&amp;$I$65&amp;")&gt; "&amp;" ","")&amp;IF($E$65=D$3,$D$65&amp;"("&amp;$I$65&amp;")"&amp;" ","")&amp;IF($E$66=$E$54," &lt;"&amp;$D$66&amp;"("&amp;$I$66&amp;")&gt; "&amp;" ","")&amp;IF($E$66=D$3,$D$66&amp;"("&amp;$I$66&amp;")"&amp;" ","")&amp;IF($E$67=$E$54," &lt;"&amp;$D$67&amp;"("&amp;$I$67&amp;")&gt; "&amp;" ","")&amp;IF($E$67=D$3,$D$67&amp;"("&amp;$I$67&amp;")"&amp;" ","")&amp;IF($E$68=$E$54," &lt;"&amp;$D$68&amp;"("&amp;$I$68&amp;")&gt; "&amp;" ","")&amp;IF($E$68=D$3,$D$68&amp;"("&amp;$I$68&amp;")"&amp;" ","")&amp;IF($E$69=$E$54," &lt;"&amp;$D$69&amp;"("&amp;$I$69&amp;")&gt; "&amp;" ","")&amp;IF($E$69=D$3,$D$69&amp;"("&amp;$I$69&amp;")"&amp;" ","")&amp;IF($E$70=D$3,$D$70&amp;"("&amp;$I$70&amp;")"&amp;" ","")&amp;IF($E$71=D$3,$D$71&amp;"("&amp;$I$71&amp;")"&amp;" ","")&amp;IF($E$72=D$3,$D$72&amp;"("&amp;$I$72&amp;")"&amp;" ","")&amp;IF($E$73=D$3,$D$73&amp;"("&amp;$I$73&amp;")"&amp;" ","")&amp;IF(COUNTIF($E$58:$E$73,D$3)=0,"-","")</f>
        <v xml:space="preserve"> &lt;S10(7)&gt;  S12(6) </v>
      </c>
      <c r="E4" s="367"/>
      <c r="F4" s="366" t="str">
        <f>IF($E$58=F$3,$D$58&amp;"("&amp;$I$58&amp;")"&amp;" ","")&amp;IF($E$59=F$3,$D$59&amp;"("&amp;$I$59&amp;")"&amp;"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","")&amp;IF(COUNTIF($E$58:$E$72,F$3)=0,"-","")</f>
        <v xml:space="preserve">S9(6) S6(1) </v>
      </c>
      <c r="G4" s="367"/>
      <c r="H4" s="366" t="str">
        <f>IF($E$58=H$3,$D$58&amp;"("&amp;$I$58&amp;")"&amp;" ","")&amp;IF($E$59=H$3,$D$59&amp;"("&amp;$I$59&amp;")"&amp;"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","")&amp;IF(COUNTIF($E$58:$E$72,H$3)=0,"-","")</f>
        <v xml:space="preserve">S5(7) S11(7) </v>
      </c>
      <c r="I4" s="367"/>
      <c r="J4" s="366" t="str">
        <f>IF($E$58=$E$55," &lt;"&amp;$D$58&amp;"("&amp;$I$58&amp;")&gt; "&amp;" ","")&amp;IF($E$58=J$3,$D$58&amp;"("&amp;$I$58&amp;")"&amp;" ","")&amp;IF($E$59=$E$55," &lt;"&amp;$D$59&amp;"("&amp;$I$59&amp;")&gt; "&amp;" ","")&amp;IF($E$59=J$3,$D$59&amp;"("&amp;$I$59&amp;")"&amp;" ","")&amp;IF($E$60=$E$55," &lt;"&amp;$D$60&amp;"("&amp;$I$60&amp;")&gt; "&amp;" ","")&amp;IF($E$60=J$3,$D$60&amp;"("&amp;$I$60&amp;")"&amp;" ","")&amp;IF($E$61=$E$55," &lt;"&amp;$D$61&amp;"("&amp;$I$61&amp;")&gt; "&amp;" ","")&amp;IF($E$61=J$3,$D$61&amp;"("&amp;$I$61&amp;")"&amp;" ","")&amp;IF($E$62=$E$55," &lt;"&amp;$D$62&amp;"("&amp;$I$62&amp;")&gt; "&amp;" ","")&amp;IF($E$62=J$3,$D$62&amp;"("&amp;$I$62&amp;")"&amp;" ","")&amp;IF($E$63=$E$55," &lt;"&amp;$D$63&amp;"("&amp;$I$63&amp;")&gt; "&amp;" ","")&amp;IF($E$63=J$3,$D$63&amp;"("&amp;$I$63&amp;")"&amp;" ","")&amp;IF($E$64=$E$55," &lt;"&amp;$D$64&amp;"("&amp;$I$64&amp;")&gt; "&amp;" ","")&amp;IF($E$64=J$3,$D$64&amp;"("&amp;$I$64&amp;")"&amp;" ","")&amp;IF($E$65=$E$55," &lt;"&amp;$D$65&amp;"("&amp;$I$65&amp;")&gt; "&amp;" ","")&amp;IF($E$65=J$3,$D$65&amp;"("&amp;$I$65&amp;")"&amp;" ","")&amp;IF($E$66=$E$55," &lt;"&amp;$D$66&amp;"("&amp;$I$66&amp;")&gt; "&amp;" ","")&amp;IF($E$66=J$3,$D$66&amp;"("&amp;$I$66&amp;")"&amp;" ","")&amp;IF($E$67=$E$55," &lt;"&amp;$D$67&amp;"("&amp;$I$67&amp;")&gt; "&amp;" ","")&amp;IF($E$67=J$3,$D$67&amp;"("&amp;$I$67&amp;")"&amp;" ","")&amp;IF($E$68=$E$55," &lt;"&amp;$D$68&amp;"("&amp;$I$68&amp;")&gt; "&amp;" ","")&amp;IF($E$68=J$3,$D$68&amp;"("&amp;$I$68&amp;")"&amp;" ","")&amp;IF($E$69=$E$55," &lt;"&amp;$D$69&amp;"("&amp;$I$69&amp;")&gt; "&amp;" ","")&amp;IF($E$69=J$3,$D$69&amp;"("&amp;$I$69&amp;")"&amp;" ","")&amp;IF($E$70=J$3,$D$70&amp;"("&amp;$I$70&amp;")"&amp;" ","")&amp;IF($E$71=J$3,$D$71&amp;"("&amp;$I$71&amp;")"&amp;" ","")&amp;IF($E$72=J$3,$D$72&amp;"("&amp;$I$72&amp;")"&amp;" ","")&amp;IF($E$73=J$3,$D$73&amp;"("&amp;$I$73&amp;")"&amp;" ","")&amp;IF(COUNTIF($E$58:$E$73,J$3)=0,"-","")</f>
        <v xml:space="preserve"> &lt;S7(6)&gt;  S8(7) </v>
      </c>
      <c r="K4" s="367"/>
      <c r="L4" s="366" t="str">
        <f>IF($E$58=L$3,$D$58&amp;"("&amp;$I$58&amp;")"&amp;" ","")&amp;IF($E$59=L$3,$D$59&amp;"("&amp;$I$59&amp;")"&amp;"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","")&amp;IF(COUNTIF($E$58:$E$72,L$3)=0,"-","")</f>
        <v xml:space="preserve">S6(6)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47" t="s">
        <v>52</v>
      </c>
      <c r="C7" s="247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38" si="0">IF($E8&lt;&gt;"",IF($E8-715&lt;0,VLOOKUP($B$3,$E$58:$J$69,6,FALSE),IF(AND($E8-2130&gt;0,_xlfn.IFNA(MATCH($D8,$D$102:$D$112,0)&lt;20,"")=TRUE),VLOOKUP($L$3,$E$58:$J$69,6,FALSE),"-")),"")</f>
        <v>S3</v>
      </c>
      <c r="C8" s="9" t="str">
        <f t="shared" ref="C8:C38" si="1">IF($E8&lt;&gt;"",IF(ISNUMBER(SEARCH("Hall Operation",$K8)),"-",IF($E8-715&lt;0,VLOOKUP($B$3,$E$58:$J$69,6,FALSE),IF($E8-2129&gt;0,VLOOKUP($L$3,$E$58:$J$69,6,FALSE),""))),"")</f>
        <v>-</v>
      </c>
      <c r="D8" s="165" t="s">
        <v>82</v>
      </c>
      <c r="E8" s="172" t="str">
        <f>IF($D8&gt;0,VLOOKUP($D8,Flight!$A$1:$E$91,2,FALSE),"")</f>
        <v>0555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8" si="2">IF($D8=0,"",IF(OR(ISNUMBER(SEARCH("S",$B8)),_xlfn.IFNA(MATCH($D8,$D$102:$D$112,0)&lt;20,"")=TRUE),"&lt;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>IF($F9="Wavied","-",IF($D9=0,"",ROW($A9)-ROW($A$8)+1-COUNTIF($A$8:$A8,"@")-COUNTIF($A$8:$A8,"-")))</f>
        <v>2</v>
      </c>
      <c r="B9" s="9" t="str">
        <f t="shared" si="0"/>
        <v>S3</v>
      </c>
      <c r="C9" s="9" t="str">
        <f t="shared" si="1"/>
        <v>-</v>
      </c>
      <c r="D9" s="213" t="s">
        <v>365</v>
      </c>
      <c r="E9" s="172" t="str">
        <f>IF($D9&gt;0,VLOOKUP($D9,Flight!$A$1:$E$91,2,FALSE),"")</f>
        <v>0640</v>
      </c>
      <c r="F9" s="45"/>
      <c r="G9" s="43" t="str">
        <f t="shared" ref="G9:G38" si="3">IF(A9="@",IF(H9="ZYK","Berth 3",IF(H9="HKM","Bay 7","")),"")</f>
        <v/>
      </c>
      <c r="H9" s="44" t="str">
        <f>IF($D9&gt;0,VLOOKUP($D9,Flight!$A$1:$E$91,3,FALSE),"")</f>
        <v>DEL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>IF($F10="Wavied","-",IF($D10=0,"",ROW($A10)-ROW($A$8)+1-COUNTIF($A$8:$A9,"@")-COUNTIF($A$8:$A9,"-")))</f>
        <v>3</v>
      </c>
      <c r="B10" s="9" t="str">
        <f t="shared" si="0"/>
        <v>S3</v>
      </c>
      <c r="C10" s="9" t="str">
        <f t="shared" si="1"/>
        <v>-</v>
      </c>
      <c r="D10" s="213" t="s">
        <v>366</v>
      </c>
      <c r="E10" s="172" t="str">
        <f>IF($D10&gt;0,VLOOKUP($D10,Flight!$A$1:$E$91,2,FALSE),"")</f>
        <v>0615</v>
      </c>
      <c r="F10" s="45"/>
      <c r="G10" s="43" t="str">
        <f t="shared" si="3"/>
        <v/>
      </c>
      <c r="H10" s="44" t="str">
        <f>IF($D10&gt;0,VLOOKUP($D10,Flight!$A$1:$E$91,3,FALSE),"")</f>
        <v>DEL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IF($F11="Wavied","-",IF($D11=0,"",ROW($A11)-ROW($A$8)+1-COUNTIF($A$8:$A10,"@")-COUNTIF($A$8:$A10,"-")))</f>
        <v>4</v>
      </c>
      <c r="B11" s="9" t="str">
        <f t="shared" si="0"/>
        <v>S3</v>
      </c>
      <c r="C11" s="9" t="str">
        <f t="shared" si="1"/>
        <v>-</v>
      </c>
      <c r="D11" s="27" t="s">
        <v>367</v>
      </c>
      <c r="E11" s="172" t="str">
        <f>IF($D11&gt;0,VLOOKUP($D11,Flight!$A$1:$E$91,2,FALSE),"")</f>
        <v>0545</v>
      </c>
      <c r="F11" s="43"/>
      <c r="G11" s="43" t="str">
        <f t="shared" si="3"/>
        <v/>
      </c>
      <c r="H11" s="44" t="str">
        <f>IF($D11&gt;0,VLOOKUP($D11,Flight!$A$1:$E$91,3,FALSE),"")</f>
        <v>CGK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>IF($F12="Wavied","-",IF($D12=0,"",ROW($A12)-ROW($A$8)+1-COUNTIF($A$8:$A11,"@")-COUNTIF($A$8:$A11,"-")))</f>
        <v>5</v>
      </c>
      <c r="B12" s="9" t="str">
        <f t="shared" si="0"/>
        <v>S3</v>
      </c>
      <c r="C12" s="9" t="str">
        <f t="shared" si="1"/>
        <v>-</v>
      </c>
      <c r="D12" s="27" t="s">
        <v>368</v>
      </c>
      <c r="E12" s="172" t="str">
        <f>IF($D12&gt;0,VLOOKUP($D12,Flight!$A$1:$E$91,2,FALSE),"")</f>
        <v>0555</v>
      </c>
      <c r="F12" s="45"/>
      <c r="G12" s="43" t="str">
        <f t="shared" si="3"/>
        <v/>
      </c>
      <c r="H12" s="44" t="str">
        <f>IF($D12&gt;0,VLOOKUP($D12,Flight!$A$1:$E$91,3,FALSE),"")</f>
        <v>BKK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>IF($F13="Wavied","-",IF($D13=0,"",ROW($A13)-ROW($A$8)+1-COUNTIF($A$8:$A12,"@")-COUNTIF($A$8:$A12,"-")))</f>
        <v>6</v>
      </c>
      <c r="B13" s="9" t="s">
        <v>747</v>
      </c>
      <c r="C13" s="9" t="str">
        <f t="shared" si="1"/>
        <v>-</v>
      </c>
      <c r="D13" s="213" t="s">
        <v>369</v>
      </c>
      <c r="E13" s="172" t="str">
        <f>IF($D13&gt;0,VLOOKUP($D13,Flight!$A$1:$E$91,2,FALSE),"")</f>
        <v>0905</v>
      </c>
      <c r="F13" s="46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f>IF($F14="Wavied","-",IF($D14=0,"",ROW($A14)-ROW($A$8)+1-COUNTIF($A$8:$A13,"@")-COUNTIF($A$8:$A13,"-")))</f>
        <v>7</v>
      </c>
      <c r="B14" s="9" t="s">
        <v>164</v>
      </c>
      <c r="C14" s="9" t="str">
        <f t="shared" si="1"/>
        <v>-</v>
      </c>
      <c r="D14" s="213" t="s">
        <v>370</v>
      </c>
      <c r="E14" s="172" t="str">
        <f>IF($D14&gt;0,VLOOKUP($D14,Flight!$A$1:$E$91,2,FALSE),"")</f>
        <v>0935</v>
      </c>
      <c r="F14" s="46"/>
      <c r="G14" s="43" t="str">
        <f t="shared" si="3"/>
        <v/>
      </c>
      <c r="H14" s="44" t="str">
        <f>IF($D14&gt;0,VLOOKUP($D14,Flight!$A$1:$E$91,3,FALSE),"")</f>
        <v>BLR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>IF($F15="Wavied","-",IF($D15=0,"",ROW($A15)-ROW($A$8)+1-COUNTIF($A$8:$A14,"@")-COUNTIF($A$8:$A14,"-")))</f>
        <v>8</v>
      </c>
      <c r="B15" s="9" t="s">
        <v>748</v>
      </c>
      <c r="C15" s="9" t="str">
        <f t="shared" si="1"/>
        <v>-</v>
      </c>
      <c r="D15" s="213" t="s">
        <v>371</v>
      </c>
      <c r="E15" s="172" t="str">
        <f>IF($D15&gt;0,VLOOKUP($D15,Flight!$A$1:$E$91,2,FALSE),"")</f>
        <v>0955</v>
      </c>
      <c r="F15" s="46"/>
      <c r="G15" s="43" t="str">
        <f t="shared" si="3"/>
        <v/>
      </c>
      <c r="H15" s="44" t="str">
        <f>IF($D15&gt;0,VLOOKUP($D15,Flight!$A$1:$E$91,3,FALSE),"")</f>
        <v>BOM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f>IF($F16="Wavied","-",IF($D16=0,"",ROW($A16)-ROW($A$8)+1-COUNTIF($A$8:$A15,"@")-COUNTIF($A$8:$A15,"-")))</f>
        <v>9</v>
      </c>
      <c r="B16" s="9" t="s">
        <v>790</v>
      </c>
      <c r="C16" s="9" t="str">
        <f t="shared" si="1"/>
        <v>-</v>
      </c>
      <c r="D16" s="27" t="s">
        <v>372</v>
      </c>
      <c r="E16" s="172" t="str">
        <f>IF($D16&gt;0,VLOOKUP($D16,Flight!$A$1:$E$91,2,FALSE),"")</f>
        <v>1000</v>
      </c>
      <c r="F16" s="45"/>
      <c r="G16" s="43" t="str">
        <f t="shared" si="3"/>
        <v/>
      </c>
      <c r="H16" s="44" t="str">
        <f>IF($D16&gt;0,VLOOKUP($D16,Flight!$A$1:$E$91,3,FALSE),"")</f>
        <v>DMK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f>IF($F17="Wavied","-",IF($D17=0,"",ROW($A17)-ROW($A$8)+1-COUNTIF($A$8:$A16,"@")-COUNTIF($A$8:$A16,"-")))</f>
        <v>10</v>
      </c>
      <c r="B17" s="9" t="s">
        <v>166</v>
      </c>
      <c r="C17" s="9" t="str">
        <f t="shared" si="1"/>
        <v>-</v>
      </c>
      <c r="D17" s="27" t="s">
        <v>373</v>
      </c>
      <c r="E17" s="172" t="str">
        <f>IF($D17&gt;0,VLOOKUP($D17,Flight!$A$1:$E$91,2,FALSE),"")</f>
        <v>1010</v>
      </c>
      <c r="F17" s="45"/>
      <c r="G17" s="43" t="str">
        <f t="shared" si="3"/>
        <v/>
      </c>
      <c r="H17" s="44" t="str">
        <f>IF($D17&gt;0,VLOOKUP($D17,Flight!$A$1:$E$91,3,FALSE),"")</f>
        <v>MNL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>IF($F18="Wavied","-",IF($D18=0,"",ROW($A18)-ROW($A$8)+1-COUNTIF($A$8:$A17,"@")-COUNTIF($A$8:$A17,"-")))</f>
        <v>11</v>
      </c>
      <c r="B18" s="9" t="s">
        <v>165</v>
      </c>
      <c r="C18" s="9" t="str">
        <f t="shared" si="1"/>
        <v>-</v>
      </c>
      <c r="D18" s="27" t="s">
        <v>374</v>
      </c>
      <c r="E18" s="172" t="str">
        <f>IF($D18&gt;0,VLOOKUP($D18,Flight!$A$1:$E$91,2,FALSE),"")</f>
        <v>1115</v>
      </c>
      <c r="F18" s="45"/>
      <c r="G18" s="43" t="str">
        <f t="shared" si="3"/>
        <v/>
      </c>
      <c r="H18" s="44" t="str">
        <f>IF($D18&gt;0,VLOOKUP($D18,Flight!$A$1:$E$91,3,FALSE),"")</f>
        <v>KUL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>&lt;   Hall Operation   &gt;</v>
      </c>
      <c r="L18" s="166"/>
      <c r="M18" s="166"/>
      <c r="O18" s="114"/>
    </row>
    <row r="19" spans="1:15">
      <c r="A19" s="9">
        <f>IF($F19="Wavied","-",IF($D19=0,"",ROW($A19)-ROW($A$8)+1-COUNTIF($A$8:$A18,"@")-COUNTIF($A$8:$A18,"-")))</f>
        <v>12</v>
      </c>
      <c r="B19" s="9" t="s">
        <v>88</v>
      </c>
      <c r="C19" s="9" t="str">
        <f t="shared" si="1"/>
        <v>-</v>
      </c>
      <c r="D19" s="27" t="s">
        <v>375</v>
      </c>
      <c r="E19" s="172" t="str">
        <f>IF($D19&gt;0,VLOOKUP($D19,Flight!$A$1:$E$91,2,FALSE),"")</f>
        <v>1145</v>
      </c>
      <c r="F19" s="45"/>
      <c r="G19" s="43" t="str">
        <f t="shared" si="3"/>
        <v/>
      </c>
      <c r="H19" s="44" t="str">
        <f>IF($D19&gt;0,VLOOKUP($D19,Flight!$A$1:$E$91,3,FALSE),"")</f>
        <v>BKK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>&lt;   Hall Operation   &gt;</v>
      </c>
      <c r="L19" s="166"/>
      <c r="M19" s="166"/>
      <c r="O19" s="114"/>
    </row>
    <row r="20" spans="1:15">
      <c r="A20" s="9">
        <f>IF($F20="Wavied","-",IF($D20=0,"",ROW($A20)-ROW($A$8)+1-COUNTIF($A$8:$A19,"@")-COUNTIF($A$8:$A19,"-")))</f>
        <v>13</v>
      </c>
      <c r="B20" s="9" t="s">
        <v>790</v>
      </c>
      <c r="C20" s="9" t="str">
        <f t="shared" si="1"/>
        <v>-</v>
      </c>
      <c r="D20" s="9" t="s">
        <v>376</v>
      </c>
      <c r="E20" s="172" t="str">
        <f>IF($D20&gt;0,VLOOKUP($D20,Flight!$A$1:$E$91,2,FALSE),"")</f>
        <v>1305</v>
      </c>
      <c r="F20" s="45"/>
      <c r="G20" s="43" t="str">
        <f t="shared" si="3"/>
        <v/>
      </c>
      <c r="H20" s="44" t="str">
        <f>IF($D20&gt;0,VLOOKUP($D20,Flight!$A$1:$E$91,3,FALSE),"")</f>
        <v>DMK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>&lt;   Hall Operation   &gt;</v>
      </c>
      <c r="L20" s="166"/>
      <c r="M20" s="166"/>
      <c r="O20" s="114"/>
    </row>
    <row r="21" spans="1:15" ht="15.75" customHeight="1">
      <c r="A21" s="9">
        <f>IF($F21="Wavied","-",IF($D21=0,"",ROW($A21)-ROW($A$8)+1-COUNTIF($A$8:$A20,"@")-COUNTIF($A$8:$A20,"-")))</f>
        <v>14</v>
      </c>
      <c r="B21" s="9" t="s">
        <v>747</v>
      </c>
      <c r="C21" s="9" t="str">
        <f t="shared" si="1"/>
        <v>-</v>
      </c>
      <c r="D21" s="214" t="s">
        <v>377</v>
      </c>
      <c r="E21" s="172" t="str">
        <f>IF($D21&gt;0,VLOOKUP($D21,Flight!$A$1:$E$91,2,FALSE),"")</f>
        <v>1310</v>
      </c>
      <c r="F21" s="44"/>
      <c r="G21" s="43" t="str">
        <f t="shared" si="3"/>
        <v/>
      </c>
      <c r="H21" s="44" t="str">
        <f>IF($D21&gt;0,VLOOKUP($D21,Flight!$A$1:$E$91,3,FALSE),"")</f>
        <v>DEL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>&lt;   Hall Operation   &gt;</v>
      </c>
      <c r="L21" s="166"/>
      <c r="M21" s="166"/>
      <c r="O21" s="114"/>
    </row>
    <row r="22" spans="1:15">
      <c r="A22" s="9">
        <f>IF($F22="Wavied","-",IF($D22=0,"",ROW($A22)-ROW($A$8)+1-COUNTIF($A$8:$A21,"@")-COUNTIF($A$8:$A21,"-")))</f>
        <v>15</v>
      </c>
      <c r="B22" s="9" t="s">
        <v>748</v>
      </c>
      <c r="C22" s="9" t="str">
        <f t="shared" si="1"/>
        <v>-</v>
      </c>
      <c r="D22" s="9" t="s">
        <v>378</v>
      </c>
      <c r="E22" s="172" t="str">
        <f>IF($D22&gt;0,VLOOKUP($D22,Flight!$A$1:$E$91,2,FALSE),"")</f>
        <v>1415</v>
      </c>
      <c r="F22" s="44"/>
      <c r="G22" s="43" t="str">
        <f t="shared" si="3"/>
        <v/>
      </c>
      <c r="H22" s="44" t="str">
        <f>IF($D22&gt;0,VLOOKUP($D22,Flight!$A$1:$E$91,3,FALSE),"")</f>
        <v>KUL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>&lt;   Hall Operation   &gt;</v>
      </c>
      <c r="L22" s="166"/>
      <c r="M22" s="166"/>
      <c r="O22" s="114"/>
    </row>
    <row r="23" spans="1:15">
      <c r="A23" s="9">
        <f>IF($F23="Wavied","-",IF($D23=0,"",ROW($A23)-ROW($A$8)+1-COUNTIF($A$8:$A22,"@")-COUNTIF($A$8:$A22,"-")))</f>
        <v>16</v>
      </c>
      <c r="B23" s="9" t="s">
        <v>790</v>
      </c>
      <c r="C23" s="9" t="str">
        <f t="shared" si="1"/>
        <v>-</v>
      </c>
      <c r="D23" s="27" t="s">
        <v>379</v>
      </c>
      <c r="E23" s="172" t="str">
        <f>IF($D23&gt;0,VLOOKUP($D23,Flight!$A$1:$E$91,2,FALSE),"")</f>
        <v>1420</v>
      </c>
      <c r="F23" s="44"/>
      <c r="G23" s="43" t="str">
        <f t="shared" si="3"/>
        <v/>
      </c>
      <c r="H23" s="44" t="str">
        <f>IF($D23&gt;0,VLOOKUP($D23,Flight!$A$1:$E$91,3,FALSE),"")</f>
        <v>BKK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>&lt;   Hall Operation   &gt;</v>
      </c>
      <c r="L23" s="166"/>
      <c r="M23" s="166"/>
      <c r="O23" s="114"/>
    </row>
    <row r="24" spans="1:15">
      <c r="A24" s="9">
        <f>IF($F24="Wavied","-",IF($D24=0,"",ROW($A24)-ROW($A$8)+1-COUNTIF($A$8:$A23,"@")-COUNTIF($A$8:$A23,"-")))</f>
        <v>17</v>
      </c>
      <c r="B24" s="9" t="s">
        <v>749</v>
      </c>
      <c r="C24" s="9" t="str">
        <f t="shared" si="1"/>
        <v>-</v>
      </c>
      <c r="D24" s="27" t="s">
        <v>380</v>
      </c>
      <c r="E24" s="172" t="str">
        <f>IF($D24&gt;0,VLOOKUP($D24,Flight!$A$1:$E$91,2,FALSE),"")</f>
        <v>1455</v>
      </c>
      <c r="F24" s="45"/>
      <c r="G24" s="43" t="str">
        <f t="shared" si="3"/>
        <v/>
      </c>
      <c r="H24" s="44" t="str">
        <f>IF($D24&gt;0,VLOOKUP($D24,Flight!$A$1:$E$91,3,FALSE),"")</f>
        <v>ADD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>&lt;   Hall Operation   &gt;</v>
      </c>
      <c r="L24" s="166"/>
      <c r="M24" s="166"/>
      <c r="O24" s="114"/>
    </row>
    <row r="25" spans="1:15">
      <c r="A25" s="9">
        <f>IF($F25="Wavied","-",IF($D25=0,"",ROW($A25)-ROW($A$8)+1-COUNTIF($A$8:$A24,"@")-COUNTIF($A$8:$A24,"-")))</f>
        <v>18</v>
      </c>
      <c r="B25" s="9" t="str">
        <f t="shared" si="0"/>
        <v>-</v>
      </c>
      <c r="C25" s="9" t="s">
        <v>88</v>
      </c>
      <c r="D25" s="27" t="s">
        <v>381</v>
      </c>
      <c r="E25" s="172" t="str">
        <f>IF($D25&gt;0,VLOOKUP($D25,Flight!$A$1:$E$91,2,FALSE),"")</f>
        <v>1510</v>
      </c>
      <c r="F25" s="45"/>
      <c r="G25" s="43" t="str">
        <f t="shared" si="3"/>
        <v/>
      </c>
      <c r="H25" s="44" t="str">
        <f>IF($D25&gt;0,VLOOKUP($D25,Flight!$A$1:$E$91,3,FALSE),"")</f>
        <v>DOH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>IF($F26="Wavied","-",IF($D26=0,"",ROW($A26)-ROW($A$8)+1-COUNTIF($A$8:$A25,"@")-COUNTIF($A$8:$A25,"-")))</f>
        <v>19</v>
      </c>
      <c r="B26" s="9" t="str">
        <f t="shared" si="0"/>
        <v>-</v>
      </c>
      <c r="C26" s="9" t="s">
        <v>802</v>
      </c>
      <c r="D26" s="27" t="s">
        <v>382</v>
      </c>
      <c r="E26" s="172" t="str">
        <f>IF($D26&gt;0,VLOOKUP($D26,Flight!$A$1:$E$91,2,FALSE),"")</f>
        <v>1715</v>
      </c>
      <c r="F26" s="44"/>
      <c r="G26" s="43" t="str">
        <f t="shared" si="3"/>
        <v/>
      </c>
      <c r="H26" s="44" t="str">
        <f>IF($D26&gt;0,VLOOKUP($D26,Flight!$A$1:$E$91,3,FALSE),"")</f>
        <v>IST</v>
      </c>
      <c r="I26" s="44" t="str">
        <f>IF($D26&gt;0,IF(VLOOKUP($D26,Flight!$A$1:$E$91,4,FALSE)&gt;1,VLOOKUP($D26,Flight!$A$1:$E109,4,FALSE),""),"")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>IF($F27="Wavied","-",IF($D27=0,"",ROW($A27)-ROW($A$8)+1-COUNTIF($A$8:$A26,"@")-COUNTIF($A$8:$A26,"-")))</f>
        <v>20</v>
      </c>
      <c r="B27" s="9" t="str">
        <f t="shared" si="0"/>
        <v>-</v>
      </c>
      <c r="C27" s="9" t="s">
        <v>799</v>
      </c>
      <c r="D27" s="27" t="s">
        <v>383</v>
      </c>
      <c r="E27" s="172" t="str">
        <f>IF($D27&gt;0,VLOOKUP($D27,Flight!$A$1:$E$91,2,FALSE),"")</f>
        <v>1755</v>
      </c>
      <c r="F27" s="45"/>
      <c r="G27" s="43" t="str">
        <f t="shared" si="3"/>
        <v/>
      </c>
      <c r="H27" s="44" t="str">
        <f>IF($D27&gt;0,VLOOKUP($D27,Flight!$A$1:$E$91,3,FALSE),"")</f>
        <v>KUL</v>
      </c>
      <c r="I27" s="44" t="str">
        <f>IF($D27&gt;0,IF(VLOOKUP($D27,Flight!$A$1:$E$91,4,FALSE)&gt;1,VLOOKUP($D27,Flight!$A$1:$E110,4,FALSE),""),"")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>IF($F28="Wavied","-",IF($D28=0,"",ROW($A28)-ROW($A$8)+1-COUNTIF($A$8:$A27,"@")-COUNTIF($A$8:$A27,"-")))</f>
        <v>21</v>
      </c>
      <c r="B28" s="9" t="str">
        <f t="shared" si="0"/>
        <v>-</v>
      </c>
      <c r="C28" s="9" t="s">
        <v>207</v>
      </c>
      <c r="D28" s="27" t="s">
        <v>384</v>
      </c>
      <c r="E28" s="172" t="str">
        <f>IF($D28&gt;0,VLOOKUP($D28,Flight!$A$1:$E$91,2,FALSE),"")</f>
        <v>1805</v>
      </c>
      <c r="F28" s="45"/>
      <c r="G28" s="43" t="str">
        <f t="shared" si="3"/>
        <v/>
      </c>
      <c r="H28" s="44" t="str">
        <f>IF($D28&gt;0,VLOOKUP($D28,Flight!$A$1:$E$91,3,FALSE),"")</f>
        <v>DXB</v>
      </c>
      <c r="I28" s="44" t="str">
        <f>IF($D28&gt;0,IF(VLOOKUP($D28,Flight!$A$1:$E$91,4,FALSE)&gt;1,VLOOKUP($D28,Flight!$A$1:$E111,4,FALSE),""),"")</f>
        <v>BKK</v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</row>
    <row r="29" spans="1:15">
      <c r="A29" s="9">
        <f>IF($F29="Wavied","-",IF($D29=0,"",ROW($A29)-ROW($A$8)+1-COUNTIF($A$8:$A28,"@")-COUNTIF($A$8:$A28,"-")))</f>
        <v>22</v>
      </c>
      <c r="B29" s="9" t="str">
        <f t="shared" si="0"/>
        <v>-</v>
      </c>
      <c r="C29" s="9" t="s">
        <v>800</v>
      </c>
      <c r="D29" s="27" t="s">
        <v>391</v>
      </c>
      <c r="E29" s="172" t="str">
        <f>IF($D29&gt;0,VLOOKUP($D29,Flight!$A$1:$E$91,2,FALSE),"")</f>
        <v>1720</v>
      </c>
      <c r="F29" s="49"/>
      <c r="G29" s="43" t="str">
        <f t="shared" si="3"/>
        <v/>
      </c>
      <c r="H29" s="44" t="str">
        <f>IF($D29&gt;0,VLOOKUP($D29,Flight!$A$1:$E$91,3,FALSE),"")</f>
        <v>MNL</v>
      </c>
      <c r="I29" s="44" t="str">
        <f>IF($D29&gt;0,IF(VLOOKUP($D29,Flight!$A$1:$E$91,4,FALSE)&gt;1,VLOOKUP($D29,Flight!$A$1:$E112,4,FALSE),""),"")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>IF($F30="Wavied","-",IF($D30=0,"",ROW($A30)-ROW($A$8)+1-COUNTIF($A$8:$A29,"@")-COUNTIF($A$8:$A29,"-")))</f>
        <v>23</v>
      </c>
      <c r="B30" s="9" t="str">
        <f t="shared" si="0"/>
        <v>-</v>
      </c>
      <c r="C30" s="9" t="s">
        <v>161</v>
      </c>
      <c r="D30" s="27" t="s">
        <v>385</v>
      </c>
      <c r="E30" s="172" t="str">
        <f>IF($D30&gt;0,VLOOKUP($D30,Flight!$A$1:$E$91,2,FALSE),"")</f>
        <v>1810</v>
      </c>
      <c r="F30" s="45"/>
      <c r="G30" s="43" t="str">
        <f t="shared" si="3"/>
        <v/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>
      <c r="A31" s="9">
        <f>IF($F31="Wavied","-",IF($D31=0,"",ROW($A31)-ROW($A$8)+1-COUNTIF($A$8:$A30,"@")-COUNTIF($A$8:$A30,"-")))</f>
        <v>24</v>
      </c>
      <c r="B31" s="9" t="str">
        <f t="shared" si="0"/>
        <v>-</v>
      </c>
      <c r="C31" s="9" t="s">
        <v>801</v>
      </c>
      <c r="D31" s="27" t="s">
        <v>386</v>
      </c>
      <c r="E31" s="172" t="str">
        <f>IF($D31&gt;0,VLOOKUP($D31,Flight!$A$1:$E$91,2,FALSE),"")</f>
        <v>1745</v>
      </c>
      <c r="F31" s="45"/>
      <c r="G31" s="43" t="str">
        <f t="shared" si="3"/>
        <v/>
      </c>
      <c r="H31" s="44" t="str">
        <f>IF($D31&gt;0,VLOOKUP($D31,Flight!$A$1:$E$91,3,FALSE),"")</f>
        <v>BKK</v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2"/>
        <v/>
      </c>
      <c r="L31" s="166"/>
      <c r="M31" s="166"/>
    </row>
    <row r="32" spans="1:15">
      <c r="A32" s="9">
        <f>IF($F32="Wavied","-",IF($D32=0,"",ROW($A32)-ROW($A$8)+1-COUNTIF($A$8:$A31,"@")-COUNTIF($A$8:$A31,"-")))</f>
        <v>25</v>
      </c>
      <c r="B32" s="9" t="str">
        <f t="shared" si="0"/>
        <v>-</v>
      </c>
      <c r="C32" s="9" t="s">
        <v>800</v>
      </c>
      <c r="D32" s="27" t="s">
        <v>387</v>
      </c>
      <c r="E32" s="172" t="str">
        <f>IF($D32&gt;0,VLOOKUP($D32,Flight!$A$1:$E$91,2,FALSE),"")</f>
        <v>1920</v>
      </c>
      <c r="F32" s="46"/>
      <c r="G32" s="43" t="str">
        <f t="shared" si="3"/>
        <v/>
      </c>
      <c r="H32" s="44" t="str">
        <f>IF($D32&gt;0,VLOOKUP($D32,Flight!$A$1:$E$91,3,FALSE),"")</f>
        <v>DMK</v>
      </c>
      <c r="I32" s="44" t="str">
        <f>IF($D32&gt;0,IF(VLOOKUP($D32,Flight!$A$1:$E$91,4,FALSE)&gt;1,VLOOKUP($D32,Flight!$A$1:$E115,4,FALSE),""),"")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2"/>
        <v/>
      </c>
      <c r="L32" s="166"/>
      <c r="M32" s="166"/>
    </row>
    <row r="33" spans="1:18">
      <c r="A33" s="9">
        <f>IF($F33="Wavied","-",IF($D33=0,"",ROW($A33)-ROW($A$8)+1-COUNTIF($A$8:$A32,"@")-COUNTIF($A$8:$A32,"-")))</f>
        <v>26</v>
      </c>
      <c r="B33" s="9" t="str">
        <f t="shared" si="0"/>
        <v>-</v>
      </c>
      <c r="C33" s="9" t="s">
        <v>161</v>
      </c>
      <c r="D33" s="27" t="s">
        <v>388</v>
      </c>
      <c r="E33" s="172" t="str">
        <f>IF($D33&gt;0,VLOOKUP($D33,Flight!$A$1:$E$91,2,FALSE),"")</f>
        <v>1950</v>
      </c>
      <c r="F33" s="45"/>
      <c r="G33" s="43" t="str">
        <f t="shared" si="3"/>
        <v/>
      </c>
      <c r="H33" s="44" t="str">
        <f>IF($D33&gt;0,VLOOKUP($D33,Flight!$A$1:$E$91,3,FALSE),"")</f>
        <v>BKK</v>
      </c>
      <c r="I33" s="44" t="str">
        <f>IF($D33&gt;0,IF(VLOOKUP($D33,Flight!$A$1:$E$91,4,FALSE)&gt;1,VLOOKUP($D33,Flight!$A$1:$E116,4,FALSE),""),"")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2"/>
        <v/>
      </c>
      <c r="L33" s="166"/>
      <c r="M33" s="166"/>
    </row>
    <row r="34" spans="1:18">
      <c r="A34" s="9">
        <f>IF($F34="Wavied","-",IF($D34=0,"",ROW($A34)-ROW($A$8)+1-COUNTIF($A$8:$A33,"@")-COUNTIF($A$8:$A33,"-")))</f>
        <v>27</v>
      </c>
      <c r="B34" s="9" t="str">
        <f t="shared" si="0"/>
        <v>-</v>
      </c>
      <c r="C34" s="9" t="s">
        <v>801</v>
      </c>
      <c r="D34" s="27" t="s">
        <v>389</v>
      </c>
      <c r="E34" s="172" t="str">
        <f>IF($D34&gt;0,VLOOKUP($D34,Flight!$A$1:$E$91,2,FALSE),"")</f>
        <v>2030</v>
      </c>
      <c r="F34" s="45"/>
      <c r="G34" s="43" t="str">
        <f t="shared" si="3"/>
        <v/>
      </c>
      <c r="H34" s="44" t="str">
        <f>IF($D34&gt;0,VLOOKUP($D34,Flight!$A$1:$E$91,3,FALSE),"")</f>
        <v>CGK</v>
      </c>
      <c r="I34" s="44" t="str">
        <f>IF($D34&gt;0,IF(VLOOKUP($D34,Flight!$A$1:$E$91,4,FALSE)&gt;1,VLOOKUP($D34,Flight!$A$1:$E117,4,FALSE),""),"")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2"/>
        <v/>
      </c>
      <c r="L34" s="166"/>
      <c r="M34" s="167"/>
      <c r="P34" s="84"/>
    </row>
    <row r="35" spans="1:18">
      <c r="A35" s="9">
        <f>IF($F35="Wavied","-",IF($D35=0,"",ROW($A35)-ROW($A$8)+1-COUNTIF($A$8:$A34,"@")-COUNTIF($A$8:$A34,"-")))</f>
        <v>28</v>
      </c>
      <c r="B35" s="9" t="str">
        <f t="shared" si="0"/>
        <v>-</v>
      </c>
      <c r="C35" s="9" t="s">
        <v>162</v>
      </c>
      <c r="D35" s="27" t="s">
        <v>390</v>
      </c>
      <c r="E35" s="172" t="str">
        <f>IF($D35&gt;0,VLOOKUP($D35,Flight!$A$1:$E$91,2,FALSE),"")</f>
        <v>2155</v>
      </c>
      <c r="F35" s="45"/>
      <c r="G35" s="43" t="str">
        <f t="shared" si="3"/>
        <v/>
      </c>
      <c r="H35" s="44" t="str">
        <f>IF($D35&gt;0,VLOOKUP($D35,Flight!$A$1:$E$91,3,FALSE),"")</f>
        <v>DOH</v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2"/>
        <v/>
      </c>
      <c r="L35" s="166"/>
      <c r="M35" s="167"/>
      <c r="O35" s="115"/>
      <c r="P35" s="87"/>
    </row>
    <row r="36" spans="1:18" ht="16.5">
      <c r="A36" s="9">
        <f>IF($F36="Wavied","-",IF($D36=0,"",ROW($A36)-ROW($A$8)+1-COUNTIF($A$8:$A35,"@")-COUNTIF($A$8:$A35,"-")))</f>
        <v>29</v>
      </c>
      <c r="B36" s="9"/>
      <c r="C36" s="9" t="s">
        <v>798</v>
      </c>
      <c r="D36" s="27" t="s">
        <v>396</v>
      </c>
      <c r="E36" s="172" t="str">
        <f>IF($D36&gt;0,VLOOKUP($D36,Flight!$A$1:$E$91,2,FALSE),"")</f>
        <v>0130</v>
      </c>
      <c r="F36" s="45"/>
      <c r="G36" s="43" t="str">
        <f t="shared" si="3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2"/>
        <v/>
      </c>
      <c r="L36" s="166"/>
      <c r="M36" s="167"/>
      <c r="O36" s="4"/>
      <c r="P36" s="88"/>
      <c r="Q36" s="4"/>
      <c r="R36" s="4"/>
    </row>
    <row r="37" spans="1:18">
      <c r="A37" s="9">
        <f>IF($F37="Wavied","-",IF($D37=0,"",ROW($A37)-ROW($A$8)+1-COUNTIF($A$8:$A36,"@")-COUNTIF($A$8:$A36,"-")))</f>
        <v>30</v>
      </c>
      <c r="B37" s="9" t="str">
        <f t="shared" si="0"/>
        <v>-</v>
      </c>
      <c r="C37" s="9" t="str">
        <f t="shared" si="1"/>
        <v>S6</v>
      </c>
      <c r="D37" s="27" t="s">
        <v>392</v>
      </c>
      <c r="E37" s="172" t="str">
        <f>IF($D37&gt;0,VLOOKUP($D37,Flight!$A$1:$E$91,2,FALSE),"")</f>
        <v>2320</v>
      </c>
      <c r="F37" s="45"/>
      <c r="G37" s="43" t="str">
        <f t="shared" si="3"/>
        <v/>
      </c>
      <c r="H37" s="44" t="str">
        <f>IF($D37&gt;0,VLOOKUP($D37,Flight!$A$1:$E$91,3,FALSE),"")</f>
        <v>BKK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2"/>
        <v/>
      </c>
      <c r="L37" s="166"/>
      <c r="M37" s="167"/>
      <c r="O37" s="4"/>
      <c r="P37" s="4"/>
      <c r="Q37" s="4"/>
      <c r="R37" s="4"/>
    </row>
    <row r="38" spans="1:18" ht="16.5">
      <c r="A38" s="9" t="str">
        <f t="shared" ref="A38" si="4">IF($A36="S/N",1,IF($F38="Wavied","-",IF($D38=0,"",ROW($A38)-ROW($A$7)-COUNTIF($A$7:$A$8,"@")-COUNTIF($A$7:$A$8,"-"))))</f>
        <v/>
      </c>
      <c r="B38" s="9" t="str">
        <f t="shared" si="0"/>
        <v/>
      </c>
      <c r="C38" s="9" t="str">
        <f t="shared" si="1"/>
        <v/>
      </c>
      <c r="D38" s="27"/>
      <c r="E38" s="172" t="str">
        <f>IF($D38&gt;0,VLOOKUP($D38,Flight!$A$1:$E$91,2,FALSE),"")</f>
        <v/>
      </c>
      <c r="F38" s="45"/>
      <c r="G38" s="43" t="str">
        <f t="shared" si="3"/>
        <v/>
      </c>
      <c r="H38" s="44" t="str">
        <f>IF($D38&gt;0,VLOOKUP($D38,Flight!$A$1:$E$91,3,FALSE),"")</f>
        <v/>
      </c>
      <c r="I38" s="44" t="str">
        <f>IF($D38&gt;0,IF(VLOOKUP($D38,Flight!$A$1:$E$91,4,FALSE)&gt;1,VLOOKUP($D38,Flight!$A$1:$E121,4,FALSE),""),"")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2"/>
        <v/>
      </c>
      <c r="L38" s="166"/>
      <c r="M38" s="166"/>
      <c r="O38" s="4"/>
      <c r="P38" s="89"/>
      <c r="Q38" s="4"/>
      <c r="R38" s="4"/>
    </row>
    <row r="39" spans="1:18">
      <c r="A39" s="376" t="s">
        <v>5</v>
      </c>
      <c r="B39" s="376"/>
      <c r="C39" s="376"/>
      <c r="D39" s="376"/>
      <c r="E39" s="376"/>
      <c r="F39" s="376"/>
      <c r="G39" s="50"/>
      <c r="H39" s="246" t="s">
        <v>40</v>
      </c>
      <c r="I39" s="377"/>
      <c r="J39" s="377"/>
      <c r="K39" s="377"/>
      <c r="L39" s="377"/>
      <c r="M39" s="377"/>
      <c r="N39" s="5"/>
    </row>
    <row r="40" spans="1:18">
      <c r="A40" s="379" t="s">
        <v>35</v>
      </c>
      <c r="B40" s="379"/>
      <c r="C40" s="379" t="s">
        <v>31</v>
      </c>
      <c r="D40" s="379"/>
      <c r="E40" s="379"/>
      <c r="F40" s="379"/>
      <c r="G40" s="379"/>
      <c r="H40" s="379"/>
      <c r="I40" s="378"/>
      <c r="J40" s="378"/>
      <c r="K40" s="378"/>
      <c r="L40" s="378"/>
      <c r="M40" s="378"/>
    </row>
    <row r="41" spans="1:18">
      <c r="A41" s="379"/>
      <c r="B41" s="379"/>
      <c r="C41" s="379"/>
      <c r="D41" s="379"/>
      <c r="E41" s="379"/>
      <c r="F41" s="379"/>
      <c r="G41" s="379"/>
      <c r="H41" s="379"/>
      <c r="I41" s="51"/>
      <c r="J41" s="51"/>
      <c r="K41" s="6"/>
      <c r="L41" s="6"/>
      <c r="M41" s="6"/>
    </row>
    <row r="42" spans="1:18">
      <c r="A42" s="389" t="s">
        <v>216</v>
      </c>
      <c r="B42" s="389"/>
      <c r="C42" s="243" t="str">
        <f>VLOOKUP($D$42,Staff!$B$2:$D$41,2,FALSE)</f>
        <v>CIA</v>
      </c>
      <c r="D42" s="375" t="str">
        <f>VLOOKUP(VLOOKUP($E$54,$E$58:$J$69,6,FALSE),Staff!$A$2:$D$13,2,FALSE)</f>
        <v>WS CHENG</v>
      </c>
      <c r="E42" s="375"/>
      <c r="F42" s="240" t="s">
        <v>215</v>
      </c>
      <c r="G42" s="390" t="str">
        <f>VLOOKUP($D$42,Staff!$B$2:$D$39,3,FALSE)</f>
        <v>9850 0581</v>
      </c>
      <c r="H42" s="390"/>
      <c r="I42" s="391" t="s">
        <v>223</v>
      </c>
      <c r="J42" s="391"/>
      <c r="K42" s="375" t="str">
        <f>IF(COUNTIF($E$58:$E$61,$E$54)&gt;0,Staff!$G$2,"")&amp;IF(COUNTIF($E$62:$E$65,$E$54)&gt;0,Staff!$G$3,"")&amp;IF(COUNTIF($E$66:$E$69,$E$54)&gt;0,Staff!$G$4,"")</f>
        <v>WONG, TSZ MING</v>
      </c>
      <c r="L42" s="375"/>
      <c r="M42" s="375"/>
    </row>
    <row r="43" spans="1:18">
      <c r="A43" s="389" t="s">
        <v>217</v>
      </c>
      <c r="B43" s="389"/>
      <c r="C43" s="243" t="s">
        <v>1002</v>
      </c>
      <c r="D43" s="375" t="s">
        <v>1003</v>
      </c>
      <c r="E43" s="375"/>
      <c r="F43" s="240" t="s">
        <v>215</v>
      </c>
      <c r="G43" s="390" t="s">
        <v>1004</v>
      </c>
      <c r="H43" s="390"/>
      <c r="I43" s="391" t="s">
        <v>224</v>
      </c>
      <c r="J43" s="391"/>
      <c r="K43" s="375" t="str">
        <f>IF(COUNTIF($E$58:$E$61,$E$55)&gt;0,Staff!$G$2,"")&amp;IF(COUNTIF($E$62:$E$65,$E$55)&gt;0,Staff!$G$3,"")&amp;IF(COUNTIF($E$66:$E$69,$E$55)&gt;0,Staff!$G$4,"")</f>
        <v>HO, KING KAI</v>
      </c>
      <c r="L43" s="375"/>
      <c r="M43" s="375"/>
    </row>
    <row r="44" spans="1:18">
      <c r="A44" s="245"/>
      <c r="B44" s="245"/>
      <c r="C44" s="241"/>
      <c r="D44" s="395"/>
      <c r="E44" s="395"/>
      <c r="F44" s="239"/>
      <c r="G44" s="396"/>
      <c r="H44" s="396"/>
      <c r="I44" s="390"/>
      <c r="J44" s="390"/>
      <c r="K44" s="143"/>
      <c r="L44" s="143"/>
      <c r="M44" s="143"/>
    </row>
    <row r="45" spans="1:18" s="112" customFormat="1">
      <c r="A45" s="397" t="s">
        <v>4</v>
      </c>
      <c r="B45" s="397"/>
      <c r="C45" s="396" t="s">
        <v>218</v>
      </c>
      <c r="D45" s="396"/>
      <c r="E45" s="396"/>
      <c r="F45" s="154" t="s">
        <v>213</v>
      </c>
      <c r="G45" s="398" t="str">
        <f>IF(COUNTIF($E$58:$E$61,$E$54)&gt;0,Staff!$G$14,"")&amp;IF(COUNTIF($E$62:$E$65,$E$54)&gt;0,Staff!$G$13,"")&amp;IF(COUNTIF($E$66:$E$69,$E$54)&gt;0,Staff!$G$12,"")</f>
        <v>CHONG, MAN LOK</v>
      </c>
      <c r="H45" s="398"/>
      <c r="I45" s="398"/>
      <c r="J45" s="238" t="s">
        <v>209</v>
      </c>
      <c r="K45" s="390" t="str">
        <f>VLOOKUP(VLOOKUP($B$3,$E$58:$J$69,6,FALSE),Staff!$F$22:$G$47,2,FALSE)</f>
        <v>WONG, LIK SUM</v>
      </c>
      <c r="L45" s="390"/>
      <c r="M45" s="390"/>
      <c r="N45" s="12"/>
      <c r="P45" s="234"/>
      <c r="Q45" s="234"/>
      <c r="R45" s="234"/>
    </row>
    <row r="46" spans="1:18" s="112" customFormat="1">
      <c r="A46" s="155"/>
      <c r="B46" s="155"/>
      <c r="C46" s="396" t="s">
        <v>219</v>
      </c>
      <c r="D46" s="396"/>
      <c r="E46" s="396"/>
      <c r="F46" s="154" t="s">
        <v>214</v>
      </c>
      <c r="G46" s="375" t="str">
        <f>IF(COUNTIF($E$58:$E$61,$E$55)&gt;0,Staff!$G$14,"")&amp;IF(COUNTIF($E$62:$E$65,$E$55)&gt;0,Staff!$G$13,"")&amp;IF(COUNTIF($E$66:$E$69,$E$55)&gt;0,Staff!$G$12,"")</f>
        <v>CHIU, OI YU (F)</v>
      </c>
      <c r="H46" s="375"/>
      <c r="I46" s="375"/>
      <c r="J46" s="238" t="s">
        <v>208</v>
      </c>
      <c r="K46" s="390" t="s">
        <v>180</v>
      </c>
      <c r="L46" s="390"/>
      <c r="M46" s="390"/>
      <c r="N46" s="234"/>
      <c r="P46" s="234"/>
      <c r="Q46" s="234"/>
      <c r="R46" s="234"/>
    </row>
    <row r="47" spans="1:18" s="112" customFormat="1">
      <c r="A47" s="244"/>
      <c r="B47" s="244"/>
      <c r="C47" s="241"/>
      <c r="D47" s="401"/>
      <c r="E47" s="401"/>
      <c r="F47" s="401"/>
      <c r="G47" s="401"/>
      <c r="H47" s="401"/>
      <c r="I47" s="401"/>
      <c r="J47" s="238" t="s">
        <v>210</v>
      </c>
      <c r="K47" s="390" t="s">
        <v>431</v>
      </c>
      <c r="L47" s="390"/>
      <c r="M47" s="390"/>
      <c r="N47" s="234"/>
      <c r="P47" s="234"/>
      <c r="Q47" s="234"/>
      <c r="R47" s="234"/>
    </row>
    <row r="48" spans="1:18" s="112" customFormat="1">
      <c r="A48" s="392" t="s">
        <v>3</v>
      </c>
      <c r="B48" s="393"/>
      <c r="C48" s="394" t="s">
        <v>220</v>
      </c>
      <c r="D48" s="394"/>
      <c r="E48" s="394"/>
      <c r="F48" s="397" t="s">
        <v>408</v>
      </c>
      <c r="G48" s="397"/>
      <c r="H48" s="397"/>
      <c r="I48" s="397"/>
      <c r="J48" s="238" t="s">
        <v>211</v>
      </c>
      <c r="K48" s="390" t="s">
        <v>675</v>
      </c>
      <c r="L48" s="390"/>
      <c r="M48" s="390"/>
      <c r="N48" s="234"/>
      <c r="P48" s="234"/>
      <c r="Q48" s="234"/>
      <c r="R48" s="234"/>
    </row>
    <row r="49" spans="1:18" s="112" customFormat="1">
      <c r="A49" s="393" t="s">
        <v>2</v>
      </c>
      <c r="B49" s="393"/>
      <c r="C49" s="411" t="s">
        <v>221</v>
      </c>
      <c r="D49" s="411"/>
      <c r="E49" s="411"/>
      <c r="F49" s="412" t="s">
        <v>1</v>
      </c>
      <c r="G49" s="412"/>
      <c r="H49" s="400" t="s">
        <v>409</v>
      </c>
      <c r="I49" s="400"/>
      <c r="J49" s="238" t="s">
        <v>212</v>
      </c>
      <c r="K49" s="390" t="s">
        <v>674</v>
      </c>
      <c r="L49" s="390"/>
      <c r="M49" s="390"/>
      <c r="N49" s="234"/>
      <c r="P49" s="234"/>
      <c r="Q49" s="234"/>
      <c r="R49" s="234"/>
    </row>
    <row r="50" spans="1:18" s="112" customFormat="1">
      <c r="A50" s="155"/>
      <c r="B50" s="155"/>
      <c r="C50" s="244"/>
      <c r="D50" s="399"/>
      <c r="E50" s="399"/>
      <c r="F50" s="391"/>
      <c r="G50" s="391"/>
      <c r="H50" s="400" t="s">
        <v>410</v>
      </c>
      <c r="I50" s="400"/>
      <c r="J50" s="236"/>
      <c r="K50" s="245"/>
      <c r="L50" s="245"/>
      <c r="M50" s="47"/>
      <c r="N50" s="234"/>
      <c r="P50" s="234"/>
      <c r="Q50" s="234"/>
      <c r="R50" s="234"/>
    </row>
    <row r="51" spans="1:18" s="112" customFormat="1" ht="16.5" customHeight="1">
      <c r="A51" s="392" t="s">
        <v>0</v>
      </c>
      <c r="B51" s="392"/>
      <c r="C51" s="407" t="s">
        <v>222</v>
      </c>
      <c r="D51" s="407"/>
      <c r="E51" s="407"/>
      <c r="F51" s="236"/>
      <c r="G51" s="238"/>
      <c r="H51" s="394" t="s">
        <v>411</v>
      </c>
      <c r="I51" s="394"/>
      <c r="J51" s="237"/>
      <c r="K51" s="245"/>
      <c r="L51" s="245"/>
      <c r="M51" s="47"/>
      <c r="N51" s="234"/>
      <c r="P51" s="234"/>
      <c r="Q51" s="234"/>
      <c r="R51" s="234"/>
    </row>
    <row r="52" spans="1:18" s="112" customFormat="1">
      <c r="A52" s="234"/>
      <c r="B52" s="234"/>
      <c r="C52" s="408"/>
      <c r="D52" s="408"/>
      <c r="E52" s="408"/>
      <c r="F52" s="408"/>
      <c r="G52" s="408"/>
      <c r="H52" s="408"/>
      <c r="I52" s="54"/>
      <c r="J52" s="53"/>
      <c r="M52" s="234"/>
      <c r="N52" s="234"/>
      <c r="P52" s="234"/>
      <c r="Q52" s="234"/>
      <c r="R52" s="234"/>
    </row>
    <row r="53" spans="1:18" s="112" customFormat="1" ht="16.5" thickBot="1">
      <c r="A53" s="3"/>
      <c r="B53" s="3"/>
      <c r="C53" s="3"/>
      <c r="D53" s="2"/>
      <c r="E53" s="39"/>
      <c r="F53" s="235"/>
      <c r="G53" s="235"/>
      <c r="H53" s="235"/>
      <c r="I53" s="409"/>
      <c r="J53" s="409"/>
      <c r="M53" s="234"/>
      <c r="N53" s="234"/>
      <c r="P53" s="234"/>
      <c r="Q53" s="234"/>
      <c r="R53" s="234"/>
    </row>
    <row r="54" spans="1:18" s="112" customFormat="1">
      <c r="A54" s="234"/>
      <c r="B54" s="234"/>
      <c r="C54" s="234"/>
      <c r="D54" s="234"/>
      <c r="E54" s="90" t="s">
        <v>133</v>
      </c>
      <c r="F54" s="91" t="s">
        <v>135</v>
      </c>
      <c r="G54" s="91"/>
      <c r="H54" s="92"/>
      <c r="I54" s="234"/>
      <c r="J54" s="234"/>
      <c r="K54" s="234"/>
      <c r="L54" s="234"/>
      <c r="M54" s="234"/>
      <c r="N54" s="234"/>
      <c r="P54" s="234"/>
      <c r="Q54" s="234"/>
      <c r="R54" s="234"/>
    </row>
    <row r="55" spans="1:18" s="112" customFormat="1" ht="16.5" thickBot="1">
      <c r="A55" s="234"/>
      <c r="B55" s="234"/>
      <c r="C55" s="234"/>
      <c r="D55" s="234"/>
      <c r="E55" s="93" t="s">
        <v>134</v>
      </c>
      <c r="F55" s="94" t="s">
        <v>136</v>
      </c>
      <c r="G55" s="94"/>
      <c r="H55" s="95"/>
      <c r="I55" s="234"/>
      <c r="J55" s="234"/>
      <c r="K55" s="234"/>
      <c r="L55" s="234"/>
      <c r="M55" s="234"/>
      <c r="N55" s="234"/>
      <c r="P55" s="234"/>
      <c r="Q55" s="234"/>
      <c r="R55" s="234"/>
    </row>
    <row r="56" spans="1:18" s="112" customFormat="1">
      <c r="A56" s="234"/>
      <c r="B56" s="234"/>
      <c r="C56" s="234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P56" s="234"/>
      <c r="Q56" s="234"/>
      <c r="R56" s="234"/>
    </row>
    <row r="57" spans="1:18" s="112" customFormat="1" ht="16.5" thickBot="1">
      <c r="A57" s="234"/>
      <c r="B57" s="234"/>
      <c r="C57" s="234"/>
      <c r="D57" s="85" t="s">
        <v>132</v>
      </c>
      <c r="E57" s="85" t="s">
        <v>19</v>
      </c>
      <c r="F57" s="85" t="s">
        <v>8</v>
      </c>
      <c r="G57" s="85" t="s">
        <v>7</v>
      </c>
      <c r="H57" s="85" t="s">
        <v>6</v>
      </c>
      <c r="I57" s="85" t="s">
        <v>98</v>
      </c>
      <c r="J57" s="234"/>
      <c r="K57" s="96" t="s">
        <v>302</v>
      </c>
      <c r="L57" s="96" t="s">
        <v>303</v>
      </c>
      <c r="M57" s="96"/>
      <c r="N57" s="234"/>
      <c r="P57" s="234"/>
      <c r="Q57" s="234"/>
      <c r="R57" s="234"/>
    </row>
    <row r="58" spans="1:18" s="112" customFormat="1">
      <c r="A58" s="234"/>
      <c r="B58" s="234"/>
      <c r="C58" s="234"/>
      <c r="D58" s="97" t="s">
        <v>86</v>
      </c>
      <c r="E58" s="98" t="str">
        <f>_xlfn.IFNA(VLOOKUP(MOD((($D$1-WEEKDAY($D$1,2)+1)-45523)/7+21,24),Shift!$A$2:$H$25,WEEKDAY($D$1,2)+1),VLOOKUP(24,Shift!$A$2:$H$25,WEEKDAY($D$1,2)+1))</f>
        <v>L</v>
      </c>
      <c r="F58" s="98">
        <f>IF(OR($E58="L",$E58="L#"),0,"?")</f>
        <v>0</v>
      </c>
      <c r="G58" s="98">
        <f>IF(OR($E58="L",$E58="L#"),0,"?")</f>
        <v>0</v>
      </c>
      <c r="H58" s="98">
        <f>IF(OR($E58="L",$E58="L#"),0,"?")</f>
        <v>0</v>
      </c>
      <c r="I58" s="99">
        <f t="shared" ref="I58:I69" si="5">IF(OR($E58="L",$E58="L#"),0,SUM($F58:$H58))</f>
        <v>0</v>
      </c>
      <c r="J58" s="136" t="s">
        <v>86</v>
      </c>
      <c r="K58" s="112" t="str">
        <f>IF(AND($F58&gt;1,$F58&lt;&gt;"?"),$F58-1,"")</f>
        <v/>
      </c>
      <c r="L58" s="112" t="str">
        <f>IF(AND($G58&gt;1,$G58&lt;&gt;"?"),$G58-1,"")</f>
        <v/>
      </c>
      <c r="N58" s="234"/>
      <c r="P58" s="234"/>
      <c r="Q58" s="234"/>
      <c r="R58" s="234"/>
    </row>
    <row r="59" spans="1:18" s="112" customFormat="1">
      <c r="A59" s="234"/>
      <c r="B59" s="234"/>
      <c r="C59" s="234"/>
      <c r="D59" s="100" t="s">
        <v>85</v>
      </c>
      <c r="E59" s="101" t="str">
        <f>_xlfn.IFNA(VLOOKUP(MOD((($D$1-WEEKDAY($D$1,2)+1)-45523)/7+3,24),Shift!$A$2:$H$25,WEEKDAY($D$1,2)+1),VLOOKUP(24,Shift!$A$2:$H$25,WEEKDAY($D$1,2)+1))</f>
        <v>L</v>
      </c>
      <c r="F59" s="101">
        <f t="shared" ref="F59:H61" si="6">IF(OR($E59="L",$E59="L#"),0,"?")</f>
        <v>0</v>
      </c>
      <c r="G59" s="101">
        <f t="shared" si="6"/>
        <v>0</v>
      </c>
      <c r="H59" s="101">
        <f t="shared" si="6"/>
        <v>0</v>
      </c>
      <c r="I59" s="102">
        <f t="shared" si="5"/>
        <v>0</v>
      </c>
      <c r="J59" s="137" t="s">
        <v>85</v>
      </c>
      <c r="K59" s="112" t="str">
        <f t="shared" ref="K59:K69" si="7">IF(AND($F59&gt;1,$F59&lt;&gt;"?"),$F59-1,"")</f>
        <v/>
      </c>
      <c r="L59" s="112" t="str">
        <f t="shared" ref="L59:L69" si="8">IF(AND($G59&gt;1,$G59&lt;&gt;"?"),$G59-1,"")</f>
        <v/>
      </c>
      <c r="N59" s="234"/>
      <c r="P59" s="234"/>
      <c r="Q59" s="234"/>
      <c r="R59" s="234"/>
    </row>
    <row r="60" spans="1:18" s="112" customFormat="1">
      <c r="A60" s="234"/>
      <c r="B60" s="234"/>
      <c r="C60" s="234"/>
      <c r="D60" s="100" t="s">
        <v>99</v>
      </c>
      <c r="E60" s="101" t="str">
        <f>_xlfn.IFNA(VLOOKUP(MOD((($D$1-WEEKDAY($D$1,2)+1)-45523)/7+9,24),Shift!$A$2:$H$25,WEEKDAY($D$1,2)+1),VLOOKUP(24,Shift!$A$2:$H$25,WEEKDAY($D$1,2)+1))</f>
        <v>A</v>
      </c>
      <c r="F60" s="101">
        <v>1</v>
      </c>
      <c r="G60" s="101">
        <v>1</v>
      </c>
      <c r="H60" s="101">
        <v>5</v>
      </c>
      <c r="I60" s="102">
        <f t="shared" si="5"/>
        <v>7</v>
      </c>
      <c r="J60" s="137" t="s">
        <v>99</v>
      </c>
      <c r="K60" s="112" t="str">
        <f t="shared" si="7"/>
        <v/>
      </c>
      <c r="L60" s="112" t="str">
        <f t="shared" si="8"/>
        <v/>
      </c>
      <c r="N60" s="234"/>
      <c r="P60" s="234"/>
      <c r="Q60" s="234"/>
      <c r="R60" s="234"/>
    </row>
    <row r="61" spans="1:18" ht="16.5" thickBot="1">
      <c r="D61" s="103" t="s">
        <v>100</v>
      </c>
      <c r="E61" s="104" t="str">
        <f>_xlfn.IFNA(VLOOKUP(MOD((($D$1-WEEKDAY($D$1,2)+1)-45523)/7+15,24),Shift!$A$2:$H$25,WEEKDAY($D$1,2)+1),VLOOKUP(24,Shift!$A$2:$H$25,WEEKDAY($D$1,2)+1))</f>
        <v>L</v>
      </c>
      <c r="F61" s="104">
        <f t="shared" si="6"/>
        <v>0</v>
      </c>
      <c r="G61" s="104">
        <f t="shared" si="6"/>
        <v>0</v>
      </c>
      <c r="H61" s="104">
        <f t="shared" si="6"/>
        <v>0</v>
      </c>
      <c r="I61" s="105">
        <f t="shared" si="5"/>
        <v>0</v>
      </c>
      <c r="J61" s="138" t="s">
        <v>100</v>
      </c>
      <c r="K61" s="112" t="str">
        <f t="shared" si="7"/>
        <v/>
      </c>
      <c r="L61" s="112" t="str">
        <f t="shared" si="8"/>
        <v/>
      </c>
      <c r="M61" s="112"/>
    </row>
    <row r="62" spans="1:18">
      <c r="D62" s="97" t="s">
        <v>101</v>
      </c>
      <c r="E62" s="98" t="s">
        <v>956</v>
      </c>
      <c r="F62" s="98">
        <v>1</v>
      </c>
      <c r="G62" s="98">
        <v>1</v>
      </c>
      <c r="H62" s="98">
        <v>5</v>
      </c>
      <c r="I62" s="99">
        <f t="shared" si="5"/>
        <v>7</v>
      </c>
      <c r="J62" s="136" t="s">
        <v>101</v>
      </c>
      <c r="K62" s="112" t="str">
        <f t="shared" si="7"/>
        <v/>
      </c>
      <c r="L62" s="112" t="str">
        <f t="shared" si="8"/>
        <v/>
      </c>
      <c r="M62" s="112"/>
    </row>
    <row r="63" spans="1:18">
      <c r="D63" s="100" t="s">
        <v>102</v>
      </c>
      <c r="E63" s="101" t="str">
        <f>_xlfn.IFNA(VLOOKUP(MOD((($D$1-WEEKDAY($D$1,2)+1)-45523)/7+1,24),Shift!$A$2:$H$25,WEEKDAY($D$1,2)+1),VLOOKUP(24,Shift!$A$2:$H$25,WEEKDAY($D$1,2)+1))</f>
        <v>P4</v>
      </c>
      <c r="F63" s="101">
        <v>1</v>
      </c>
      <c r="G63" s="101">
        <v>1</v>
      </c>
      <c r="H63" s="101">
        <v>4</v>
      </c>
      <c r="I63" s="102">
        <f t="shared" si="5"/>
        <v>6</v>
      </c>
      <c r="J63" s="137" t="s">
        <v>102</v>
      </c>
      <c r="K63" s="112" t="str">
        <f t="shared" si="7"/>
        <v/>
      </c>
      <c r="L63" s="112" t="str">
        <f t="shared" si="8"/>
        <v/>
      </c>
      <c r="M63" s="112"/>
    </row>
    <row r="64" spans="1:18">
      <c r="D64" s="100" t="s">
        <v>103</v>
      </c>
      <c r="E64" s="101" t="str">
        <f>_xlfn.IFNA(VLOOKUP(MOD((($D$1-WEEKDAY($D$1,2)+1)-45523)/7+7,24),Shift!$A$2:$H$25,WEEKDAY($D$1,2)+1),VLOOKUP(24,Shift!$A$2:$H$25,WEEKDAY($D$1,2)+1))</f>
        <v>P1 @</v>
      </c>
      <c r="F64" s="101">
        <v>1</v>
      </c>
      <c r="G64" s="101">
        <v>0</v>
      </c>
      <c r="H64" s="101">
        <v>5</v>
      </c>
      <c r="I64" s="102">
        <f t="shared" si="5"/>
        <v>6</v>
      </c>
      <c r="J64" s="137" t="s">
        <v>103</v>
      </c>
      <c r="K64" s="112" t="str">
        <f t="shared" si="7"/>
        <v/>
      </c>
      <c r="L64" s="112" t="str">
        <f t="shared" si="8"/>
        <v/>
      </c>
      <c r="M64" s="112"/>
    </row>
    <row r="65" spans="4:13" ht="16.5" thickBot="1">
      <c r="D65" s="103" t="s">
        <v>104</v>
      </c>
      <c r="E65" s="104" t="str">
        <f>_xlfn.IFNA(VLOOKUP(MOD((($D$1-WEEKDAY($D$1,2)+1)-45523)/7+13,24),Shift!$A$2:$H$25,WEEKDAY($D$1,2)+1),VLOOKUP(24,Shift!$A$2:$H$25,WEEKDAY($D$1,2)+1))</f>
        <v>P1</v>
      </c>
      <c r="F65" s="104">
        <v>1</v>
      </c>
      <c r="G65" s="104">
        <v>1</v>
      </c>
      <c r="H65" s="104">
        <v>5</v>
      </c>
      <c r="I65" s="105">
        <f t="shared" si="5"/>
        <v>7</v>
      </c>
      <c r="J65" s="138" t="s">
        <v>104</v>
      </c>
      <c r="K65" s="112" t="str">
        <f t="shared" si="7"/>
        <v/>
      </c>
      <c r="L65" s="112" t="str">
        <f t="shared" si="8"/>
        <v/>
      </c>
      <c r="M65" s="112"/>
    </row>
    <row r="66" spans="4:13">
      <c r="D66" s="97" t="s">
        <v>105</v>
      </c>
      <c r="E66" s="98" t="str">
        <f>_xlfn.IFNA(VLOOKUP(MOD((($D$1-WEEKDAY($D$1,2)+1)-45523)/7+17,24),Shift!$A$2:$H$25,WEEKDAY($D$1,2)+1),VLOOKUP(24,Shift!$A$2:$H$25,WEEKDAY($D$1,2)+1))</f>
        <v>M1</v>
      </c>
      <c r="F66" s="98">
        <v>1</v>
      </c>
      <c r="G66" s="98">
        <v>0</v>
      </c>
      <c r="H66" s="98">
        <v>5</v>
      </c>
      <c r="I66" s="99">
        <f t="shared" si="5"/>
        <v>6</v>
      </c>
      <c r="J66" s="136" t="s">
        <v>105</v>
      </c>
      <c r="K66" s="112" t="str">
        <f t="shared" si="7"/>
        <v/>
      </c>
      <c r="L66" s="112" t="str">
        <f t="shared" si="8"/>
        <v/>
      </c>
      <c r="M66" s="112"/>
    </row>
    <row r="67" spans="4:13">
      <c r="D67" s="100" t="s">
        <v>106</v>
      </c>
      <c r="E67" s="101" t="str">
        <f>_xlfn.IFNA(VLOOKUP(MOD((($D$1-WEEKDAY($D$1,2)+1)-45523)/7+23,24),Shift!$A$2:$H$25,WEEKDAY($D$1,2)+1),VLOOKUP(24,Shift!$A$2:$H$25,WEEKDAY($D$1,2)+1))</f>
        <v>M @</v>
      </c>
      <c r="F67" s="101">
        <v>1</v>
      </c>
      <c r="G67" s="101">
        <v>1</v>
      </c>
      <c r="H67" s="101">
        <v>5</v>
      </c>
      <c r="I67" s="102">
        <f t="shared" si="5"/>
        <v>7</v>
      </c>
      <c r="J67" s="137" t="s">
        <v>106</v>
      </c>
      <c r="K67" s="112" t="str">
        <f t="shared" si="7"/>
        <v/>
      </c>
      <c r="L67" s="112" t="str">
        <f t="shared" si="8"/>
        <v/>
      </c>
      <c r="M67" s="112"/>
    </row>
    <row r="68" spans="4:13">
      <c r="D68" s="100" t="s">
        <v>107</v>
      </c>
      <c r="E68" s="101" t="str">
        <f>_xlfn.IFNA(VLOOKUP(MOD((($D$1-WEEKDAY($D$1,2)+1)-45523)/7+5,24),Shift!$A$2:$H$25,WEEKDAY($D$1,2)+1),VLOOKUP(24,Shift!$A$2:$H$25,WEEKDAY($D$1,2)+1))</f>
        <v>G1</v>
      </c>
      <c r="F68" s="101">
        <v>1</v>
      </c>
      <c r="G68" s="101">
        <v>1</v>
      </c>
      <c r="H68" s="101">
        <v>5</v>
      </c>
      <c r="I68" s="102">
        <f t="shared" si="5"/>
        <v>7</v>
      </c>
      <c r="J68" s="137" t="s">
        <v>107</v>
      </c>
      <c r="K68" s="112" t="str">
        <f t="shared" si="7"/>
        <v/>
      </c>
      <c r="L68" s="112" t="str">
        <f t="shared" si="8"/>
        <v/>
      </c>
      <c r="M68" s="112"/>
    </row>
    <row r="69" spans="4:13" ht="16.5" thickBot="1">
      <c r="D69" s="103" t="s">
        <v>108</v>
      </c>
      <c r="E69" s="104" t="str">
        <f>_xlfn.IFNA(VLOOKUP(MOD((($D$1-WEEKDAY($D$1,2)+1)-45523)/7+11,24),Shift!$A$2:$H$25,WEEKDAY($D$1,2)+1),VLOOKUP(24,Shift!$A$2:$H$25,WEEKDAY($D$1,2)+1))</f>
        <v>M</v>
      </c>
      <c r="F69" s="104">
        <v>1</v>
      </c>
      <c r="G69" s="104">
        <v>1</v>
      </c>
      <c r="H69" s="104">
        <v>4</v>
      </c>
      <c r="I69" s="105">
        <f t="shared" si="5"/>
        <v>6</v>
      </c>
      <c r="J69" s="138" t="s">
        <v>108</v>
      </c>
      <c r="K69" s="112" t="str">
        <f t="shared" si="7"/>
        <v/>
      </c>
      <c r="L69" s="112" t="str">
        <f t="shared" si="8"/>
        <v/>
      </c>
      <c r="M69" s="112"/>
    </row>
    <row r="70" spans="4:13">
      <c r="D70" s="144" t="s">
        <v>161</v>
      </c>
      <c r="E70" s="98" t="s">
        <v>27</v>
      </c>
      <c r="F70" s="98">
        <v>0</v>
      </c>
      <c r="G70" s="98">
        <v>0</v>
      </c>
      <c r="H70" s="98">
        <v>1</v>
      </c>
      <c r="I70" s="99">
        <f>IF(OR($E70="L",$E70="L#",$E70="?"),0,SUM($F70:$H70))</f>
        <v>1</v>
      </c>
      <c r="J70" s="234"/>
    </row>
    <row r="71" spans="4:13">
      <c r="D71" s="145" t="s">
        <v>137</v>
      </c>
      <c r="E71" s="101" t="s">
        <v>127</v>
      </c>
      <c r="F71" s="101"/>
      <c r="G71" s="101"/>
      <c r="H71" s="101"/>
      <c r="I71" s="102">
        <f>IF(OR($E71="L",$E71="L#",$E71="?"),0,SUM($F71:$H71))</f>
        <v>0</v>
      </c>
      <c r="J71" s="234"/>
    </row>
    <row r="72" spans="4:13">
      <c r="D72" s="145" t="s">
        <v>137</v>
      </c>
      <c r="E72" s="101" t="s">
        <v>127</v>
      </c>
      <c r="F72" s="101"/>
      <c r="G72" s="101"/>
      <c r="H72" s="101"/>
      <c r="I72" s="102">
        <f>IF(OR($E72="L",$E72="L#",$E72="?"),0,SUM($F72:$H72))</f>
        <v>0</v>
      </c>
      <c r="J72" s="234"/>
    </row>
    <row r="73" spans="4:13" ht="16.5" thickBot="1">
      <c r="D73" s="146" t="s">
        <v>137</v>
      </c>
      <c r="E73" s="104" t="s">
        <v>127</v>
      </c>
      <c r="F73" s="106"/>
      <c r="G73" s="106"/>
      <c r="H73" s="106"/>
      <c r="I73" s="105">
        <f>IF(OR($E73="L",$E73="L#",$E73="?"),0,SUM($F73:$H73))</f>
        <v>0</v>
      </c>
      <c r="J73" s="234"/>
    </row>
    <row r="74" spans="4:13">
      <c r="D74" s="234"/>
      <c r="E74" s="96" t="s">
        <v>98</v>
      </c>
      <c r="F74" s="96" t="str">
        <f>SUM($F$58:$F$73)&amp;IF(SUM($F$58:$H$73)&gt;$I$74,"?","")</f>
        <v>9</v>
      </c>
      <c r="G74" s="96" t="str">
        <f>SUM($G$58:$G$73)&amp;IF(SUM($F$58:$H$73)&gt;$I$74,"?","")</f>
        <v>7</v>
      </c>
      <c r="H74" s="96" t="str">
        <f>SUM($H$58:$H$73)&amp;IF(SUM($F$58:$H$73)&gt;$I$74,"?","")</f>
        <v>44</v>
      </c>
      <c r="I74" s="96">
        <f>SUM(I58:I73)</f>
        <v>60</v>
      </c>
      <c r="J74" s="234"/>
    </row>
    <row r="75" spans="4:13">
      <c r="D75" s="234"/>
      <c r="E75" s="234"/>
      <c r="F75" s="112" t="str">
        <f>IF(SUM($F$58:$F$73)&gt;0,IF(SUM($K$58:$K$69)&gt;0,SUM($F$58:$F$73)-SUM($K$58:$K$69)&amp;"+"&amp;SUM(K58:K69)&amp;"(Fam)",""),"")</f>
        <v/>
      </c>
      <c r="G75" s="112" t="str">
        <f>IF(SUM($G$58:$G$73)&gt;0,IF(SUM($L$58:$L$69)&gt;0,SUM($G$58:$G$73)-SUM($L$58:$L$69)&amp;"+"&amp;SUM(L58:L69)&amp;"(Fam)",""),"")</f>
        <v/>
      </c>
      <c r="H75" s="112"/>
      <c r="I75" s="234"/>
      <c r="J75" s="234"/>
    </row>
    <row r="77" spans="4:13">
      <c r="D77" s="410" t="s">
        <v>281</v>
      </c>
      <c r="E77" s="410"/>
      <c r="F77" s="410"/>
    </row>
    <row r="78" spans="4:13">
      <c r="D78" s="49" t="str">
        <f>IF(Flight!$A$68=0,"",Flight!$A$68)</f>
        <v/>
      </c>
      <c r="E78" s="163"/>
      <c r="F78" s="164" t="str">
        <f>IF(D78="","",VLOOKUP(D78,Flight!$A$68:$C$91,3,FALSE))</f>
        <v/>
      </c>
    </row>
    <row r="79" spans="4:13">
      <c r="D79" s="49" t="str">
        <f>IF(Flight!$A69=0,"",Flight!$A69)</f>
        <v/>
      </c>
      <c r="F79" s="164" t="str">
        <f>IF(D79="","",VLOOKUP(D79,Flight!$A$68:$C$91,3,FALSE))</f>
        <v/>
      </c>
    </row>
    <row r="80" spans="4:13">
      <c r="D80" s="49" t="str">
        <f>IF(Flight!$A71=0,"",Flight!$A71)</f>
        <v>3A031</v>
      </c>
      <c r="F80" s="164" t="str">
        <f>IF(D80="","",VLOOKUP(D80,Flight!$A$68:$C$91,3,FALSE))</f>
        <v>ZTI</v>
      </c>
    </row>
    <row r="81" spans="4:6">
      <c r="D81" s="49" t="str">
        <f>IF(Flight!$A72=0,"",Flight!$A72)</f>
        <v>3A003</v>
      </c>
      <c r="F81" s="164" t="str">
        <f>IF(D81="","",VLOOKUP(D81,Flight!$A$68:$C$91,3,FALSE))</f>
        <v>ZYK</v>
      </c>
    </row>
    <row r="82" spans="4:6">
      <c r="D82" s="49" t="str">
        <f>IF(Flight!$A73=0,"",Flight!$A73)</f>
        <v>3A005</v>
      </c>
      <c r="F82" s="164" t="str">
        <f>IF(D82="","",VLOOKUP(D82,Flight!$A$68:$C$91,3,FALSE))</f>
        <v>HKM</v>
      </c>
    </row>
    <row r="83" spans="4:6">
      <c r="D83" s="49" t="str">
        <f>IF(Flight!$A74=0,"",Flight!$A74)</f>
        <v>3A007</v>
      </c>
      <c r="F83" s="164" t="str">
        <f>IF(D83="","",VLOOKUP(D83,Flight!$A$68:$C$91,3,FALSE))</f>
        <v>ZYK</v>
      </c>
    </row>
    <row r="84" spans="4:6">
      <c r="D84" s="49" t="str">
        <f>IF(Flight!$A75=0,"",Flight!$A75)</f>
        <v>3A008</v>
      </c>
      <c r="F84" s="164" t="str">
        <f>IF(D84="","",VLOOKUP(D84,Flight!$A$68:$C$91,3,FALSE))</f>
        <v>ZYK</v>
      </c>
    </row>
    <row r="85" spans="4:6">
      <c r="D85" s="49" t="str">
        <f>IF(Flight!$A76=0,"",Flight!$A76)</f>
        <v>3A009</v>
      </c>
      <c r="F85" s="164" t="str">
        <f>IF(D85="","",VLOOKUP(D85,Flight!$A$68:$C$91,3,FALSE))</f>
        <v>ZYK</v>
      </c>
    </row>
    <row r="86" spans="4:6">
      <c r="D86" s="49" t="str">
        <f>IF(Flight!$A77=0,"",Flight!$A77)</f>
        <v>3A010</v>
      </c>
      <c r="F86" s="164" t="str">
        <f>IF(D86="","",VLOOKUP(D86,Flight!$A$68:$C$91,3,FALSE))</f>
        <v>ZYK</v>
      </c>
    </row>
    <row r="87" spans="4:6">
      <c r="D87" s="49" t="str">
        <f>IF(Flight!$A78=0,"",Flight!$A78)</f>
        <v/>
      </c>
      <c r="F87" s="164" t="str">
        <f>IF(D87="","",VLOOKUP(D87,Flight!$A$68:$C$91,3,FALSE))</f>
        <v/>
      </c>
    </row>
    <row r="88" spans="4:6">
      <c r="D88" s="49" t="str">
        <f>IF(Flight!$A80=0,"",Flight!$A80)</f>
        <v>8S7121</v>
      </c>
      <c r="F88" s="164" t="str">
        <f>IF(D88="","",VLOOKUP(D88,Flight!$A$68:$C$91,3,FALSE))</f>
        <v>HKM</v>
      </c>
    </row>
    <row r="89" spans="4:6">
      <c r="D89" s="49" t="str">
        <f>IF(Flight!$A81=0,"",Flight!$A81)</f>
        <v>8S7108</v>
      </c>
      <c r="F89" s="164" t="str">
        <f>IF(D89="","",VLOOKUP(D89,Flight!$A$68:$C$91,3,FALSE))</f>
        <v>ZYK</v>
      </c>
    </row>
    <row r="90" spans="4:6">
      <c r="D90" s="49" t="str">
        <f>IF(Flight!$A82=0,"",Flight!$A82)</f>
        <v>8S7111</v>
      </c>
      <c r="F90" s="164" t="str">
        <f>IF(D90="","",VLOOKUP(D90,Flight!$A$68:$C$91,3,FALSE))</f>
        <v>ZYK</v>
      </c>
    </row>
    <row r="91" spans="4:6">
      <c r="D91" s="49" t="str">
        <f>IF(Flight!$A83=0,"",Flight!$A83)</f>
        <v>8S7131</v>
      </c>
      <c r="F91" s="164" t="str">
        <f>IF(D91="","",VLOOKUP(D91,Flight!$A$68:$C$91,3,FALSE))</f>
        <v>?</v>
      </c>
    </row>
    <row r="92" spans="4:6">
      <c r="D92" s="49" t="str">
        <f>IF(Flight!$A84=0,"",Flight!$A84)</f>
        <v>8S7119</v>
      </c>
      <c r="F92" s="164" t="str">
        <f>IF(D92="","",VLOOKUP(D92,Flight!$A$68:$C$91,3,FALSE))</f>
        <v>HKM</v>
      </c>
    </row>
    <row r="93" spans="4:6">
      <c r="D93" s="49" t="str">
        <f>IF(Flight!$A85=0,"",Flight!$A85)</f>
        <v>8S7126</v>
      </c>
      <c r="F93" s="164" t="str">
        <f>IF(D93="","",VLOOKUP(D93,Flight!$A$68:$C$91,3,FALSE))</f>
        <v>HKM</v>
      </c>
    </row>
    <row r="94" spans="4:6">
      <c r="D94" s="49" t="str">
        <f>IF(Flight!$A86=0,"",Flight!$A86)</f>
        <v>8S7128</v>
      </c>
      <c r="F94" s="164" t="str">
        <f>IF(D94="","",VLOOKUP(D94,Flight!$A$68:$C$91,3,FALSE))</f>
        <v>HKM</v>
      </c>
    </row>
    <row r="95" spans="4:6">
      <c r="D95" s="49" t="str">
        <f>IF(Flight!$A87=0,"",Flight!$A87)</f>
        <v>3A8010</v>
      </c>
      <c r="F95" s="164" t="str">
        <f>IF(D95="","",VLOOKUP(D95,Flight!$A$68:$C$91,3,FALSE))</f>
        <v>HZI</v>
      </c>
    </row>
    <row r="96" spans="4:6">
      <c r="D96" s="49" t="str">
        <f>IF(Flight!$A88=0,"",Flight!$A88)</f>
        <v>3A8015</v>
      </c>
      <c r="F96" s="164" t="str">
        <f>IF(D96="","",VLOOKUP(D96,Flight!$A$68:$C$91,3,FALSE))</f>
        <v>?</v>
      </c>
    </row>
    <row r="97" spans="4:6">
      <c r="D97" s="49" t="str">
        <f>IF(Flight!$A89=0,"",Flight!$A89)</f>
        <v>3A8016</v>
      </c>
      <c r="F97" s="164" t="str">
        <f>IF(D97="","",VLOOKUP(D97,Flight!$A$68:$C$91,3,FALSE))</f>
        <v>HZI</v>
      </c>
    </row>
    <row r="98" spans="4:6">
      <c r="D98" s="49" t="str">
        <f>IF(Flight!$A91=0,"",Flight!$A91)</f>
        <v xml:space="preserve">Last </v>
      </c>
      <c r="F98" s="164" t="str">
        <f>IF(D98="","",VLOOKUP(D98,Flight!$A$68:$C$91,3,FALSE))</f>
        <v>↑</v>
      </c>
    </row>
    <row r="99" spans="4:6">
      <c r="D99" s="49" t="str">
        <f>IF(Flight!$A92=0,"",Flight!$A92)</f>
        <v/>
      </c>
      <c r="F99" s="164" t="str">
        <f>IF(D99="","",VLOOKUP(D99,Flight!$A$68:$C$91,3,FALSE))</f>
        <v/>
      </c>
    </row>
    <row r="100" spans="4:6">
      <c r="D100" s="186"/>
      <c r="F100" s="187"/>
    </row>
    <row r="101" spans="4:6">
      <c r="D101" s="406" t="str">
        <f>IF(Flight!$A$93=0,"",Flight!$A$93)</f>
        <v>Target Flight</v>
      </c>
      <c r="E101" s="406"/>
      <c r="F101" s="406"/>
    </row>
    <row r="102" spans="4:6">
      <c r="D102" s="27" t="s">
        <v>59</v>
      </c>
      <c r="E102" s="158"/>
      <c r="F102" s="10" t="s">
        <v>38</v>
      </c>
    </row>
    <row r="103" spans="4:6">
      <c r="D103" s="27" t="s">
        <v>89</v>
      </c>
      <c r="E103" s="158"/>
      <c r="F103" s="10" t="s">
        <v>38</v>
      </c>
    </row>
    <row r="104" spans="4:6">
      <c r="D104" s="27" t="s">
        <v>254</v>
      </c>
      <c r="E104" s="158"/>
      <c r="F104" s="10" t="s">
        <v>38</v>
      </c>
    </row>
    <row r="105" spans="4:6">
      <c r="D105" s="27" t="s">
        <v>57</v>
      </c>
      <c r="E105" s="158"/>
      <c r="F105" s="10" t="s">
        <v>58</v>
      </c>
    </row>
    <row r="106" spans="4:6">
      <c r="D106" s="27" t="s">
        <v>198</v>
      </c>
      <c r="E106" s="158"/>
      <c r="F106" s="10" t="s">
        <v>199</v>
      </c>
    </row>
    <row r="107" spans="4:6">
      <c r="D107" s="27" t="s">
        <v>55</v>
      </c>
      <c r="E107" s="158"/>
      <c r="F107" s="10" t="s">
        <v>54</v>
      </c>
    </row>
    <row r="108" spans="4:6">
      <c r="D108" s="27" t="s">
        <v>39</v>
      </c>
      <c r="E108" s="158"/>
      <c r="F108" s="10" t="s">
        <v>38</v>
      </c>
    </row>
    <row r="109" spans="4:6">
      <c r="D109" s="27" t="s">
        <v>200</v>
      </c>
      <c r="E109" s="158"/>
      <c r="F109" s="10" t="s">
        <v>54</v>
      </c>
    </row>
    <row r="110" spans="4:6">
      <c r="D110" s="27" t="s">
        <v>201</v>
      </c>
      <c r="E110" s="158"/>
      <c r="F110" s="10" t="s">
        <v>38</v>
      </c>
    </row>
    <row r="111" spans="4:6">
      <c r="D111" s="161" t="s">
        <v>538</v>
      </c>
      <c r="E111" s="158"/>
      <c r="F111" s="159" t="s">
        <v>566</v>
      </c>
    </row>
    <row r="112" spans="4:6">
      <c r="D112" s="161"/>
      <c r="E112" s="158"/>
      <c r="F112" s="159"/>
    </row>
  </sheetData>
  <mergeCells count="76">
    <mergeCell ref="D101:F101"/>
    <mergeCell ref="A51:B51"/>
    <mergeCell ref="C51:E51"/>
    <mergeCell ref="H51:I51"/>
    <mergeCell ref="C52:H52"/>
    <mergeCell ref="I53:J53"/>
    <mergeCell ref="D77:F77"/>
    <mergeCell ref="A49:B49"/>
    <mergeCell ref="C49:E49"/>
    <mergeCell ref="F49:G49"/>
    <mergeCell ref="H49:I49"/>
    <mergeCell ref="K49:M49"/>
    <mergeCell ref="D50:E50"/>
    <mergeCell ref="F50:G50"/>
    <mergeCell ref="H50:I50"/>
    <mergeCell ref="D47:I47"/>
    <mergeCell ref="K47:M47"/>
    <mergeCell ref="K43:M43"/>
    <mergeCell ref="A48:B48"/>
    <mergeCell ref="C48:E48"/>
    <mergeCell ref="F48:I48"/>
    <mergeCell ref="K48:M48"/>
    <mergeCell ref="A45:B45"/>
    <mergeCell ref="C45:E45"/>
    <mergeCell ref="G45:I45"/>
    <mergeCell ref="K45:M45"/>
    <mergeCell ref="C46:E46"/>
    <mergeCell ref="G46:I46"/>
    <mergeCell ref="K46:M46"/>
    <mergeCell ref="D44:E44"/>
    <mergeCell ref="G44:H44"/>
    <mergeCell ref="I44:J44"/>
    <mergeCell ref="A43:B43"/>
    <mergeCell ref="A41:H41"/>
    <mergeCell ref="A42:B42"/>
    <mergeCell ref="D42:E42"/>
    <mergeCell ref="G42:H42"/>
    <mergeCell ref="I42:J42"/>
    <mergeCell ref="D43:E43"/>
    <mergeCell ref="G43:H43"/>
    <mergeCell ref="I43:J43"/>
    <mergeCell ref="K42:M42"/>
    <mergeCell ref="H6:H7"/>
    <mergeCell ref="I6:I7"/>
    <mergeCell ref="J6:J7"/>
    <mergeCell ref="K6:M6"/>
    <mergeCell ref="A39:F39"/>
    <mergeCell ref="I39:M40"/>
    <mergeCell ref="A40:H40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38 E8:E38">
    <cfRule type="cellIs" dxfId="91" priority="4" operator="equal">
      <formula>""</formula>
    </cfRule>
  </conditionalFormatting>
  <conditionalFormatting sqref="F58:H75">
    <cfRule type="cellIs" dxfId="90" priority="3" operator="equal">
      <formula>"?"</formula>
    </cfRule>
  </conditionalFormatting>
  <conditionalFormatting sqref="D8:D110 D112:D999">
    <cfRule type="duplicateValues" dxfId="89" priority="2"/>
  </conditionalFormatting>
  <conditionalFormatting sqref="D111">
    <cfRule type="duplicateValues" dxfId="88" priority="1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D43:E43</xm:sqref>
        </x14:dataValidation>
        <x14:dataValidation type="list" allowBlank="1" showInputMessage="1">
          <x14:formula1>
            <xm:f>Staff!$B$15:$B$39</xm:f>
          </x14:formula1>
          <xm:sqref>D42:E42</xm:sqref>
        </x14:dataValidation>
        <x14:dataValidation type="list" allowBlank="1" showInputMessage="1" showErrorMessage="1">
          <x14:formula1>
            <xm:f>Staff!$G$23:$G$52</xm:f>
          </x14:formula1>
          <xm:sqref>K45:M49</xm:sqref>
        </x14:dataValidation>
        <x14:dataValidation type="list" allowBlank="1" showInputMessage="1">
          <x14:formula1>
            <xm:f>Staff!$G$12:$G$52</xm:f>
          </x14:formula1>
          <xm:sqref>G45:I46</xm:sqref>
        </x14:dataValidation>
        <x14:dataValidation type="list" allowBlank="1" showInputMessage="1">
          <x14:formula1>
            <xm:f>Staff!$G$2:$G$9</xm:f>
          </x14:formula1>
          <xm:sqref>K42:M43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zoomScale="70" zoomScaleNormal="100" zoomScaleSheetLayoutView="70" workbookViewId="0">
      <selection activeCell="F31" sqref="F31"/>
    </sheetView>
  </sheetViews>
  <sheetFormatPr defaultRowHeight="15.75"/>
  <cols>
    <col min="1" max="1" width="9.125" style="220" customWidth="1"/>
    <col min="2" max="2" width="10.25" style="220" customWidth="1"/>
    <col min="3" max="3" width="9.75" style="22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21" customWidth="1"/>
    <col min="9" max="9" width="9" style="54" customWidth="1"/>
    <col min="10" max="10" width="9.125" style="54" customWidth="1"/>
    <col min="11" max="13" width="9.125" style="220" customWidth="1"/>
    <col min="14" max="14" width="9" style="220"/>
    <col min="15" max="15" width="10.75" style="112" bestFit="1" customWidth="1"/>
    <col min="16" max="16" width="12.25" style="220" bestFit="1" customWidth="1"/>
    <col min="17" max="16384" width="9" style="220"/>
  </cols>
  <sheetData>
    <row r="1" spans="1:16">
      <c r="A1" s="227"/>
      <c r="B1" s="227"/>
      <c r="C1" s="108" t="s">
        <v>20</v>
      </c>
      <c r="D1" s="355">
        <v>45758</v>
      </c>
      <c r="E1" s="355"/>
      <c r="F1" s="224" t="s">
        <v>23</v>
      </c>
      <c r="G1" s="110">
        <f>D1</f>
        <v>45758</v>
      </c>
      <c r="H1" s="228" t="s">
        <v>24</v>
      </c>
      <c r="I1" s="225"/>
      <c r="J1" s="225"/>
      <c r="K1" s="227"/>
      <c r="L1" s="227"/>
      <c r="M1" s="47"/>
    </row>
    <row r="2" spans="1:16" ht="17.25" customHeight="1" thickBot="1">
      <c r="A2" s="227"/>
      <c r="B2" s="227"/>
      <c r="C2" s="227"/>
      <c r="D2" s="356"/>
      <c r="E2" s="356"/>
      <c r="F2" s="225"/>
      <c r="G2" s="357"/>
      <c r="H2" s="357"/>
      <c r="I2" s="357"/>
      <c r="J2" s="225"/>
      <c r="K2" s="227"/>
      <c r="L2" s="227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S6(5)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S9(6)  &lt;S12(6)&gt; 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 xml:space="preserve">S11(7) 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S10(7)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 &lt;S1(6)&gt;  S2(6)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S4(7)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33" t="s">
        <v>52</v>
      </c>
      <c r="C7" s="233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>IF($E8&lt;&gt;"",IF($E8-715&lt;0,VLOOKUP($B$3,$E$62:$J$73,6,FALSE),IF(AND($E8-2130&gt;0,_xlfn.IFNA(MATCH($D8,$D$106:$D$116,0)&lt;20,"")=TRUE),VLOOKUP($L$3,$E$62:$J$73,6,FALSE),"-")),"")</f>
        <v>S6</v>
      </c>
      <c r="C8" s="9" t="str">
        <f>IF($E8&lt;&gt;"",IF(ISNUMBER(SEARCH("Hall Operation",$K8)),"-",IF($E8-715&lt;0,VLOOKUP($B$3,$E$62:$J$73,6,FALSE),IF($E8-2129&gt;0,VLOOKUP($L$3,$E$62:$J$73,6,FALSE),""))),"")</f>
        <v>-</v>
      </c>
      <c r="D8" s="165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>IF($D8=0,"",IF(OR(ISNUMBER(SEARCH("S",$B8)),_xlfn.IFNA(MATCH($D8,$D$106:$D$116,0)&lt;20,"")=TRUE),"&lt;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>IF($F9="Wavied","-",IF($D9=0,"",ROW($A9)-ROW($A$8)+1-COUNTIF($A$8:$A8,"@")-COUNTIF($A$8:$A8,"-")))</f>
        <v>2</v>
      </c>
      <c r="B9" s="9" t="str">
        <f t="shared" ref="B9:B42" si="0">IF($E9&lt;&gt;"",IF($E9-715&lt;0,VLOOKUP($B$3,$E$62:$J$73,6,FALSE),IF(AND($E9-2130&gt;0,_xlfn.IFNA(MATCH($D9,$D$106:$D$116,0)&lt;20,"")=TRUE),VLOOKUP($L$3,$E$62:$J$73,6,FALSE),"-")),"")</f>
        <v>S6</v>
      </c>
      <c r="C9" s="9" t="str">
        <f t="shared" ref="C9:C42" si="1">IF($E9&lt;&gt;"",IF(ISNUMBER(SEARCH("Hall Operation",$K9)),"-",IF($E9-715&lt;0,VLOOKUP($B$3,$E$62:$J$73,6,FALSE),IF($E9-2129&gt;0,VLOOKUP($L$3,$E$62:$J$73,6,FALSE),""))),"")</f>
        <v>-</v>
      </c>
      <c r="D9" s="165" t="s">
        <v>63</v>
      </c>
      <c r="E9" s="172" t="str">
        <f>IF($D9&gt;0,VLOOKUP($D9,Flight!$A$1:$E$91,2,FALSE),"")</f>
        <v>0545</v>
      </c>
      <c r="F9" s="45"/>
      <c r="G9" s="43" t="str">
        <f t="shared" ref="G9:G42" si="2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ref="K9:K42" si="3">IF($D9=0,"",IF(OR(ISNUMBER(SEARCH("S",$B9)),_xlfn.IFNA(MATCH($D9,$D$106:$D$116,0)&lt;20,"")=TRUE),"&lt;   Hall Operation   &gt;",""))</f>
        <v>&lt;   Hall Operation   &gt;</v>
      </c>
      <c r="L9" s="166"/>
      <c r="M9" s="166"/>
    </row>
    <row r="10" spans="1:16">
      <c r="A10" s="9">
        <f>IF($F10="Wavied","-",IF($D10=0,"",ROW($A10)-ROW($A$8)+1-COUNTIF($A$8:$A9,"@")-COUNTIF($A$8:$A9,"-")))</f>
        <v>3</v>
      </c>
      <c r="B10" s="9" t="str">
        <f t="shared" si="0"/>
        <v>S6</v>
      </c>
      <c r="C10" s="9" t="str">
        <f t="shared" si="1"/>
        <v>-</v>
      </c>
      <c r="D10" s="165" t="s">
        <v>238</v>
      </c>
      <c r="E10" s="172" t="str">
        <f>IF($D10&gt;0,VLOOKUP($D10,Flight!$A$1:$E$91,2,FALSE),"")</f>
        <v>0555</v>
      </c>
      <c r="F10" s="45"/>
      <c r="G10" s="43" t="str">
        <f t="shared" si="2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3"/>
        <v>&lt;   Hall Operation   &gt;</v>
      </c>
      <c r="L10" s="166"/>
      <c r="M10" s="166"/>
    </row>
    <row r="11" spans="1:16">
      <c r="A11" s="9">
        <f>IF($F11="Wavied","-",IF($D11=0,"",ROW($A11)-ROW($A$8)+1-COUNTIF($A$8:$A10,"@")-COUNTIF($A$8:$A10,"-")))</f>
        <v>4</v>
      </c>
      <c r="B11" s="9" t="str">
        <f t="shared" si="0"/>
        <v>S6</v>
      </c>
      <c r="C11" s="9" t="str">
        <f t="shared" si="1"/>
        <v>-</v>
      </c>
      <c r="D11" s="27" t="s">
        <v>567</v>
      </c>
      <c r="E11" s="172" t="str">
        <f>IF($D11&gt;0,VLOOKUP($D11,Flight!$A$1:$E$91,2,FALSE),"")</f>
        <v>0615</v>
      </c>
      <c r="F11" s="43"/>
      <c r="G11" s="43" t="str">
        <f t="shared" si="2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3"/>
        <v>&lt;   Hall Operation   &gt;</v>
      </c>
      <c r="L11" s="166"/>
      <c r="M11" s="166"/>
    </row>
    <row r="12" spans="1:16">
      <c r="A12" s="9">
        <f>IF($F12="Wavied","-",IF($D12=0,"",ROW($A12)-ROW($A$8)+1-COUNTIF($A$8:$A11,"@")-COUNTIF($A$8:$A11,"-")))</f>
        <v>5</v>
      </c>
      <c r="B12" s="9" t="str">
        <f t="shared" si="0"/>
        <v>S6</v>
      </c>
      <c r="C12" s="9" t="str">
        <f t="shared" si="1"/>
        <v>-</v>
      </c>
      <c r="D12" s="27" t="s">
        <v>568</v>
      </c>
      <c r="E12" s="172" t="str">
        <f>IF($D12&gt;0,VLOOKUP($D12,Flight!$A$1:$E$91,2,FALSE),"")</f>
        <v>0640</v>
      </c>
      <c r="F12" s="45"/>
      <c r="G12" s="43" t="str">
        <f t="shared" si="2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3"/>
        <v>&lt;   Hall Operation   &gt;</v>
      </c>
      <c r="L12" s="166"/>
      <c r="M12" s="166"/>
    </row>
    <row r="13" spans="1:16">
      <c r="A13" s="9">
        <f>IF($F13="Wavied","-",IF($D13=0,"",ROW($A13)-ROW($A$8)+1-COUNTIF($A$8:$A12,"@")-COUNTIF($A$8:$A12,"-")))</f>
        <v>6</v>
      </c>
      <c r="B13" s="9" t="s">
        <v>618</v>
      </c>
      <c r="C13" s="9" t="str">
        <f t="shared" si="1"/>
        <v>-</v>
      </c>
      <c r="D13" s="27" t="s">
        <v>569</v>
      </c>
      <c r="E13" s="172" t="str">
        <f>IF($D13&gt;0,VLOOKUP($D13,Flight!$A$1:$E$91,2,FALSE),"")</f>
        <v>0905</v>
      </c>
      <c r="F13" s="46"/>
      <c r="G13" s="43" t="str">
        <f t="shared" si="2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>IF($D13=0,"",IF(OR(ISNUMBER(SEARCH("S",$B14)),_xlfn.IFNA(MATCH($D13,$D$106:$D$116,0)&lt;20,"")=TRUE),"&lt;   Hall Operation   &gt;",""))</f>
        <v>&lt;   Hall Operation   &gt;</v>
      </c>
      <c r="L13" s="166"/>
      <c r="M13" s="166"/>
      <c r="P13" s="87"/>
    </row>
    <row r="14" spans="1:16">
      <c r="A14" s="9">
        <f>IF($F14="Wavied","-",IF($D14=0,"",ROW($A14)-ROW($A$8)+1-COUNTIF($A$8:$A13,"@")-COUNTIF($A$8:$A13,"-")))</f>
        <v>7</v>
      </c>
      <c r="B14" s="9" t="s">
        <v>618</v>
      </c>
      <c r="C14" s="9" t="str">
        <f t="shared" si="1"/>
        <v>-</v>
      </c>
      <c r="D14" s="27" t="s">
        <v>570</v>
      </c>
      <c r="E14" s="172" t="str">
        <f>IF($D14&gt;0,VLOOKUP($D14,Flight!$A$1:$E$91,2,FALSE),"")</f>
        <v>0935</v>
      </c>
      <c r="F14" s="46"/>
      <c r="G14" s="43" t="str">
        <f t="shared" si="2"/>
        <v/>
      </c>
      <c r="H14" s="44" t="str">
        <f>IF($D14&gt;0,VLOOKUP($D14,Flight!$A$1:$E$91,3,FALSE),"")</f>
        <v>BLR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>IF($D14=0,"",IF(OR(ISNUMBER(SEARCH("S",#REF!)),_xlfn.IFNA(MATCH($D14,$D$106:$D$116,0)&lt;20,"")=TRUE),"&lt;   Hall Operation   &gt;",""))</f>
        <v>&lt;   Hall Operation   &gt;</v>
      </c>
      <c r="L14" s="166"/>
      <c r="M14" s="166"/>
    </row>
    <row r="15" spans="1:16">
      <c r="A15" s="9">
        <f>IF($F15="Wavied","-",IF($D15=0,"",ROW($A15)-ROW($A$8)+1-COUNTIF($A$8:$A14,"@")-COUNTIF($A$8:$A14,"-")))</f>
        <v>8</v>
      </c>
      <c r="B15" s="9" t="s">
        <v>619</v>
      </c>
      <c r="C15" s="9" t="str">
        <f t="shared" si="1"/>
        <v>-</v>
      </c>
      <c r="D15" s="27" t="s">
        <v>571</v>
      </c>
      <c r="E15" s="172" t="str">
        <f>IF($D15&gt;0,VLOOKUP($D15,Flight!$A$1:$E$91,2,FALSE),"")</f>
        <v>0950</v>
      </c>
      <c r="F15" s="46"/>
      <c r="G15" s="43" t="str">
        <f t="shared" si="2"/>
        <v/>
      </c>
      <c r="H15" s="44" t="str">
        <f>IF($D15&gt;0,VLOOKUP($D15,Flight!$A$1:$E$91,3,FALSE),"")</f>
        <v>MAA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3"/>
        <v>&lt;   Hall Operation   &gt;</v>
      </c>
      <c r="L15" s="166"/>
      <c r="M15" s="166"/>
      <c r="O15" s="114"/>
    </row>
    <row r="16" spans="1:16">
      <c r="A16" s="9">
        <f>IF($F16="Wavied","-",IF($D16=0,"",ROW($A16)-ROW($A$8)+1-COUNTIF($A$8:$A15,"@")-COUNTIF($A$8:$A15,"-")))</f>
        <v>9</v>
      </c>
      <c r="B16" s="9" t="s">
        <v>619</v>
      </c>
      <c r="C16" s="9" t="str">
        <f t="shared" si="1"/>
        <v>-</v>
      </c>
      <c r="D16" s="27" t="s">
        <v>572</v>
      </c>
      <c r="E16" s="172" t="str">
        <f>IF($D16&gt;0,VLOOKUP($D16,Flight!$A$1:$E$91,2,FALSE),"")</f>
        <v>0955</v>
      </c>
      <c r="F16" s="45"/>
      <c r="G16" s="43" t="str">
        <f t="shared" si="2"/>
        <v/>
      </c>
      <c r="H16" s="44" t="str">
        <f>IF($D16&gt;0,VLOOKUP($D16,Flight!$A$1:$E$91,3,FALSE),"")</f>
        <v>BOM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3"/>
        <v>&lt;   Hall Operation   &gt;</v>
      </c>
      <c r="L16" s="166"/>
      <c r="M16" s="166"/>
      <c r="O16" s="114"/>
    </row>
    <row r="17" spans="1:15" ht="16.5" customHeight="1">
      <c r="A17" s="9">
        <f>IF($F17="Wavied","-",IF($D17=0,"",ROW($A17)-ROW($A$8)+1-COUNTIF($A$8:$A16,"@")-COUNTIF($A$8:$A16,"-")))</f>
        <v>10</v>
      </c>
      <c r="B17" s="9" t="s">
        <v>622</v>
      </c>
      <c r="C17" s="9" t="s">
        <v>620</v>
      </c>
      <c r="D17" s="27" t="s">
        <v>573</v>
      </c>
      <c r="E17" s="172" t="str">
        <f>IF($D17&gt;0,VLOOKUP($D17,Flight!$A$1:$E$91,2,FALSE),"")</f>
        <v>1000</v>
      </c>
      <c r="F17" s="45"/>
      <c r="G17" s="43" t="str">
        <f t="shared" si="2"/>
        <v/>
      </c>
      <c r="H17" s="44" t="str">
        <f>IF($D17&gt;0,VLOOKUP($D17,Flight!$A$1:$E$91,3,FALSE),"")</f>
        <v>DMK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3"/>
        <v/>
      </c>
      <c r="L17" s="166"/>
      <c r="M17" s="166"/>
      <c r="O17" s="114"/>
    </row>
    <row r="18" spans="1:15">
      <c r="A18" s="9">
        <f>IF($F18="Wavied","-",IF($D18=0,"",ROW($A18)-ROW($A$8)+1-COUNTIF($A$8:$A17,"@")-COUNTIF($A$8:$A17,"-")))</f>
        <v>11</v>
      </c>
      <c r="B18" s="9" t="s">
        <v>622</v>
      </c>
      <c r="C18" s="9" t="s">
        <v>620</v>
      </c>
      <c r="D18" s="27" t="s">
        <v>574</v>
      </c>
      <c r="E18" s="172" t="str">
        <f>IF($D18&gt;0,VLOOKUP($D18,Flight!$A$1:$E$91,2,FALSE),"")</f>
        <v>1010</v>
      </c>
      <c r="F18" s="45"/>
      <c r="G18" s="43" t="str">
        <f t="shared" si="2"/>
        <v/>
      </c>
      <c r="H18" s="44" t="str">
        <f>IF($D18&gt;0,VLOOKUP($D18,Flight!$A$1:$E$91,3,FALSE),"")</f>
        <v>MNL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3"/>
        <v/>
      </c>
      <c r="L18" s="166"/>
      <c r="M18" s="166"/>
      <c r="O18" s="114"/>
    </row>
    <row r="19" spans="1:15">
      <c r="A19" s="9">
        <f>IF($F19="Wavied","-",IF($D19=0,"",ROW($A19)-ROW($A$8)+1-COUNTIF($A$8:$A18,"@")-COUNTIF($A$8:$A18,"-")))</f>
        <v>12</v>
      </c>
      <c r="B19" s="9" t="s">
        <v>622</v>
      </c>
      <c r="C19" s="9" t="s">
        <v>621</v>
      </c>
      <c r="D19" s="27" t="s">
        <v>575</v>
      </c>
      <c r="E19" s="172" t="str">
        <f>IF($D19&gt;0,VLOOKUP($D19,Flight!$A$1:$E$91,2,FALSE),"")</f>
        <v>1115</v>
      </c>
      <c r="F19" s="45"/>
      <c r="G19" s="43" t="str">
        <f t="shared" si="2"/>
        <v/>
      </c>
      <c r="H19" s="44" t="str">
        <f>IF($D19&gt;0,VLOOKUP($D19,Flight!$A$1:$E$91,3,FALSE),"")</f>
        <v>KUL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3"/>
        <v/>
      </c>
      <c r="L19" s="166"/>
      <c r="M19" s="166"/>
      <c r="O19" s="114"/>
    </row>
    <row r="20" spans="1:15">
      <c r="A20" s="9">
        <f>IF($F20="Wavied","-",IF($D20=0,"",ROW($A20)-ROW($A$8)+1-COUNTIF($A$8:$A19,"@")-COUNTIF($A$8:$A19,"-")))</f>
        <v>13</v>
      </c>
      <c r="B20" s="9" t="str">
        <f t="shared" si="0"/>
        <v>-</v>
      </c>
      <c r="C20" s="9" t="s">
        <v>618</v>
      </c>
      <c r="D20" s="27" t="s">
        <v>576</v>
      </c>
      <c r="E20" s="172" t="str">
        <f>IF($D20&gt;0,VLOOKUP($D20,Flight!$A$1:$E$91,2,FALSE),"")</f>
        <v>1145</v>
      </c>
      <c r="F20" s="45"/>
      <c r="G20" s="43" t="str">
        <f t="shared" si="2"/>
        <v/>
      </c>
      <c r="H20" s="44" t="str">
        <f>IF($D20&gt;0,VLOOKUP($D20,Flight!$A$1:$E$91,3,FALSE),"")</f>
        <v>BKK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3"/>
        <v/>
      </c>
      <c r="L20" s="166"/>
      <c r="M20" s="166"/>
      <c r="O20" s="114"/>
    </row>
    <row r="21" spans="1:15" ht="15.75" customHeight="1">
      <c r="A21" s="9">
        <f>IF($F21="Wavied","-",IF($D21=0,"",ROW($A21)-ROW($A$8)+1-COUNTIF($A$8:$A20,"@")-COUNTIF($A$8:$A20,"-")))</f>
        <v>14</v>
      </c>
      <c r="B21" s="9" t="s">
        <v>622</v>
      </c>
      <c r="C21" s="9" t="s">
        <v>621</v>
      </c>
      <c r="D21" s="27" t="s">
        <v>577</v>
      </c>
      <c r="E21" s="172" t="str">
        <f>IF($D21&gt;0,VLOOKUP($D21,Flight!$A$1:$E$91,2,FALSE),"")</f>
        <v>1210</v>
      </c>
      <c r="F21" s="44"/>
      <c r="G21" s="43" t="str">
        <f t="shared" si="2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3"/>
        <v/>
      </c>
      <c r="L21" s="166"/>
      <c r="M21" s="166"/>
      <c r="O21" s="114"/>
    </row>
    <row r="22" spans="1:15">
      <c r="A22" s="9">
        <f>IF($F22="Wavied","-",IF($D22=0,"",ROW($A22)-ROW($A$8)+1-COUNTIF($A$8:$A21,"@")-COUNTIF($A$8:$A21,"-")))</f>
        <v>15</v>
      </c>
      <c r="B22" s="9" t="str">
        <f t="shared" si="0"/>
        <v>-</v>
      </c>
      <c r="C22" s="9" t="s">
        <v>618</v>
      </c>
      <c r="D22" s="27" t="s">
        <v>578</v>
      </c>
      <c r="E22" s="172" t="str">
        <f>IF($D22&gt;0,VLOOKUP($D22,Flight!$A$1:$E$91,2,FALSE),"")</f>
        <v>1305</v>
      </c>
      <c r="F22" s="44"/>
      <c r="G22" s="43" t="str">
        <f t="shared" si="2"/>
        <v/>
      </c>
      <c r="H22" s="44" t="str">
        <f>IF($D22&gt;0,VLOOKUP($D22,Flight!$A$1:$E$91,3,FALSE),"")</f>
        <v>DMK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3"/>
        <v/>
      </c>
      <c r="L22" s="166"/>
      <c r="M22" s="166"/>
      <c r="O22" s="114"/>
    </row>
    <row r="23" spans="1:15">
      <c r="A23" s="9">
        <f>IF($F23="Wavied","-",IF($D23=0,"",ROW($A23)-ROW($A$8)+1-COUNTIF($A$8:$A22,"@")-COUNTIF($A$8:$A22,"-")))</f>
        <v>16</v>
      </c>
      <c r="B23" s="9" t="s">
        <v>619</v>
      </c>
      <c r="C23" s="9" t="str">
        <f t="shared" si="1"/>
        <v>-</v>
      </c>
      <c r="D23" s="165" t="s">
        <v>582</v>
      </c>
      <c r="E23" s="172" t="str">
        <f>IF($D23&gt;0,VLOOKUP($D23,Flight!$A$1:$E$91,2,FALSE),"")</f>
        <v>1310</v>
      </c>
      <c r="F23" s="44"/>
      <c r="G23" s="43" t="str">
        <f t="shared" si="2"/>
        <v/>
      </c>
      <c r="H23" s="44" t="str">
        <f>IF($D23&gt;0,VLOOKUP($D23,Flight!$A$1:$E$91,3,FALSE),"")</f>
        <v>DEL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3"/>
        <v>&lt;   Hall Operation   &gt;</v>
      </c>
      <c r="L23" s="166"/>
      <c r="M23" s="166"/>
      <c r="O23" s="114"/>
    </row>
    <row r="24" spans="1:15">
      <c r="A24" s="9">
        <f>IF($F24="Wavied","-",IF($D24=0,"",ROW($A24)-ROW($A$8)+1-COUNTIF($A$8:$A23,"@")-COUNTIF($A$8:$A23,"-")))</f>
        <v>17</v>
      </c>
      <c r="B24" s="9" t="str">
        <f t="shared" si="0"/>
        <v>-</v>
      </c>
      <c r="C24" s="9" t="s">
        <v>620</v>
      </c>
      <c r="D24" s="9" t="s">
        <v>579</v>
      </c>
      <c r="E24" s="172" t="str">
        <f>IF($D24&gt;0,VLOOKUP($D24,Flight!$A$1:$E$91,2,FALSE),"")</f>
        <v>1415</v>
      </c>
      <c r="F24" s="45"/>
      <c r="G24" s="43" t="str">
        <f t="shared" si="2"/>
        <v/>
      </c>
      <c r="H24" s="44" t="str">
        <f>IF($D24&gt;0,VLOOKUP($D24,Flight!$A$1:$E$91,3,FALSE),"")</f>
        <v>KUL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3"/>
        <v/>
      </c>
      <c r="L24" s="166"/>
      <c r="M24" s="166"/>
      <c r="O24" s="114"/>
    </row>
    <row r="25" spans="1:15">
      <c r="A25" s="9">
        <f>IF($F25="Wavied","-",IF($D25=0,"",ROW($A25)-ROW($A$8)+1-COUNTIF($A$8:$A24,"@")-COUNTIF($A$8:$A24,"-")))</f>
        <v>18</v>
      </c>
      <c r="B25" s="9" t="str">
        <f t="shared" si="0"/>
        <v>-</v>
      </c>
      <c r="C25" s="9" t="s">
        <v>621</v>
      </c>
      <c r="D25" s="9" t="s">
        <v>580</v>
      </c>
      <c r="E25" s="172" t="str">
        <f>IF($D25&gt;0,VLOOKUP($D25,Flight!$A$1:$E$91,2,FALSE),"")</f>
        <v>1420</v>
      </c>
      <c r="F25" s="45"/>
      <c r="G25" s="43" t="str">
        <f t="shared" si="2"/>
        <v/>
      </c>
      <c r="H25" s="44" t="str">
        <f>IF($D25&gt;0,VLOOKUP($D25,Flight!$A$1:$E$91,3,FALSE),"")</f>
        <v>BKK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3"/>
        <v/>
      </c>
      <c r="L25" s="166"/>
      <c r="M25" s="166"/>
      <c r="O25" s="114"/>
    </row>
    <row r="26" spans="1:15">
      <c r="A26" s="9">
        <f>IF($F26="Wavied","-",IF($D26=0,"",ROW($A26)-ROW($A$8)+1-COUNTIF($A$8:$A25,"@")-COUNTIF($A$8:$A25,"-")))</f>
        <v>19</v>
      </c>
      <c r="B26" s="9" t="str">
        <f t="shared" si="0"/>
        <v>-</v>
      </c>
      <c r="C26" s="9" t="s">
        <v>597</v>
      </c>
      <c r="D26" s="27" t="s">
        <v>581</v>
      </c>
      <c r="E26" s="172" t="str">
        <f>IF($D26&gt;0,VLOOKUP($D26,Flight!$A$1:$E$91,2,FALSE),"")</f>
        <v>1450</v>
      </c>
      <c r="F26" s="44"/>
      <c r="G26" s="43" t="str">
        <f t="shared" si="2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IF($D26&gt;0,IF(VLOOKUP($D26,Flight!$A$1:$E$91,4,FALSE)&gt;1,VLOOKUP($D26,Flight!$A$1:$E109,4,FALSE),""),"")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3"/>
        <v/>
      </c>
      <c r="L26" s="166"/>
      <c r="M26" s="166"/>
      <c r="O26" s="114"/>
    </row>
    <row r="27" spans="1:15">
      <c r="A27" s="9">
        <f>IF($F27="Wavied","-",IF($D27=0,"",ROW($A27)-ROW($A$8)+1-COUNTIF($A$8:$A26,"@")-COUNTIF($A$8:$A26,"-")))</f>
        <v>20</v>
      </c>
      <c r="B27" s="9" t="str">
        <f t="shared" si="0"/>
        <v>-</v>
      </c>
      <c r="C27" s="9" t="s">
        <v>598</v>
      </c>
      <c r="D27" s="27" t="s">
        <v>381</v>
      </c>
      <c r="E27" s="172" t="str">
        <f>IF($D27&gt;0,VLOOKUP($D27,Flight!$A$1:$E$91,2,FALSE),"")</f>
        <v>1510</v>
      </c>
      <c r="F27" s="45"/>
      <c r="G27" s="43" t="str">
        <f t="shared" si="2"/>
        <v/>
      </c>
      <c r="H27" s="44" t="str">
        <f>IF($D27&gt;0,VLOOKUP($D27,Flight!$A$1:$E$91,3,FALSE),"")</f>
        <v>DOH</v>
      </c>
      <c r="I27" s="44" t="str">
        <f>IF($D27&gt;0,IF(VLOOKUP($D27,Flight!$A$1:$E$91,4,FALSE)&gt;1,VLOOKUP($D27,Flight!$A$1:$E110,4,FALSE),""),"")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3"/>
        <v/>
      </c>
      <c r="L27" s="166"/>
      <c r="M27" s="166"/>
      <c r="O27" s="114"/>
    </row>
    <row r="28" spans="1:15">
      <c r="A28" s="9">
        <f>IF($F28="Wavied","-",IF($D28=0,"",ROW($A28)-ROW($A$8)+1-COUNTIF($A$8:$A27,"@")-COUNTIF($A$8:$A27,"-")))</f>
        <v>21</v>
      </c>
      <c r="B28" s="9" t="str">
        <f t="shared" si="0"/>
        <v>-</v>
      </c>
      <c r="C28" s="9" t="s">
        <v>599</v>
      </c>
      <c r="D28" s="27" t="s">
        <v>593</v>
      </c>
      <c r="E28" s="172" t="str">
        <f>IF($D28&gt;0,VLOOKUP($D28,Flight!$A$1:$E$91,2,FALSE),"")</f>
        <v>1645</v>
      </c>
      <c r="F28" s="45"/>
      <c r="G28" s="43" t="str">
        <f t="shared" si="2"/>
        <v/>
      </c>
      <c r="H28" s="44" t="str">
        <f>IF($D28&gt;0,VLOOKUP($D28,Flight!$A$1:$E$91,3,FALSE),"")</f>
        <v>ADD</v>
      </c>
      <c r="I28" s="44" t="str">
        <f>IF($D28&gt;0,IF(VLOOKUP($D28,Flight!$A$1:$E$91,4,FALSE)&gt;1,VLOOKUP($D28,Flight!$A$1:$E111,4,FALSE),""),"")</f>
        <v>BKK</v>
      </c>
      <c r="J28" s="44" t="str">
        <f>IF($D28&gt;0,IF(VLOOKUP($D28,Flight!$A$1:$E$91,5,FALSE)&gt;1,VLOOKUP($D28,Flight!$A$1:$E$91,5,FALSE),""),"")</f>
        <v/>
      </c>
      <c r="K28" s="166" t="str">
        <f t="shared" si="3"/>
        <v/>
      </c>
      <c r="L28" s="166"/>
      <c r="M28" s="166"/>
    </row>
    <row r="29" spans="1:15">
      <c r="A29" s="9">
        <f>IF($F29="Wavied","-",IF($D29=0,"",ROW($A29)-ROW($A$8)+1-COUNTIF($A$8:$A28,"@")-COUNTIF($A$8:$A28,"-")))</f>
        <v>22</v>
      </c>
      <c r="B29" s="9" t="str">
        <f t="shared" si="0"/>
        <v>-</v>
      </c>
      <c r="C29" s="9" t="s">
        <v>601</v>
      </c>
      <c r="D29" s="27" t="s">
        <v>382</v>
      </c>
      <c r="E29" s="172" t="str">
        <f>IF($D29&gt;0,VLOOKUP($D29,Flight!$A$1:$E$91,2,FALSE),"")</f>
        <v>1715</v>
      </c>
      <c r="F29" s="49"/>
      <c r="G29" s="43" t="str">
        <f t="shared" si="2"/>
        <v/>
      </c>
      <c r="H29" s="44" t="str">
        <f>IF($D29&gt;0,VLOOKUP($D29,Flight!$A$1:$E$91,3,FALSE),"")</f>
        <v>IST</v>
      </c>
      <c r="I29" s="44" t="str">
        <f>IF($D29&gt;0,IF(VLOOKUP($D29,Flight!$A$1:$E$91,4,FALSE)&gt;1,VLOOKUP($D29,Flight!$A$1:$E112,4,FALSE),""),"")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3"/>
        <v/>
      </c>
      <c r="L29" s="166"/>
      <c r="M29" s="166"/>
    </row>
    <row r="30" spans="1:15">
      <c r="A30" s="9">
        <f>IF($F30="Wavied","-",IF($D30=0,"",ROW($A30)-ROW($A$8)+1-COUNTIF($A$8:$A29,"@")-COUNTIF($A$8:$A29,"-")))</f>
        <v>23</v>
      </c>
      <c r="B30" s="9" t="str">
        <f t="shared" si="0"/>
        <v>-</v>
      </c>
      <c r="C30" s="9" t="s">
        <v>600</v>
      </c>
      <c r="D30" s="27" t="s">
        <v>583</v>
      </c>
      <c r="E30" s="172" t="str">
        <f>IF($D30&gt;0,VLOOKUP($D30,Flight!$A$1:$E$91,2,FALSE),"")</f>
        <v>1720</v>
      </c>
      <c r="F30" s="45"/>
      <c r="G30" s="43" t="str">
        <f t="shared" si="2"/>
        <v/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3"/>
        <v/>
      </c>
      <c r="L30" s="166"/>
      <c r="M30" s="166"/>
    </row>
    <row r="31" spans="1:15">
      <c r="A31" s="9">
        <f>IF($F31="Wavied","-",IF($D31=0,"",ROW($A31)-ROW($A$8)+1-COUNTIF($A$8:$A30,"@")-COUNTIF($A$8:$A30,"-")))</f>
        <v>24</v>
      </c>
      <c r="B31" s="9" t="str">
        <f t="shared" si="0"/>
        <v>-</v>
      </c>
      <c r="C31" s="9" t="s">
        <v>597</v>
      </c>
      <c r="D31" s="27" t="s">
        <v>584</v>
      </c>
      <c r="E31" s="172" t="str">
        <f>IF($D31&gt;0,VLOOKUP($D31,Flight!$A$1:$E$91,2,FALSE),"")</f>
        <v>1755</v>
      </c>
      <c r="F31" s="45"/>
      <c r="G31" s="43" t="str">
        <f t="shared" si="2"/>
        <v/>
      </c>
      <c r="H31" s="44" t="str">
        <f>IF($D31&gt;0,VLOOKUP($D31,Flight!$A$1:$E$91,3,FALSE),"")</f>
        <v>KUL</v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3"/>
        <v/>
      </c>
      <c r="L31" s="166"/>
      <c r="M31" s="166"/>
    </row>
    <row r="32" spans="1:15">
      <c r="A32" s="9">
        <f>IF($F32="Wavied","-",IF($D32=0,"",ROW($A32)-ROW($A$8)+1-COUNTIF($A$8:$A31,"@")-COUNTIF($A$8:$A31,"-")))</f>
        <v>25</v>
      </c>
      <c r="B32" s="9" t="str">
        <f t="shared" si="0"/>
        <v>-</v>
      </c>
      <c r="C32" s="9" t="s">
        <v>599</v>
      </c>
      <c r="D32" s="27" t="s">
        <v>585</v>
      </c>
      <c r="E32" s="172" t="str">
        <f>IF($D32&gt;0,VLOOKUP($D32,Flight!$A$1:$E$91,2,FALSE),"")</f>
        <v>1805</v>
      </c>
      <c r="F32" s="46"/>
      <c r="G32" s="43" t="str">
        <f t="shared" si="2"/>
        <v/>
      </c>
      <c r="H32" s="44" t="str">
        <f>IF($D32&gt;0,VLOOKUP($D32,Flight!$A$1:$E$91,3,FALSE),"")</f>
        <v>DXB</v>
      </c>
      <c r="I32" s="44" t="str">
        <f>IF($D32&gt;0,IF(VLOOKUP($D32,Flight!$A$1:$E$91,4,FALSE)&gt;1,VLOOKUP($D32,Flight!$A$1:$E115,4,FALSE),""),"")</f>
        <v>BKK</v>
      </c>
      <c r="J32" s="44" t="str">
        <f>IF($D32&gt;0,IF(VLOOKUP($D32,Flight!$A$1:$E$91,5,FALSE)&gt;1,VLOOKUP($D32,Flight!$A$1:$E$91,5,FALSE),""),"")</f>
        <v/>
      </c>
      <c r="K32" s="166" t="str">
        <f t="shared" si="3"/>
        <v/>
      </c>
      <c r="L32" s="166"/>
      <c r="M32" s="166"/>
    </row>
    <row r="33" spans="1:18">
      <c r="A33" s="9">
        <f>IF($F33="Wavied","-",IF($D33=0,"",ROW($A33)-ROW($A$8)+1-COUNTIF($A$8:$A32,"@")-COUNTIF($A$8:$A32,"-")))</f>
        <v>26</v>
      </c>
      <c r="B33" s="9" t="str">
        <f t="shared" si="0"/>
        <v>-</v>
      </c>
      <c r="C33" s="9" t="s">
        <v>597</v>
      </c>
      <c r="D33" s="27" t="s">
        <v>385</v>
      </c>
      <c r="E33" s="172" t="str">
        <f>IF($D33&gt;0,VLOOKUP($D33,Flight!$A$1:$E$91,2,FALSE),"")</f>
        <v>1810</v>
      </c>
      <c r="F33" s="45"/>
      <c r="G33" s="43" t="str">
        <f t="shared" si="2"/>
        <v/>
      </c>
      <c r="H33" s="44" t="str">
        <f>IF($D33&gt;0,VLOOKUP($D33,Flight!$A$1:$E$91,3,FALSE),"")</f>
        <v>MNL</v>
      </c>
      <c r="I33" s="44" t="str">
        <f>IF($D33&gt;0,IF(VLOOKUP($D33,Flight!$A$1:$E$91,4,FALSE)&gt;1,VLOOKUP($D33,Flight!$A$1:$E116,4,FALSE),""),"")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3"/>
        <v/>
      </c>
      <c r="L33" s="166"/>
      <c r="M33" s="166"/>
    </row>
    <row r="34" spans="1:18">
      <c r="A34" s="9">
        <f>IF($F34="Wavied","-",IF($D34=0,"",ROW($A34)-ROW($A$8)+1-COUNTIF($A$8:$A33,"@")-COUNTIF($A$8:$A33,"-")))</f>
        <v>27</v>
      </c>
      <c r="B34" s="9" t="str">
        <f t="shared" si="0"/>
        <v>-</v>
      </c>
      <c r="C34" s="9" t="s">
        <v>599</v>
      </c>
      <c r="D34" s="27" t="s">
        <v>586</v>
      </c>
      <c r="E34" s="172" t="str">
        <f>IF($D34&gt;0,VLOOKUP($D34,Flight!$A$1:$E$91,2,FALSE),"")</f>
        <v>1820</v>
      </c>
      <c r="F34" s="45"/>
      <c r="G34" s="43" t="str">
        <f t="shared" si="2"/>
        <v/>
      </c>
      <c r="H34" s="44" t="str">
        <f>IF($D34&gt;0,VLOOKUP($D34,Flight!$A$1:$E$91,3,FALSE),"")</f>
        <v>SIN</v>
      </c>
      <c r="I34" s="44" t="str">
        <f>IF($D34&gt;0,IF(VLOOKUP($D34,Flight!$A$1:$E$91,4,FALSE)&gt;1,VLOOKUP($D34,Flight!$A$1:$E117,4,FALSE),""),"")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3"/>
        <v/>
      </c>
      <c r="L34" s="166"/>
      <c r="M34" s="167"/>
      <c r="P34" s="84"/>
    </row>
    <row r="35" spans="1:18">
      <c r="A35" s="9">
        <f>IF($F35="Wavied","-",IF($D35=0,"",ROW($A35)-ROW($A$8)+1-COUNTIF($A$8:$A34,"@")-COUNTIF($A$8:$A34,"-")))</f>
        <v>28</v>
      </c>
      <c r="B35" s="9" t="str">
        <f t="shared" si="0"/>
        <v>-</v>
      </c>
      <c r="C35" s="9" t="s">
        <v>601</v>
      </c>
      <c r="D35" s="27" t="s">
        <v>587</v>
      </c>
      <c r="E35" s="172" t="str">
        <f>IF($D35&gt;0,VLOOKUP($D35,Flight!$A$1:$E$91,2,FALSE),"")</f>
        <v>1920</v>
      </c>
      <c r="F35" s="45"/>
      <c r="G35" s="43" t="str">
        <f t="shared" si="2"/>
        <v/>
      </c>
      <c r="H35" s="44" t="str">
        <f>IF($D35&gt;0,VLOOKUP($D35,Flight!$A$1:$E$91,3,FALSE),"")</f>
        <v>DMK</v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3"/>
        <v/>
      </c>
      <c r="L35" s="166"/>
      <c r="M35" s="167"/>
      <c r="O35" s="115"/>
      <c r="P35" s="87"/>
    </row>
    <row r="36" spans="1:18" ht="16.5">
      <c r="A36" s="9">
        <f>IF($F36="Wavied","-",IF($D36=0,"",ROW($A36)-ROW($A$8)+1-COUNTIF($A$8:$A35,"@")-COUNTIF($A$8:$A35,"-")))</f>
        <v>29</v>
      </c>
      <c r="B36" s="9" t="str">
        <f t="shared" si="0"/>
        <v>-</v>
      </c>
      <c r="C36" s="9" t="s">
        <v>597</v>
      </c>
      <c r="D36" s="27" t="s">
        <v>588</v>
      </c>
      <c r="E36" s="172" t="str">
        <f>IF($D36&gt;0,VLOOKUP($D36,Flight!$A$1:$E$91,2,FALSE),"")</f>
        <v>1950</v>
      </c>
      <c r="F36" s="45"/>
      <c r="G36" s="43" t="str">
        <f t="shared" si="2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3"/>
        <v/>
      </c>
      <c r="L36" s="166"/>
      <c r="M36" s="167"/>
      <c r="O36" s="4"/>
      <c r="P36" s="88"/>
      <c r="Q36" s="4"/>
      <c r="R36" s="4"/>
    </row>
    <row r="37" spans="1:18">
      <c r="A37" s="9">
        <f>IF($F37="Wavied","-",IF($D37=0,"",ROW($A37)-ROW($A$8)+1-COUNTIF($A$8:$A36,"@")-COUNTIF($A$8:$A36,"-")))</f>
        <v>30</v>
      </c>
      <c r="B37" s="9" t="str">
        <f t="shared" si="0"/>
        <v>-</v>
      </c>
      <c r="C37" s="9" t="s">
        <v>599</v>
      </c>
      <c r="D37" s="27" t="s">
        <v>589</v>
      </c>
      <c r="E37" s="172" t="str">
        <f>IF($D37&gt;0,VLOOKUP($D37,Flight!$A$1:$E$91,2,FALSE),"")</f>
        <v>2030</v>
      </c>
      <c r="F37" s="45"/>
      <c r="G37" s="43" t="str">
        <f t="shared" si="2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3"/>
        <v/>
      </c>
      <c r="L37" s="166"/>
      <c r="M37" s="167"/>
      <c r="O37" s="4"/>
      <c r="P37" s="4"/>
      <c r="Q37" s="4"/>
      <c r="R37" s="4"/>
    </row>
    <row r="38" spans="1:18" ht="16.5">
      <c r="A38" s="9">
        <f>IF($F38="Wavied","-",IF($D38=0,"",ROW($A38)-ROW($A$8)+1-COUNTIF($A$8:$A37,"@")-COUNTIF($A$8:$A37,"-")))</f>
        <v>31</v>
      </c>
      <c r="B38" s="9" t="str">
        <f t="shared" si="0"/>
        <v>-</v>
      </c>
      <c r="C38" s="9" t="s">
        <v>597</v>
      </c>
      <c r="D38" s="27" t="s">
        <v>590</v>
      </c>
      <c r="E38" s="172" t="str">
        <f>IF($D38&gt;0,VLOOKUP($D38,Flight!$A$1:$E$91,2,FALSE),"")</f>
        <v>2120</v>
      </c>
      <c r="F38" s="45"/>
      <c r="G38" s="43" t="str">
        <f t="shared" si="2"/>
        <v/>
      </c>
      <c r="H38" s="44" t="str">
        <f>IF($D38&gt;0,VLOOKUP($D38,Flight!$A$1:$E$91,3,FALSE),"")</f>
        <v>DEL</v>
      </c>
      <c r="I38" s="44" t="str">
        <f>IF($D38&gt;0,IF(VLOOKUP($D38,Flight!$A$1:$E$91,4,FALSE)&gt;1,VLOOKUP($D38,Flight!$A$1:$E121,4,FALSE),""),"")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3"/>
        <v/>
      </c>
      <c r="L38" s="166"/>
      <c r="M38" s="166"/>
      <c r="O38" s="4"/>
      <c r="P38" s="89"/>
      <c r="Q38" s="4"/>
      <c r="R38" s="4"/>
    </row>
    <row r="39" spans="1:18" ht="16.5">
      <c r="A39" s="9">
        <f>IF($F39="Wavied","-",IF($D39=0,"",ROW($A39)-ROW($A$8)+1-COUNTIF($A$8:$A38,"@")-COUNTIF($A$8:$A38,"-")))</f>
        <v>32</v>
      </c>
      <c r="B39" s="9" t="str">
        <f t="shared" si="0"/>
        <v>-</v>
      </c>
      <c r="C39" s="9" t="str">
        <f t="shared" si="1"/>
        <v>S4</v>
      </c>
      <c r="D39" s="27" t="s">
        <v>591</v>
      </c>
      <c r="E39" s="172" t="str">
        <f>IF($D39&gt;0,VLOOKUP($D39,Flight!$A$1:$E$91,2,FALSE),"")</f>
        <v>2155</v>
      </c>
      <c r="F39" s="45"/>
      <c r="G39" s="43" t="str">
        <f t="shared" si="2"/>
        <v/>
      </c>
      <c r="H39" s="44" t="str">
        <f>IF($D39&gt;0,VLOOKUP($D39,Flight!$A$1:$E$91,3,FALSE),"")</f>
        <v>DOH</v>
      </c>
      <c r="I39" s="44" t="str">
        <f>IF($D39&gt;0,IF(VLOOKUP($D39,Flight!$A$1:$E$91,4,FALSE)&gt;1,VLOOKUP($D39,Flight!$A$1:$E122,4,FALSE),""),"")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3"/>
        <v/>
      </c>
      <c r="L39" s="166"/>
      <c r="M39" s="166"/>
      <c r="O39" s="4"/>
      <c r="P39" s="89"/>
      <c r="Q39" s="4"/>
      <c r="R39" s="4"/>
    </row>
    <row r="40" spans="1:18" ht="16.5">
      <c r="A40" s="9">
        <f>IF($F40="Wavied","-",IF($D40=0,"",ROW($A40)-ROW($A$8)+1-COUNTIF($A$8:$A39,"@")-COUNTIF($A$8:$A39,"-")))</f>
        <v>33</v>
      </c>
      <c r="B40" s="9" t="str">
        <f t="shared" si="0"/>
        <v>-</v>
      </c>
      <c r="C40" s="9" t="str">
        <f t="shared" si="1"/>
        <v>S4</v>
      </c>
      <c r="D40" s="27" t="s">
        <v>592</v>
      </c>
      <c r="E40" s="172" t="str">
        <f>IF($D40&gt;0,VLOOKUP($D40,Flight!$A$1:$E$91,2,FALSE),"")</f>
        <v>2320</v>
      </c>
      <c r="F40" s="45"/>
      <c r="G40" s="43" t="str">
        <f t="shared" si="2"/>
        <v/>
      </c>
      <c r="H40" s="44" t="str">
        <f>IF($D40&gt;0,VLOOKUP($D40,Flight!$A$1:$E$91,3,FALSE),"")</f>
        <v>BKK</v>
      </c>
      <c r="I40" s="44" t="str">
        <f>IF($D40&gt;0,IF(VLOOKUP($D40,Flight!$A$1:$E$91,4,FALSE)&gt;1,VLOOKUP($D40,Flight!$A$1:$E123,4,FALSE),""),"")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3"/>
        <v/>
      </c>
      <c r="L40" s="166"/>
      <c r="M40" s="166"/>
      <c r="O40" s="4"/>
      <c r="P40" s="89"/>
      <c r="Q40" s="4"/>
      <c r="R40" s="4"/>
    </row>
    <row r="41" spans="1:18" ht="16.5">
      <c r="A41" s="9" t="str">
        <f t="shared" ref="A41:A42" si="4">IF($A39="S/N",1,IF($F41="Wavied","-",IF($D41=0,"",ROW($A41)-ROW($A$7)-COUNTIF($A$7:$A$8,"@")-COUNTIF($A$7:$A$8,"-"))))</f>
        <v/>
      </c>
      <c r="B41" s="9" t="str">
        <f t="shared" si="0"/>
        <v/>
      </c>
      <c r="C41" s="9" t="str">
        <f t="shared" si="1"/>
        <v/>
      </c>
      <c r="D41" s="27"/>
      <c r="E41" s="172" t="str">
        <f>IF($D41&gt;0,VLOOKUP($D41,Flight!$A$1:$E$91,2,FALSE),"")</f>
        <v/>
      </c>
      <c r="F41" s="45"/>
      <c r="G41" s="43" t="str">
        <f t="shared" si="2"/>
        <v/>
      </c>
      <c r="H41" s="44" t="str">
        <f>IF($D41&gt;0,VLOOKUP($D41,Flight!$A$1:$E$91,3,FALSE),"")</f>
        <v/>
      </c>
      <c r="I41" s="44" t="str">
        <f>IF($D41&gt;0,IF(VLOOKUP($D41,Flight!$A$1:$E$91,4,FALSE)&gt;1,VLOOKUP($D41,Flight!$A$1:$E124,4,FALSE),""),"")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3"/>
        <v/>
      </c>
      <c r="L41" s="166"/>
      <c r="M41" s="166"/>
      <c r="O41" s="4"/>
      <c r="P41" s="89"/>
      <c r="Q41" s="4"/>
      <c r="R41" s="4"/>
    </row>
    <row r="42" spans="1:18" ht="16.5">
      <c r="A42" s="9" t="str">
        <f t="shared" si="4"/>
        <v/>
      </c>
      <c r="B42" s="9" t="str">
        <f t="shared" si="0"/>
        <v/>
      </c>
      <c r="C42" s="9" t="str">
        <f t="shared" si="1"/>
        <v/>
      </c>
      <c r="D42" s="27"/>
      <c r="E42" s="172" t="str">
        <f>IF($D42&gt;0,VLOOKUP($D42,Flight!$A$1:$E$91,2,FALSE),"")</f>
        <v/>
      </c>
      <c r="F42" s="45"/>
      <c r="G42" s="43" t="str">
        <f t="shared" si="2"/>
        <v/>
      </c>
      <c r="H42" s="44" t="str">
        <f>IF($D42&gt;0,VLOOKUP($D42,Flight!$A$1:$E$91,3,FALSE),"")</f>
        <v/>
      </c>
      <c r="I42" s="44" t="str">
        <f>IF($D42&gt;0,IF(VLOOKUP($D42,Flight!$A$1:$E$91,4,FALSE)&gt;1,VLOOKUP($D42,Flight!$A$1:$E125,4,FALSE),""),"")</f>
        <v/>
      </c>
      <c r="J42" s="44" t="str">
        <f>IF($D42&gt;0,IF(VLOOKUP($D42,Flight!$A$1:$E$91,5,FALSE)&gt;1,VLOOKUP($D42,Flight!$A$1:$E$91,5,FALSE),""),"")</f>
        <v/>
      </c>
      <c r="K42" s="166" t="str">
        <f t="shared" si="3"/>
        <v/>
      </c>
      <c r="L42" s="166"/>
      <c r="M42" s="166"/>
      <c r="O42" s="4"/>
      <c r="P42" s="89"/>
      <c r="Q42" s="4"/>
      <c r="R42" s="4"/>
    </row>
    <row r="43" spans="1:18">
      <c r="A43" s="376" t="s">
        <v>5</v>
      </c>
      <c r="B43" s="376"/>
      <c r="C43" s="376"/>
      <c r="D43" s="376"/>
      <c r="E43" s="376"/>
      <c r="F43" s="376"/>
      <c r="G43" s="50"/>
      <c r="H43" s="232" t="s">
        <v>40</v>
      </c>
      <c r="I43" s="377"/>
      <c r="J43" s="377"/>
      <c r="K43" s="377"/>
      <c r="L43" s="377"/>
      <c r="M43" s="377"/>
      <c r="N43" s="5"/>
    </row>
    <row r="44" spans="1:18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</row>
    <row r="45" spans="1:18">
      <c r="A45" s="379"/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</row>
    <row r="46" spans="1:18">
      <c r="A46" s="389" t="s">
        <v>216</v>
      </c>
      <c r="B46" s="389"/>
      <c r="C46" s="259" t="s">
        <v>734</v>
      </c>
      <c r="D46" s="375" t="s">
        <v>234</v>
      </c>
      <c r="E46" s="375"/>
      <c r="F46" s="258" t="s">
        <v>215</v>
      </c>
      <c r="G46" s="390" t="s">
        <v>233</v>
      </c>
      <c r="H46" s="390"/>
      <c r="I46" s="391" t="s">
        <v>223</v>
      </c>
      <c r="J46" s="391"/>
      <c r="K46" s="375" t="str">
        <f>IF(COUNTIF($E$62:$E$65,$E$58)&gt;0,Staff!$G$2,"")&amp;IF(COUNTIF($E$66:$E$69,$E$58)&gt;0,Staff!$G$3,"")&amp;IF(COUNTIF($E$70:$E$73,$E$58)&gt;0,Staff!$G$4,"")</f>
        <v>WONG, TSZ MING</v>
      </c>
      <c r="L46" s="375"/>
      <c r="M46" s="375"/>
    </row>
    <row r="47" spans="1:18">
      <c r="A47" s="389" t="s">
        <v>217</v>
      </c>
      <c r="B47" s="389"/>
      <c r="C47" s="231" t="s">
        <v>735</v>
      </c>
      <c r="D47" s="375" t="s">
        <v>733</v>
      </c>
      <c r="E47" s="375"/>
      <c r="F47" s="226" t="s">
        <v>215</v>
      </c>
      <c r="G47" s="390" t="str">
        <f>VLOOKUP($D$47,Staff!$B$2:$D$39,3,FALSE)</f>
        <v>9729 0080</v>
      </c>
      <c r="H47" s="390"/>
      <c r="I47" s="391" t="s">
        <v>224</v>
      </c>
      <c r="J47" s="391"/>
      <c r="K47" s="375" t="s">
        <v>425</v>
      </c>
      <c r="L47" s="375"/>
      <c r="M47" s="375"/>
    </row>
    <row r="48" spans="1:18">
      <c r="A48" s="229"/>
      <c r="B48" s="229"/>
      <c r="C48" s="230"/>
      <c r="D48" s="395"/>
      <c r="E48" s="395"/>
      <c r="F48" s="225"/>
      <c r="G48" s="396"/>
      <c r="H48" s="396"/>
      <c r="I48" s="390"/>
      <c r="J48" s="390"/>
      <c r="K48" s="143"/>
      <c r="L48" s="143"/>
      <c r="M48" s="143"/>
    </row>
    <row r="49" spans="1:14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">
        <v>431</v>
      </c>
      <c r="H49" s="398"/>
      <c r="I49" s="398"/>
      <c r="J49" s="224" t="s">
        <v>209</v>
      </c>
      <c r="K49" s="390" t="s">
        <v>430</v>
      </c>
      <c r="L49" s="390"/>
      <c r="M49" s="390"/>
      <c r="N49" s="12"/>
    </row>
    <row r="50" spans="1:14">
      <c r="A50" s="155"/>
      <c r="B50" s="155"/>
      <c r="C50" s="396" t="s">
        <v>219</v>
      </c>
      <c r="D50" s="396"/>
      <c r="E50" s="396"/>
      <c r="F50" s="154" t="s">
        <v>214</v>
      </c>
      <c r="G50" s="375" t="s">
        <v>433</v>
      </c>
      <c r="H50" s="375"/>
      <c r="I50" s="375"/>
      <c r="J50" s="224" t="s">
        <v>208</v>
      </c>
      <c r="K50" s="390" t="s">
        <v>432</v>
      </c>
      <c r="L50" s="390"/>
      <c r="M50" s="390"/>
    </row>
    <row r="51" spans="1:14">
      <c r="A51" s="227"/>
      <c r="B51" s="227"/>
      <c r="C51" s="230"/>
      <c r="D51" s="401"/>
      <c r="E51" s="401"/>
      <c r="F51" s="401"/>
      <c r="G51" s="401"/>
      <c r="H51" s="401"/>
      <c r="I51" s="401"/>
      <c r="J51" s="224" t="s">
        <v>210</v>
      </c>
      <c r="K51" s="390" t="s">
        <v>427</v>
      </c>
      <c r="L51" s="390"/>
      <c r="M51" s="390"/>
    </row>
    <row r="52" spans="1:14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224" t="s">
        <v>211</v>
      </c>
      <c r="K52" s="390" t="s">
        <v>433</v>
      </c>
      <c r="L52" s="390"/>
      <c r="M52" s="390"/>
    </row>
    <row r="53" spans="1:14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224" t="s">
        <v>212</v>
      </c>
      <c r="K53" s="390" t="s">
        <v>428</v>
      </c>
      <c r="L53" s="390"/>
      <c r="M53" s="390"/>
    </row>
    <row r="54" spans="1:14">
      <c r="A54" s="155"/>
      <c r="B54" s="155"/>
      <c r="C54" s="227"/>
      <c r="D54" s="399"/>
      <c r="E54" s="399"/>
      <c r="F54" s="391"/>
      <c r="G54" s="391"/>
      <c r="H54" s="400" t="s">
        <v>410</v>
      </c>
      <c r="I54" s="400"/>
      <c r="J54" s="222"/>
      <c r="K54" s="229"/>
      <c r="L54" s="229"/>
      <c r="M54" s="47"/>
    </row>
    <row r="55" spans="1:14" ht="16.5" customHeight="1">
      <c r="A55" s="392" t="s">
        <v>0</v>
      </c>
      <c r="B55" s="392"/>
      <c r="C55" s="407" t="s">
        <v>222</v>
      </c>
      <c r="D55" s="407"/>
      <c r="E55" s="407"/>
      <c r="F55" s="222"/>
      <c r="G55" s="224"/>
      <c r="H55" s="394" t="s">
        <v>411</v>
      </c>
      <c r="I55" s="394"/>
      <c r="J55" s="223"/>
      <c r="K55" s="229"/>
      <c r="L55" s="229"/>
      <c r="M55" s="47"/>
    </row>
    <row r="56" spans="1:14">
      <c r="C56" s="408"/>
      <c r="D56" s="408"/>
      <c r="E56" s="408"/>
      <c r="F56" s="408"/>
      <c r="G56" s="408"/>
      <c r="H56" s="408"/>
      <c r="J56" s="53"/>
      <c r="K56" s="112"/>
      <c r="L56" s="112"/>
    </row>
    <row r="57" spans="1:14" ht="16.5" thickBot="1">
      <c r="A57" s="3"/>
      <c r="B57" s="3"/>
      <c r="C57" s="3"/>
      <c r="D57" s="2"/>
      <c r="E57" s="39"/>
      <c r="F57" s="221"/>
      <c r="G57" s="221"/>
      <c r="I57" s="409"/>
      <c r="J57" s="409"/>
      <c r="K57" s="112"/>
      <c r="L57" s="112"/>
    </row>
    <row r="58" spans="1:14">
      <c r="D58" s="220"/>
      <c r="E58" s="90" t="s">
        <v>133</v>
      </c>
      <c r="F58" s="91" t="s">
        <v>135</v>
      </c>
      <c r="G58" s="91"/>
      <c r="H58" s="92"/>
      <c r="I58" s="220"/>
      <c r="J58" s="220"/>
    </row>
    <row r="59" spans="1:14" ht="16.5" thickBot="1">
      <c r="D59" s="220"/>
      <c r="E59" s="93" t="s">
        <v>134</v>
      </c>
      <c r="F59" s="94" t="s">
        <v>136</v>
      </c>
      <c r="G59" s="94"/>
      <c r="H59" s="95"/>
      <c r="I59" s="220"/>
      <c r="J59" s="220"/>
    </row>
    <row r="60" spans="1:14">
      <c r="D60" s="220"/>
      <c r="E60" s="220"/>
      <c r="F60" s="220"/>
      <c r="G60" s="220"/>
      <c r="H60" s="220"/>
      <c r="I60" s="220"/>
      <c r="J60" s="220"/>
    </row>
    <row r="61" spans="1:14" ht="16.5" thickBot="1">
      <c r="D61" s="85" t="s">
        <v>132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98</v>
      </c>
      <c r="J61" s="220"/>
      <c r="K61" s="96" t="s">
        <v>302</v>
      </c>
      <c r="L61" s="96" t="s">
        <v>303</v>
      </c>
      <c r="M61" s="96"/>
    </row>
    <row r="62" spans="1:14">
      <c r="D62" s="97" t="s">
        <v>86</v>
      </c>
      <c r="E62" s="98" t="str">
        <f>_xlfn.IFNA(VLOOKUP(MOD((($D$1-WEEKDAY($D$1,2)+1)-45523)/7+21,24),Shift!$A$2:$H$25,WEEKDAY($D$1,2)+1),VLOOKUP(24,Shift!$A$2:$H$25,WEEKDAY($D$1,2)+1))</f>
        <v>P1 @</v>
      </c>
      <c r="F62" s="98">
        <v>1</v>
      </c>
      <c r="G62" s="98">
        <v>0</v>
      </c>
      <c r="H62" s="98">
        <v>5</v>
      </c>
      <c r="I62" s="99">
        <f t="shared" ref="I62:I73" si="5">IF(OR($E62="L",$E62="L#"),0,SUM($F62:$H62))</f>
        <v>6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M62" s="112"/>
    </row>
    <row r="63" spans="1:14">
      <c r="D63" s="100" t="s">
        <v>85</v>
      </c>
      <c r="E63" s="101" t="str">
        <f>_xlfn.IFNA(VLOOKUP(MOD((($D$1-WEEKDAY($D$1,2)+1)-45523)/7+3,24),Shift!$A$2:$H$25,WEEKDAY($D$1,2)+1),VLOOKUP(24,Shift!$A$2:$H$25,WEEKDAY($D$1,2)+1))</f>
        <v>P1</v>
      </c>
      <c r="F63" s="101">
        <v>1</v>
      </c>
      <c r="G63" s="101">
        <v>0</v>
      </c>
      <c r="H63" s="101">
        <v>5</v>
      </c>
      <c r="I63" s="102">
        <f t="shared" si="5"/>
        <v>6</v>
      </c>
      <c r="J63" s="137" t="s">
        <v>85</v>
      </c>
      <c r="K63" s="112" t="str">
        <f t="shared" ref="K63:K73" si="6">IF(AND($F63&gt;1,$F63&lt;&gt;"?"),$F63-1,"")</f>
        <v/>
      </c>
      <c r="L63" s="112" t="str">
        <f t="shared" ref="L63:L73" si="7">IF(AND($G63&gt;1,$G63&lt;&gt;"?"),$G63-1,"")</f>
        <v/>
      </c>
      <c r="M63" s="112"/>
    </row>
    <row r="64" spans="1:14">
      <c r="D64" s="100" t="s">
        <v>99</v>
      </c>
      <c r="E64" s="101" t="str">
        <f>_xlfn.IFNA(VLOOKUP(MOD((($D$1-WEEKDAY($D$1,2)+1)-45523)/7+9,24),Shift!$A$2:$H$25,WEEKDAY($D$1,2)+1),VLOOKUP(24,Shift!$A$2:$H$25,WEEKDAY($D$1,2)+1))</f>
        <v>L</v>
      </c>
      <c r="F64" s="101">
        <f t="shared" ref="F64:H69" si="8">IF(OR($E64="L",$E64="L#"),0,"?")</f>
        <v>0</v>
      </c>
      <c r="G64" s="101">
        <f t="shared" si="8"/>
        <v>0</v>
      </c>
      <c r="H64" s="101">
        <f t="shared" si="8"/>
        <v>0</v>
      </c>
      <c r="I64" s="102">
        <f t="shared" si="5"/>
        <v>0</v>
      </c>
      <c r="J64" s="137" t="s">
        <v>99</v>
      </c>
      <c r="K64" s="112" t="str">
        <f t="shared" si="6"/>
        <v/>
      </c>
      <c r="L64" s="112" t="str">
        <f t="shared" si="7"/>
        <v/>
      </c>
      <c r="M64" s="112"/>
    </row>
    <row r="65" spans="4:13" ht="16.5" thickBot="1">
      <c r="D65" s="103" t="s">
        <v>100</v>
      </c>
      <c r="E65" s="104" t="str">
        <f>_xlfn.IFNA(VLOOKUP(MOD((($D$1-WEEKDAY($D$1,2)+1)-45523)/7+15,24),Shift!$A$2:$H$25,WEEKDAY($D$1,2)+1),VLOOKUP(24,Shift!$A$2:$H$25,WEEKDAY($D$1,2)+1))</f>
        <v>P4</v>
      </c>
      <c r="F65" s="104">
        <v>1</v>
      </c>
      <c r="G65" s="104">
        <v>1</v>
      </c>
      <c r="H65" s="104">
        <v>5</v>
      </c>
      <c r="I65" s="105">
        <f t="shared" si="5"/>
        <v>7</v>
      </c>
      <c r="J65" s="138" t="s">
        <v>100</v>
      </c>
      <c r="K65" s="112" t="str">
        <f t="shared" si="6"/>
        <v/>
      </c>
      <c r="L65" s="112" t="str">
        <f t="shared" si="7"/>
        <v/>
      </c>
      <c r="M65" s="112"/>
    </row>
    <row r="66" spans="4:13">
      <c r="D66" s="97" t="s">
        <v>101</v>
      </c>
      <c r="E66" s="98" t="str">
        <f>_xlfn.IFNA(VLOOKUP(MOD((($D$1-WEEKDAY($D$1,2)+1)-45523)/7+19,24),Shift!$A$2:$H$25,WEEKDAY($D$1,2)+1),VLOOKUP(24,Shift!$A$2:$H$25,WEEKDAY($D$1,2)+1))</f>
        <v>L</v>
      </c>
      <c r="F66" s="98">
        <f t="shared" si="8"/>
        <v>0</v>
      </c>
      <c r="G66" s="98">
        <f t="shared" si="8"/>
        <v>0</v>
      </c>
      <c r="H66" s="98">
        <f t="shared" si="8"/>
        <v>0</v>
      </c>
      <c r="I66" s="99">
        <f t="shared" si="5"/>
        <v>0</v>
      </c>
      <c r="J66" s="136" t="s">
        <v>101</v>
      </c>
      <c r="K66" s="112" t="str">
        <f t="shared" si="6"/>
        <v/>
      </c>
      <c r="L66" s="112" t="str">
        <f t="shared" si="7"/>
        <v/>
      </c>
      <c r="M66" s="112"/>
    </row>
    <row r="67" spans="4:13">
      <c r="D67" s="100" t="s">
        <v>102</v>
      </c>
      <c r="E67" s="101" t="str">
        <f>_xlfn.IFNA(VLOOKUP(MOD((($D$1-WEEKDAY($D$1,2)+1)-45523)/7+1,24),Shift!$A$2:$H$25,WEEKDAY($D$1,2)+1),VLOOKUP(24,Shift!$A$2:$H$25,WEEKDAY($D$1,2)+1))</f>
        <v>A</v>
      </c>
      <c r="F67" s="101">
        <v>1</v>
      </c>
      <c r="G67" s="101">
        <v>0</v>
      </c>
      <c r="H67" s="101">
        <v>4</v>
      </c>
      <c r="I67" s="102">
        <f t="shared" si="5"/>
        <v>5</v>
      </c>
      <c r="J67" s="137" t="s">
        <v>102</v>
      </c>
      <c r="K67" s="112" t="str">
        <f t="shared" si="6"/>
        <v/>
      </c>
      <c r="L67" s="112" t="str">
        <f t="shared" si="7"/>
        <v/>
      </c>
      <c r="M67" s="112"/>
    </row>
    <row r="68" spans="4:13">
      <c r="D68" s="100" t="s">
        <v>103</v>
      </c>
      <c r="E68" s="101" t="str">
        <f>_xlfn.IFNA(VLOOKUP(MOD((($D$1-WEEKDAY($D$1,2)+1)-45523)/7+7,24),Shift!$A$2:$H$25,WEEKDAY($D$1,2)+1),VLOOKUP(24,Shift!$A$2:$H$25,WEEKDAY($D$1,2)+1))</f>
        <v>L</v>
      </c>
      <c r="F68" s="101">
        <f t="shared" si="8"/>
        <v>0</v>
      </c>
      <c r="G68" s="101">
        <f t="shared" si="8"/>
        <v>0</v>
      </c>
      <c r="H68" s="101">
        <f t="shared" si="8"/>
        <v>0</v>
      </c>
      <c r="I68" s="102">
        <f t="shared" si="5"/>
        <v>0</v>
      </c>
      <c r="J68" s="137" t="s">
        <v>103</v>
      </c>
      <c r="K68" s="112" t="str">
        <f t="shared" si="6"/>
        <v/>
      </c>
      <c r="L68" s="112" t="str">
        <f t="shared" si="7"/>
        <v/>
      </c>
      <c r="M68" s="112"/>
    </row>
    <row r="69" spans="4:13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L</v>
      </c>
      <c r="F69" s="104">
        <f t="shared" si="8"/>
        <v>0</v>
      </c>
      <c r="G69" s="104">
        <f t="shared" si="8"/>
        <v>0</v>
      </c>
      <c r="H69" s="104">
        <f t="shared" si="8"/>
        <v>0</v>
      </c>
      <c r="I69" s="105">
        <f t="shared" si="5"/>
        <v>0</v>
      </c>
      <c r="J69" s="138" t="s">
        <v>104</v>
      </c>
      <c r="K69" s="112" t="str">
        <f t="shared" si="6"/>
        <v/>
      </c>
      <c r="L69" s="112" t="str">
        <f t="shared" si="7"/>
        <v/>
      </c>
      <c r="M69" s="112"/>
    </row>
    <row r="70" spans="4:13">
      <c r="D70" s="97" t="s">
        <v>105</v>
      </c>
      <c r="E70" s="98" t="str">
        <f>_xlfn.IFNA(VLOOKUP(MOD((($D$1-WEEKDAY($D$1,2)+1)-45523)/7+17,24),Shift!$A$2:$H$25,WEEKDAY($D$1,2)+1),VLOOKUP(24,Shift!$A$2:$H$25,WEEKDAY($D$1,2)+1))</f>
        <v>M</v>
      </c>
      <c r="F70" s="98">
        <v>1</v>
      </c>
      <c r="G70" s="98">
        <v>0</v>
      </c>
      <c r="H70" s="98">
        <v>5</v>
      </c>
      <c r="I70" s="99">
        <f t="shared" si="5"/>
        <v>6</v>
      </c>
      <c r="J70" s="136" t="s">
        <v>105</v>
      </c>
      <c r="K70" s="112" t="str">
        <f t="shared" si="6"/>
        <v/>
      </c>
      <c r="L70" s="112" t="str">
        <f t="shared" si="7"/>
        <v/>
      </c>
      <c r="M70" s="112"/>
    </row>
    <row r="71" spans="4:13">
      <c r="D71" s="100" t="s">
        <v>106</v>
      </c>
      <c r="E71" s="101" t="str">
        <f>_xlfn.IFNA(VLOOKUP(MOD((($D$1-WEEKDAY($D$1,2)+1)-45523)/7+23,24),Shift!$A$2:$H$25,WEEKDAY($D$1,2)+1),VLOOKUP(24,Shift!$A$2:$H$25,WEEKDAY($D$1,2)+1))</f>
        <v>G1</v>
      </c>
      <c r="F71" s="101">
        <v>1</v>
      </c>
      <c r="G71" s="101">
        <v>1</v>
      </c>
      <c r="H71" s="101">
        <v>5</v>
      </c>
      <c r="I71" s="102">
        <f t="shared" si="5"/>
        <v>7</v>
      </c>
      <c r="J71" s="137" t="s">
        <v>106</v>
      </c>
      <c r="K71" s="112" t="str">
        <f t="shared" si="6"/>
        <v/>
      </c>
      <c r="L71" s="112" t="str">
        <f t="shared" si="7"/>
        <v/>
      </c>
      <c r="M71" s="112"/>
    </row>
    <row r="72" spans="4:13">
      <c r="D72" s="100" t="s">
        <v>107</v>
      </c>
      <c r="E72" s="101" t="str">
        <f>_xlfn.IFNA(VLOOKUP(MOD((($D$1-WEEKDAY($D$1,2)+1)-45523)/7+5,24),Shift!$A$2:$H$25,WEEKDAY($D$1,2)+1),VLOOKUP(24,Shift!$A$2:$H$25,WEEKDAY($D$1,2)+1))</f>
        <v>M1</v>
      </c>
      <c r="F72" s="101">
        <v>1</v>
      </c>
      <c r="G72" s="101">
        <v>1</v>
      </c>
      <c r="H72" s="101">
        <v>5</v>
      </c>
      <c r="I72" s="102">
        <f t="shared" si="5"/>
        <v>7</v>
      </c>
      <c r="J72" s="137" t="s">
        <v>107</v>
      </c>
      <c r="K72" s="112" t="str">
        <f t="shared" si="6"/>
        <v/>
      </c>
      <c r="L72" s="112" t="str">
        <f t="shared" si="7"/>
        <v/>
      </c>
      <c r="M72" s="112"/>
    </row>
    <row r="73" spans="4:13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M @</v>
      </c>
      <c r="F73" s="104">
        <v>1</v>
      </c>
      <c r="G73" s="104">
        <v>1</v>
      </c>
      <c r="H73" s="104">
        <v>4</v>
      </c>
      <c r="I73" s="105">
        <f t="shared" si="5"/>
        <v>6</v>
      </c>
      <c r="J73" s="138" t="s">
        <v>108</v>
      </c>
      <c r="K73" s="112" t="str">
        <f t="shared" si="6"/>
        <v/>
      </c>
      <c r="L73" s="112" t="str">
        <f t="shared" si="7"/>
        <v/>
      </c>
      <c r="M73" s="112"/>
    </row>
    <row r="74" spans="4:13">
      <c r="D74" s="144" t="s">
        <v>86</v>
      </c>
      <c r="E74" s="98" t="s">
        <v>127</v>
      </c>
      <c r="F74" s="98"/>
      <c r="G74" s="98"/>
      <c r="H74" s="98"/>
      <c r="I74" s="99">
        <f>IF(OR($E74="L",$E74="L#",$E74="?"),0,SUM($F74:$H74))</f>
        <v>0</v>
      </c>
      <c r="J74" s="22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220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220"/>
    </row>
    <row r="77" spans="4:13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220"/>
    </row>
    <row r="78" spans="4:13">
      <c r="D78" s="220"/>
      <c r="E78" s="96" t="s">
        <v>98</v>
      </c>
      <c r="F78" s="96" t="str">
        <f>SUM($F$62:$F$77)&amp;IF(SUM($F$62:$H$77)&gt;$I$78,"?","")</f>
        <v>8</v>
      </c>
      <c r="G78" s="96" t="str">
        <f>SUM($G$62:$G$77)&amp;IF(SUM($F$62:$H$77)&gt;$I$78,"?","")</f>
        <v>4</v>
      </c>
      <c r="H78" s="96" t="str">
        <f>SUM($H$62:$H$77)&amp;IF(SUM($F$62:$H$77)&gt;$I$78,"?","")</f>
        <v>38</v>
      </c>
      <c r="I78" s="96">
        <f>SUM(I62:I77)</f>
        <v>50</v>
      </c>
      <c r="J78" s="220"/>
    </row>
    <row r="79" spans="4:13">
      <c r="D79" s="220"/>
      <c r="E79" s="220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220"/>
      <c r="J79" s="220"/>
    </row>
    <row r="81" spans="4:6">
      <c r="D81" s="410" t="s">
        <v>281</v>
      </c>
      <c r="E81" s="410"/>
      <c r="F81" s="410"/>
    </row>
    <row r="82" spans="4:6">
      <c r="D82" s="49" t="str">
        <f>IF(Flight!$A$68=0,"",Flight!$A$68)</f>
        <v/>
      </c>
      <c r="E82" s="163"/>
      <c r="F82" s="164" t="str">
        <f>IF(D82="","",VLOOKUP(D82,Flight!$A$68:$C$91,3,FALSE))</f>
        <v/>
      </c>
    </row>
    <row r="83" spans="4:6">
      <c r="D83" s="49" t="str">
        <f>IF(Flight!$A69=0,"",Flight!$A69)</f>
        <v/>
      </c>
      <c r="F83" s="164" t="str">
        <f>IF(D83="","",VLOOKUP(D83,Flight!$A$68:$C$91,3,FALSE))</f>
        <v/>
      </c>
    </row>
    <row r="84" spans="4:6">
      <c r="D84" s="49" t="str">
        <f>IF(Flight!$A71=0,"",Flight!$A71)</f>
        <v>3A031</v>
      </c>
      <c r="F84" s="164" t="str">
        <f>IF(D84="","",VLOOKUP(D84,Flight!$A$68:$C$91,3,FALSE))</f>
        <v>ZTI</v>
      </c>
    </row>
    <row r="85" spans="4:6">
      <c r="D85" s="49" t="str">
        <f>IF(Flight!$A72=0,"",Flight!$A72)</f>
        <v>3A003</v>
      </c>
      <c r="F85" s="164" t="str">
        <f>IF(D85="","",VLOOKUP(D85,Flight!$A$68:$C$91,3,FALSE))</f>
        <v>ZYK</v>
      </c>
    </row>
    <row r="86" spans="4:6">
      <c r="D86" s="49" t="str">
        <f>IF(Flight!$A73=0,"",Flight!$A73)</f>
        <v>3A005</v>
      </c>
      <c r="F86" s="164" t="str">
        <f>IF(D86="","",VLOOKUP(D86,Flight!$A$68:$C$91,3,FALSE))</f>
        <v>HKM</v>
      </c>
    </row>
    <row r="87" spans="4:6">
      <c r="D87" s="49" t="str">
        <f>IF(Flight!$A74=0,"",Flight!$A74)</f>
        <v>3A007</v>
      </c>
      <c r="F87" s="164" t="str">
        <f>IF(D87="","",VLOOKUP(D87,Flight!$A$68:$C$91,3,FALSE))</f>
        <v>ZYK</v>
      </c>
    </row>
    <row r="88" spans="4:6">
      <c r="D88" s="49" t="str">
        <f>IF(Flight!$A75=0,"",Flight!$A75)</f>
        <v>3A008</v>
      </c>
      <c r="F88" s="164" t="str">
        <f>IF(D88="","",VLOOKUP(D88,Flight!$A$68:$C$91,3,FALSE))</f>
        <v>ZYK</v>
      </c>
    </row>
    <row r="89" spans="4:6">
      <c r="D89" s="49" t="str">
        <f>IF(Flight!$A76=0,"",Flight!$A76)</f>
        <v>3A009</v>
      </c>
      <c r="F89" s="164" t="str">
        <f>IF(D89="","",VLOOKUP(D89,Flight!$A$68:$C$91,3,FALSE))</f>
        <v>ZYK</v>
      </c>
    </row>
    <row r="90" spans="4:6">
      <c r="D90" s="49" t="str">
        <f>IF(Flight!$A77=0,"",Flight!$A77)</f>
        <v>3A010</v>
      </c>
      <c r="F90" s="164" t="str">
        <f>IF(D90="","",VLOOKUP(D90,Flight!$A$68:$C$91,3,FALSE))</f>
        <v>ZYK</v>
      </c>
    </row>
    <row r="91" spans="4:6">
      <c r="D91" s="49" t="str">
        <f>IF(Flight!$A78=0,"",Flight!$A78)</f>
        <v/>
      </c>
      <c r="F91" s="164" t="str">
        <f>IF(D91="","",VLOOKUP(D91,Flight!$A$68:$C$91,3,FALSE))</f>
        <v/>
      </c>
    </row>
    <row r="92" spans="4:6">
      <c r="D92" s="49" t="str">
        <f>IF(Flight!$A80=0,"",Flight!$A80)</f>
        <v>8S7121</v>
      </c>
      <c r="F92" s="164" t="str">
        <f>IF(D92="","",VLOOKUP(D92,Flight!$A$68:$C$91,3,FALSE))</f>
        <v>HKM</v>
      </c>
    </row>
    <row r="93" spans="4:6">
      <c r="D93" s="49" t="str">
        <f>IF(Flight!$A81=0,"",Flight!$A81)</f>
        <v>8S7108</v>
      </c>
      <c r="F93" s="164" t="str">
        <f>IF(D93="","",VLOOKUP(D93,Flight!$A$68:$C$91,3,FALSE))</f>
        <v>ZYK</v>
      </c>
    </row>
    <row r="94" spans="4:6">
      <c r="D94" s="49" t="str">
        <f>IF(Flight!$A82=0,"",Flight!$A82)</f>
        <v>8S7111</v>
      </c>
      <c r="F94" s="164" t="str">
        <f>IF(D94="","",VLOOKUP(D94,Flight!$A$68:$C$91,3,FALSE))</f>
        <v>ZYK</v>
      </c>
    </row>
    <row r="95" spans="4:6">
      <c r="D95" s="49" t="str">
        <f>IF(Flight!$A83=0,"",Flight!$A83)</f>
        <v>8S7131</v>
      </c>
      <c r="F95" s="164" t="str">
        <f>IF(D95="","",VLOOKUP(D95,Flight!$A$68:$C$91,3,FALSE))</f>
        <v>?</v>
      </c>
    </row>
    <row r="96" spans="4:6">
      <c r="D96" s="49" t="str">
        <f>IF(Flight!$A84=0,"",Flight!$A84)</f>
        <v>8S7119</v>
      </c>
      <c r="F96" s="164" t="str">
        <f>IF(D96="","",VLOOKUP(D96,Flight!$A$68:$C$91,3,FALSE))</f>
        <v>HKM</v>
      </c>
    </row>
    <row r="97" spans="4:6">
      <c r="D97" s="49" t="str">
        <f>IF(Flight!$A85=0,"",Flight!$A85)</f>
        <v>8S7126</v>
      </c>
      <c r="F97" s="164" t="str">
        <f>IF(D97="","",VLOOKUP(D97,Flight!$A$68:$C$91,3,FALSE))</f>
        <v>HKM</v>
      </c>
    </row>
    <row r="98" spans="4:6">
      <c r="D98" s="49" t="str">
        <f>IF(Flight!$A86=0,"",Flight!$A86)</f>
        <v>8S7128</v>
      </c>
      <c r="F98" s="164" t="str">
        <f>IF(D98="","",VLOOKUP(D98,Flight!$A$68:$C$91,3,FALSE))</f>
        <v>HKM</v>
      </c>
    </row>
    <row r="99" spans="4:6">
      <c r="D99" s="49" t="str">
        <f>IF(Flight!$A87=0,"",Flight!$A87)</f>
        <v>3A8010</v>
      </c>
      <c r="F99" s="164" t="str">
        <f>IF(D99="","",VLOOKUP(D99,Flight!$A$68:$C$91,3,FALSE))</f>
        <v>HZI</v>
      </c>
    </row>
    <row r="100" spans="4:6">
      <c r="D100" s="49" t="str">
        <f>IF(Flight!$A88=0,"",Flight!$A88)</f>
        <v>3A8015</v>
      </c>
      <c r="F100" s="164" t="str">
        <f>IF(D100="","",VLOOKUP(D100,Flight!$A$68:$C$91,3,FALSE))</f>
        <v>?</v>
      </c>
    </row>
    <row r="101" spans="4:6">
      <c r="D101" s="49" t="str">
        <f>IF(Flight!$A89=0,"",Flight!$A89)</f>
        <v>3A8016</v>
      </c>
      <c r="F101" s="164" t="str">
        <f>IF(D101="","",VLOOKUP(D101,Flight!$A$68:$C$91,3,FALSE))</f>
        <v>HZI</v>
      </c>
    </row>
    <row r="102" spans="4:6">
      <c r="D102" s="49" t="str">
        <f>IF(Flight!$A91=0,"",Flight!$A91)</f>
        <v xml:space="preserve">Last </v>
      </c>
      <c r="F102" s="164" t="str">
        <f>IF(D102="","",VLOOKUP(D102,Flight!$A$68:$C$91,3,FALSE))</f>
        <v>↑</v>
      </c>
    </row>
    <row r="103" spans="4:6">
      <c r="D103" s="49" t="str">
        <f>IF(Flight!$A92=0,"",Flight!$A92)</f>
        <v/>
      </c>
      <c r="F103" s="164" t="str">
        <f>IF(D103="","",VLOOKUP(D103,Flight!$A$68:$C$91,3,FALSE))</f>
        <v/>
      </c>
    </row>
    <row r="104" spans="4:6">
      <c r="D104" s="186"/>
      <c r="F104" s="187"/>
    </row>
    <row r="105" spans="4:6">
      <c r="D105" s="406" t="str">
        <f>IF(Flight!$A$93=0,"",Flight!$A$93)</f>
        <v>Target Flight</v>
      </c>
      <c r="E105" s="406"/>
      <c r="F105" s="406"/>
    </row>
    <row r="106" spans="4:6">
      <c r="D106" s="27" t="s">
        <v>59</v>
      </c>
      <c r="E106" s="158"/>
      <c r="F106" s="10" t="s">
        <v>38</v>
      </c>
    </row>
    <row r="107" spans="4:6">
      <c r="D107" s="27" t="s">
        <v>89</v>
      </c>
      <c r="E107" s="158"/>
      <c r="F107" s="10" t="s">
        <v>38</v>
      </c>
    </row>
    <row r="108" spans="4:6">
      <c r="D108" s="27" t="s">
        <v>254</v>
      </c>
      <c r="E108" s="158"/>
      <c r="F108" s="10" t="s">
        <v>38</v>
      </c>
    </row>
    <row r="109" spans="4:6">
      <c r="D109" s="27" t="s">
        <v>57</v>
      </c>
      <c r="E109" s="158"/>
      <c r="F109" s="10" t="s">
        <v>58</v>
      </c>
    </row>
    <row r="110" spans="4:6">
      <c r="D110" s="27" t="s">
        <v>198</v>
      </c>
      <c r="E110" s="158"/>
      <c r="F110" s="10" t="s">
        <v>199</v>
      </c>
    </row>
    <row r="111" spans="4:6">
      <c r="D111" s="27" t="s">
        <v>55</v>
      </c>
      <c r="E111" s="158"/>
      <c r="F111" s="10" t="s">
        <v>54</v>
      </c>
    </row>
    <row r="112" spans="4:6">
      <c r="D112" s="27" t="s">
        <v>39</v>
      </c>
      <c r="E112" s="158"/>
      <c r="F112" s="10" t="s">
        <v>38</v>
      </c>
    </row>
    <row r="113" spans="4:6">
      <c r="D113" s="27" t="s">
        <v>200</v>
      </c>
      <c r="E113" s="158"/>
      <c r="F113" s="10" t="s">
        <v>54</v>
      </c>
    </row>
    <row r="114" spans="4:6">
      <c r="D114" s="27" t="s">
        <v>201</v>
      </c>
      <c r="E114" s="158"/>
      <c r="F114" s="10" t="s">
        <v>38</v>
      </c>
    </row>
    <row r="115" spans="4:6">
      <c r="D115" s="161" t="s">
        <v>538</v>
      </c>
      <c r="E115" s="158"/>
      <c r="F115" s="159" t="s">
        <v>566</v>
      </c>
    </row>
    <row r="116" spans="4:6">
      <c r="D116" s="161"/>
      <c r="E116" s="158"/>
      <c r="F116" s="159"/>
    </row>
  </sheetData>
  <mergeCells count="76">
    <mergeCell ref="D105:F105"/>
    <mergeCell ref="A55:B55"/>
    <mergeCell ref="C55:E55"/>
    <mergeCell ref="H55:I55"/>
    <mergeCell ref="C56:H56"/>
    <mergeCell ref="I57:J57"/>
    <mergeCell ref="D81:F81"/>
    <mergeCell ref="A53:B53"/>
    <mergeCell ref="C53:E53"/>
    <mergeCell ref="F53:G53"/>
    <mergeCell ref="H53:I53"/>
    <mergeCell ref="K53:M53"/>
    <mergeCell ref="D54:E54"/>
    <mergeCell ref="F54:G54"/>
    <mergeCell ref="H54:I54"/>
    <mergeCell ref="D51:I51"/>
    <mergeCell ref="K51:M51"/>
    <mergeCell ref="K47:M47"/>
    <mergeCell ref="A52:B52"/>
    <mergeCell ref="C52:E52"/>
    <mergeCell ref="F52:I52"/>
    <mergeCell ref="K52:M52"/>
    <mergeCell ref="A49:B49"/>
    <mergeCell ref="C49:E49"/>
    <mergeCell ref="G49:I49"/>
    <mergeCell ref="K49:M49"/>
    <mergeCell ref="C50:E50"/>
    <mergeCell ref="G50:I50"/>
    <mergeCell ref="K50:M50"/>
    <mergeCell ref="D48:E48"/>
    <mergeCell ref="G48:H48"/>
    <mergeCell ref="I48:J48"/>
    <mergeCell ref="A47:B47"/>
    <mergeCell ref="A45:H45"/>
    <mergeCell ref="A46:B46"/>
    <mergeCell ref="D46:E46"/>
    <mergeCell ref="G46:H46"/>
    <mergeCell ref="I46:J46"/>
    <mergeCell ref="D47:E47"/>
    <mergeCell ref="G47:H47"/>
    <mergeCell ref="I47:J47"/>
    <mergeCell ref="K46:M46"/>
    <mergeCell ref="H6:H7"/>
    <mergeCell ref="I6:I7"/>
    <mergeCell ref="J6:J7"/>
    <mergeCell ref="K6:M6"/>
    <mergeCell ref="A43:F43"/>
    <mergeCell ref="I43:M44"/>
    <mergeCell ref="A44:H44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42 E8:E42">
    <cfRule type="cellIs" dxfId="87" priority="7" operator="equal">
      <formula>""</formula>
    </cfRule>
  </conditionalFormatting>
  <conditionalFormatting sqref="F62:H79">
    <cfRule type="cellIs" dxfId="86" priority="6" operator="equal">
      <formula>"?"</formula>
    </cfRule>
  </conditionalFormatting>
  <conditionalFormatting sqref="D8:D45 D47:D999">
    <cfRule type="duplicateValues" dxfId="85" priority="5"/>
  </conditionalFormatting>
  <conditionalFormatting sqref="D46">
    <cfRule type="duplicateValues" dxfId="84" priority="1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errorStyle="warning" allowBlank="1" showInputMessage="1">
          <x14:formula1>
            <xm:f>Staff!$B$15:$B$39</xm:f>
          </x14:formula1>
          <xm:sqref>D47:E47</xm:sqref>
        </x14:dataValidation>
        <x14:dataValidation type="list" allowBlank="1" showInputMessage="1">
          <x14:formula1>
            <xm:f>Staff!$G$23:$G$52</xm:f>
          </x14:formula1>
          <xm:sqref>K50:M53</xm:sqref>
        </x14:dataValidation>
        <x14:dataValidation type="list" allowBlank="1" showInputMessage="1">
          <x14:formula1>
            <xm:f>Staff!$G$22:$G$52</xm:f>
          </x14:formula1>
          <xm:sqref>K49:M49</xm:sqref>
        </x14:dataValidation>
        <x14:dataValidation type="list" allowBlank="1" showInputMessage="1">
          <x14:formula1>
            <xm:f>Staff!$G$12:$G$52</xm:f>
          </x14:formula1>
          <xm:sqref>G49:I50</xm:sqref>
        </x14:dataValidation>
        <x14:dataValidation type="list" allowBlank="1" showInputMessage="1">
          <x14:formula1>
            <xm:f>Staff!$G$2:$G$74</xm:f>
          </x14:formula1>
          <xm:sqref>K46:M47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7"/>
  <sheetViews>
    <sheetView view="pageBreakPreview" topLeftCell="A4" zoomScale="70" zoomScaleNormal="100" zoomScaleSheetLayoutView="70" workbookViewId="0">
      <selection activeCell="G32" sqref="G32"/>
    </sheetView>
  </sheetViews>
  <sheetFormatPr defaultRowHeight="15.75"/>
  <cols>
    <col min="1" max="1" width="9.125" style="234" customWidth="1"/>
    <col min="2" max="2" width="10.25" style="234" customWidth="1"/>
    <col min="3" max="3" width="9.75" style="234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35" customWidth="1"/>
    <col min="9" max="9" width="9" style="54" customWidth="1"/>
    <col min="10" max="10" width="9.125" style="54" customWidth="1"/>
    <col min="11" max="13" width="9.125" style="234" customWidth="1"/>
    <col min="14" max="14" width="9" style="234"/>
    <col min="15" max="15" width="10.75" style="112" bestFit="1" customWidth="1"/>
    <col min="16" max="16" width="12.25" style="234" bestFit="1" customWidth="1"/>
    <col min="17" max="16384" width="9" style="234"/>
  </cols>
  <sheetData>
    <row r="1" spans="1:16">
      <c r="A1" s="244"/>
      <c r="B1" s="244"/>
      <c r="C1" s="108" t="s">
        <v>20</v>
      </c>
      <c r="D1" s="355">
        <v>45759</v>
      </c>
      <c r="E1" s="355"/>
      <c r="F1" s="238" t="s">
        <v>23</v>
      </c>
      <c r="G1" s="110">
        <f>D1</f>
        <v>45759</v>
      </c>
      <c r="H1" s="242" t="s">
        <v>24</v>
      </c>
      <c r="I1" s="239"/>
      <c r="J1" s="239"/>
      <c r="K1" s="244"/>
      <c r="L1" s="244"/>
      <c r="M1" s="47"/>
    </row>
    <row r="2" spans="1:16" ht="17.25" customHeight="1" thickBot="1">
      <c r="A2" s="244"/>
      <c r="B2" s="244"/>
      <c r="C2" s="244"/>
      <c r="D2" s="356"/>
      <c r="E2" s="356"/>
      <c r="F2" s="239"/>
      <c r="G2" s="357"/>
      <c r="H2" s="357"/>
      <c r="I2" s="357"/>
      <c r="J2" s="239"/>
      <c r="K2" s="244"/>
      <c r="L2" s="244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","")&amp;IF($E$78=B$3,$D$78&amp;"("&amp;$I$78&amp;")"&amp;" ","")&amp;IF(COUNTIF($E$63:$E$77,B$3)=0,"-","")</f>
        <v xml:space="preserve">S4(6) </v>
      </c>
      <c r="C4" s="367"/>
      <c r="D4" s="366" t="str">
        <f>IF($E$63=$E$59," &lt;"&amp;$D$63&amp;"("&amp;$I$63&amp;")&gt; "&amp;" ","")&amp;IF($E$63=D$3,$D$63&amp;"("&amp;$I$63&amp;")"&amp;" ","")&amp;IF($E$64=$E$59," &lt;"&amp;$D$64&amp;"("&amp;$I$64&amp;")&gt; "&amp;" ","")&amp;IF($E$64=D$3,$D$64&amp;"("&amp;$I$64&amp;")"&amp;" ","")&amp;IF($E$65=$E$59," &lt;"&amp;$D$65&amp;"("&amp;$I$65&amp;")&gt; "&amp;" ","")&amp;IF($E$65=D$3,$D$65&amp;"("&amp;$I$65&amp;")"&amp;" ","")&amp;IF($E$66=$E$59," &lt;"&amp;$D$66&amp;"("&amp;$I$66&amp;")&gt; "&amp;" ","")&amp;IF($E$66=D$3,$D$66&amp;"("&amp;$I$66&amp;")"&amp;" ","")&amp;IF($E$67=$E$59," &lt;"&amp;$D$67&amp;"("&amp;$I$67&amp;")&gt; "&amp;" ","")&amp;IF($E$67=D$3,$D$67&amp;"("&amp;$I$67&amp;")"&amp;" ","")&amp;IF($E$68=$E$59," &lt;"&amp;$D$68&amp;"("&amp;$I$68&amp;")&gt; "&amp;" ","")&amp;IF($E$68=D$3,$D$68&amp;"("&amp;$I$68&amp;")"&amp;" ","")&amp;IF($E$69=$E$59," &lt;"&amp;$D$69&amp;"("&amp;$I$69&amp;")&gt; "&amp;" ","")&amp;IF($E$69=D$3,$D$69&amp;"("&amp;$I$69&amp;")"&amp;" ","")&amp;IF($E$70=$E$59," &lt;"&amp;$D$70&amp;"("&amp;$I$70&amp;")&gt; "&amp;" ","")&amp;IF($E$70=D$3,$D$70&amp;"("&amp;$I$70&amp;")"&amp;" ","")&amp;IF($E$71=$E$59," &lt;"&amp;$D$71&amp;"("&amp;$I$71&amp;")&gt; "&amp;" ","")&amp;IF($E$71=D$3,$D$71&amp;"("&amp;$I$71&amp;")"&amp;" ","")&amp;IF($E$72=$E$59," &lt;"&amp;$D$72&amp;"("&amp;$I$72&amp;")&gt; "&amp;" ","")&amp;IF($E$72=D$3,$D$72&amp;"("&amp;$I$72&amp;")"&amp;" ","")&amp;IF($E$73=$E$59," &lt;"&amp;$D$73&amp;"("&amp;$I$73&amp;")&gt; "&amp;" ","")&amp;IF($E$73=D$3,$D$73&amp;"("&amp;$I$73&amp;")"&amp;" ","")&amp;IF($E$74=$E$59," &lt;"&amp;$D$74&amp;"("&amp;$I$74&amp;")&gt; "&amp;" ","")&amp;IF($E$74=D$3,$D$74&amp;"("&amp;$I$74&amp;")"&amp;" ","")&amp;IF($E$75=D$3,$D$75&amp;"("&amp;$I$75&amp;")"&amp;" ","")&amp;IF($E$76=D$3,$D$76&amp;"("&amp;$I$76&amp;")"&amp;" ","")&amp;IF($E$77=D$3,$D$77&amp;"("&amp;$I$77&amp;")"&amp;" ","")&amp;IF($E$78=D$3,$D$78&amp;"("&amp;$I$78&amp;")"&amp;" ","")&amp;IF(COUNTIF($E$63:$E$78,D$3)=0,"-","")</f>
        <v xml:space="preserve">S7(7)  &lt;S8(6)&gt;  </v>
      </c>
      <c r="E4" s="367"/>
      <c r="F4" s="366" t="str">
        <f>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","")&amp;IF($E$78=F$3,$D$78&amp;"("&amp;$I$78&amp;")"&amp;" ","")&amp;IF(COUNTIF($E$63:$E$77,F$3)=0,"-","")</f>
        <v>-</v>
      </c>
      <c r="G4" s="367"/>
      <c r="H4" s="366" t="str">
        <f>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","")&amp;IF($E$78=H$3,$D$78&amp;"("&amp;$I$78&amp;")"&amp;" ","")&amp;IF(COUNTIF($E$63:$E$77,H$3)=0,"-","")</f>
        <v xml:space="preserve">S5(7) </v>
      </c>
      <c r="I4" s="367"/>
      <c r="J4" s="366" t="str">
        <f>IF($E$63=$E$60," &lt;"&amp;$D$63&amp;"("&amp;$I$63&amp;")&gt; "&amp;" ","")&amp;IF($E$63=J$3,$D$63&amp;"("&amp;$I$63&amp;")"&amp;" ","")&amp;IF($E$64=$E$60," &lt;"&amp;$D$64&amp;"("&amp;$I$64&amp;")&gt; "&amp;" ","")&amp;IF($E$64=J$3,$D$64&amp;"("&amp;$I$64&amp;")"&amp;" ","")&amp;IF($E$65=$E$60," &lt;"&amp;$D$65&amp;"("&amp;$I$65&amp;")&gt; "&amp;" ","")&amp;IF($E$65=J$3,$D$65&amp;"("&amp;$I$65&amp;")"&amp;" ","")&amp;IF($E$66=$E$60," &lt;"&amp;$D$66&amp;"("&amp;$I$66&amp;")&gt; "&amp;" ","")&amp;IF($E$66=J$3,$D$66&amp;"("&amp;$I$66&amp;")"&amp;" ","")&amp;IF($E$67=$E$60," &lt;"&amp;$D$67&amp;"("&amp;$I$67&amp;")&gt; "&amp;" ","")&amp;IF($E$67=J$3,$D$67&amp;"("&amp;$I$67&amp;")"&amp;" ","")&amp;IF($E$68=$E$60," &lt;"&amp;$D$68&amp;"("&amp;$I$68&amp;")&gt; "&amp;" ","")&amp;IF($E$68=J$3,$D$68&amp;"("&amp;$I$68&amp;")"&amp;" ","")&amp;IF($E$69=$E$60," &lt;"&amp;$D$69&amp;"("&amp;$I$69&amp;")&gt; "&amp;" ","")&amp;IF($E$69=J$3,$D$69&amp;"("&amp;$I$69&amp;")"&amp;" ","")&amp;IF($E$70=$E$60," &lt;"&amp;$D$70&amp;"("&amp;$I$70&amp;")&gt; "&amp;" ","")&amp;IF($E$70=J$3,$D$70&amp;"("&amp;$I$70&amp;")"&amp;" ","")&amp;IF($E$71=$E$60," &lt;"&amp;$D$71&amp;"("&amp;$I$71&amp;")&gt; "&amp;" ","")&amp;IF($E$71=J$3,$D$71&amp;"("&amp;$I$71&amp;")"&amp;" ","")&amp;IF($E$72=$E$60," &lt;"&amp;$D$72&amp;"("&amp;$I$72&amp;")&gt; "&amp;" ","")&amp;IF($E$72=J$3,$D$72&amp;"("&amp;$I$72&amp;")"&amp;" ","")&amp;IF($E$73=$E$60," &lt;"&amp;$D$73&amp;"("&amp;$I$73&amp;")&gt; "&amp;" ","")&amp;IF($E$73=J$3,$D$73&amp;"("&amp;$I$73&amp;")"&amp;" ","")&amp;IF($E$74=$E$60," &lt;"&amp;$D$74&amp;"("&amp;$I$74&amp;")&gt; "&amp;" ","")&amp;IF($E$74=J$3,$D$74&amp;"("&amp;$I$74&amp;")"&amp;" ","")&amp;IF($E$75=J$3,$D$75&amp;"("&amp;$I$75&amp;")"&amp;" ","")&amp;IF($E$76=J$3,$D$76&amp;"("&amp;$I$76&amp;")"&amp;" ","")&amp;IF($E$77=J$3,$D$77&amp;"("&amp;$I$77&amp;")"&amp;" ","")&amp;IF($E$78=J$3,$D$78&amp;"("&amp;$I$78&amp;")"&amp;" ","")&amp;IF(COUNTIF($E$63:$E$78,J$3)=0,"-","")</f>
        <v xml:space="preserve">S2(6)  &lt;S3(5)&gt;  </v>
      </c>
      <c r="K4" s="367"/>
      <c r="L4" s="366" t="str">
        <f>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","")&amp;IF($E$78=L$3,$D$78&amp;"("&amp;$I$78&amp;")"&amp;" ","")&amp;IF(COUNTIF($E$63:$E$77,L$3)=0,"-","")</f>
        <v xml:space="preserve">S1(6)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47" t="s">
        <v>52</v>
      </c>
      <c r="C7" s="247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13" si="0">IF($E8&lt;&gt;"",IF($E8-715&lt;0,VLOOKUP($B$3,$E$63:$J$74,6,FALSE),IF(AND($E8-2130&gt;0,_xlfn.IFNA(MATCH($D8,$D$107:$D$117,0)&lt;20,"")=TRUE),VLOOKUP($L$3,$E$63:$J$74,6,FALSE),"-")),"")</f>
        <v>S4</v>
      </c>
      <c r="C8" s="9" t="str">
        <f t="shared" ref="C8:C17" si="1">IF($E8&lt;&gt;"",IF(ISNUMBER(SEARCH("Hall Operation",$K8)),"-",IF($E8-715&lt;0,VLOOKUP($B$3,$E$63:$J$74,6,FALSE),IF($E8-2129&gt;0,VLOOKUP($L$3,$E$63:$J$74,6,FALSE),""))),"")</f>
        <v>-</v>
      </c>
      <c r="D8" s="27" t="s">
        <v>707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21" si="2">IF($D8=0,"",IF(OR(ISNUMBER(SEARCH("S",$B8)),_xlfn.IFNA(MATCH($D8,$D$107:$D$117,0)&lt;20,"")=TRUE),"&lt;   Hall Operation   &gt;",""))</f>
        <v>&lt;   Hall Operation   &gt;</v>
      </c>
      <c r="L8" s="166"/>
      <c r="M8" s="166"/>
      <c r="N8" s="173"/>
    </row>
    <row r="9" spans="1:16">
      <c r="A9" s="9">
        <f>IF($F9="Wavied","-",IF($D9=0,"",ROW($A9)-ROW($A$8)+1-COUNTIF($A$8:$A8,"@")-COUNTIF($A$8:$A8,"-")))</f>
        <v>2</v>
      </c>
      <c r="B9" s="9" t="str">
        <f t="shared" si="0"/>
        <v>S4</v>
      </c>
      <c r="C9" s="9" t="str">
        <f t="shared" si="1"/>
        <v>-</v>
      </c>
      <c r="D9" s="27" t="s">
        <v>367</v>
      </c>
      <c r="E9" s="172" t="str">
        <f>IF($D9&gt;0,VLOOKUP($D9,Flight!$A$1:$E$91,2,FALSE),"")</f>
        <v>0545</v>
      </c>
      <c r="F9" s="43"/>
      <c r="G9" s="43" t="str">
        <f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IF($D9&gt;0,IF(VLOOKUP($D9,Flight!$A$1:$E$91,4,FALSE)&gt;1,VLOOKUP($D9,Flight!$A$1:$E94,4,FALSE),""),"")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>IF($F10="Wavied","-",IF($D10=0,"",ROW($A10)-ROW($A$8)+1-COUNTIF($A$8:$A9,"@")-COUNTIF($A$8:$A9,"-")))</f>
        <v>3</v>
      </c>
      <c r="B10" s="9" t="str">
        <f t="shared" si="0"/>
        <v>S4</v>
      </c>
      <c r="C10" s="9" t="str">
        <f t="shared" si="1"/>
        <v>-</v>
      </c>
      <c r="D10" s="27" t="s">
        <v>368</v>
      </c>
      <c r="E10" s="172" t="str">
        <f>IF($D10&gt;0,VLOOKUP($D10,Flight!$A$1:$E$91,2,FALSE),"")</f>
        <v>0555</v>
      </c>
      <c r="F10" s="46"/>
      <c r="G10" s="43" t="str">
        <f>IF(A10="@",IF(H10="ZYK","Berth 3",IF(H10="HKM","Bay 7","")),"")</f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IF($D10&gt;0,IF(VLOOKUP($D10,Flight!$A$1:$E$91,4,FALSE)&gt;1,VLOOKUP($D10,Flight!$A$1:$E96,4,FALSE),""),"")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  <c r="P10" s="87"/>
    </row>
    <row r="11" spans="1:16">
      <c r="A11" s="9">
        <f>IF($F11="Wavied","-",IF($D11=0,"",ROW($A11)-ROW($A$8)+1-COUNTIF($A$8:$A10,"@")-COUNTIF($A$8:$A10,"-")))</f>
        <v>4</v>
      </c>
      <c r="B11" s="9" t="str">
        <f t="shared" si="0"/>
        <v>S4</v>
      </c>
      <c r="C11" s="9" t="str">
        <f t="shared" si="1"/>
        <v>-</v>
      </c>
      <c r="D11" s="213" t="s">
        <v>708</v>
      </c>
      <c r="E11" s="172" t="str">
        <f>IF($D11&gt;0,VLOOKUP($D11,Flight!$A$1:$E$91,2,FALSE),"")</f>
        <v>0615</v>
      </c>
      <c r="F11" s="45"/>
      <c r="G11" s="43" t="str">
        <f t="shared" ref="G11:G43" si="3">IF(A11="@",IF(H11="ZYK","Berth 3",IF(H11="HKM","Bay 7","")),"")</f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 ht="16.5" customHeight="1">
      <c r="A12" s="9">
        <f>IF($F12="Wavied","-",IF($D12=0,"",ROW($A12)-ROW($A$8)+1-COUNTIF($A$8:$A11,"@")-COUNTIF($A$8:$A11,"-")))</f>
        <v>5</v>
      </c>
      <c r="B12" s="9" t="str">
        <f t="shared" si="0"/>
        <v>S4</v>
      </c>
      <c r="C12" s="9" t="str">
        <f t="shared" si="1"/>
        <v>-</v>
      </c>
      <c r="D12" s="213" t="s">
        <v>365</v>
      </c>
      <c r="E12" s="172" t="str">
        <f>IF($D12&gt;0,VLOOKUP($D12,Flight!$A$1:$E$91,2,FALSE),"")</f>
        <v>0640</v>
      </c>
      <c r="F12" s="45"/>
      <c r="G12" s="43" t="str">
        <f>IF(A12="@",IF(H12="ZYK","Berth 3",IF(H12="HKM","Bay 7","")),"")</f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IF($D12&gt;0,IF(VLOOKUP($D12,Flight!$A$1:$E$91,4,FALSE)&gt;1,VLOOKUP($D12,Flight!$A$1:$E92,4,FALSE),""),"")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>IF($F13="Wavied","-",IF($D13=0,"",ROW($A13)-ROW($A$8)+1-COUNTIF($A$8:$A12,"@")-COUNTIF($A$8:$A12,"-")))</f>
        <v>6</v>
      </c>
      <c r="B13" s="9" t="str">
        <f t="shared" si="0"/>
        <v>S4</v>
      </c>
      <c r="C13" s="9" t="str">
        <f t="shared" si="1"/>
        <v>-</v>
      </c>
      <c r="D13" s="213" t="s">
        <v>393</v>
      </c>
      <c r="E13" s="172" t="str">
        <f>IF($D13&gt;0,VLOOKUP($D13,Flight!$A$1:$E$91,2,FALSE),"")</f>
        <v>0700</v>
      </c>
      <c r="F13" s="45"/>
      <c r="G13" s="43" t="str">
        <f t="shared" si="3"/>
        <v/>
      </c>
      <c r="H13" s="44" t="str">
        <f>IF($D13&gt;0,VLOOKUP($D13,Flight!$A$1:$E$91,3,FALSE),"")</f>
        <v>BOM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6">
      <c r="A14" s="9">
        <f>IF($F14="Wavied","-",IF($D14=0,"",ROW($A14)-ROW($A$8)+1-COUNTIF($A$8:$A13,"@")-COUNTIF($A$8:$A13,"-")))</f>
        <v>7</v>
      </c>
      <c r="B14" s="9" t="s">
        <v>720</v>
      </c>
      <c r="C14" s="9" t="str">
        <f t="shared" si="1"/>
        <v>-</v>
      </c>
      <c r="D14" s="213" t="s">
        <v>369</v>
      </c>
      <c r="E14" s="172" t="str">
        <f>IF($D14&gt;0,VLOOKUP($D14,Flight!$A$1:$E$91,2,FALSE),"")</f>
        <v>0905</v>
      </c>
      <c r="F14" s="46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>IF($F15="Wavied","-",IF($D15=0,"",ROW($A15)-ROW($A$8)+1-COUNTIF($A$8:$A14,"@")-COUNTIF($A$8:$A14,"-")))</f>
        <v>8</v>
      </c>
      <c r="B15" s="9" t="s">
        <v>719</v>
      </c>
      <c r="C15" s="9" t="str">
        <f t="shared" si="1"/>
        <v>-</v>
      </c>
      <c r="D15" s="213" t="s">
        <v>370</v>
      </c>
      <c r="E15" s="172" t="str">
        <f>IF($D15&gt;0,VLOOKUP($D15,Flight!$A$1:$E$91,2,FALSE),"")</f>
        <v>0935</v>
      </c>
      <c r="F15" s="46"/>
      <c r="G15" s="43" t="str">
        <f t="shared" si="3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f>IF($F16="Wavied","-",IF($D16=0,"",ROW($A16)-ROW($A$8)+1-COUNTIF($A$8:$A15,"@")-COUNTIF($A$8:$A15,"-")))</f>
        <v>9</v>
      </c>
      <c r="B16" s="9" t="s">
        <v>720</v>
      </c>
      <c r="C16" s="9" t="str">
        <f t="shared" si="1"/>
        <v>-</v>
      </c>
      <c r="D16" s="213" t="s">
        <v>709</v>
      </c>
      <c r="E16" s="172" t="str">
        <f>IF($D16&gt;0,VLOOKUP($D16,Flight!$A$1:$E$91,2,FALSE),"")</f>
        <v>0950</v>
      </c>
      <c r="F16" s="45"/>
      <c r="G16" s="43" t="str">
        <f t="shared" si="3"/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f>IF($F17="Wavied","-",IF($D17=0,"",ROW($A17)-ROW($A$8)+1-COUNTIF($A$8:$A16,"@")-COUNTIF($A$8:$A16,"-")))</f>
        <v>10</v>
      </c>
      <c r="B17" s="9" t="s">
        <v>719</v>
      </c>
      <c r="C17" s="9" t="str">
        <f t="shared" si="1"/>
        <v>-</v>
      </c>
      <c r="D17" s="213" t="s">
        <v>710</v>
      </c>
      <c r="E17" s="172" t="str">
        <f>IF($D17&gt;0,VLOOKUP($D17,Flight!$A$1:$E$91,2,FALSE),"")</f>
        <v>0955</v>
      </c>
      <c r="F17" s="45"/>
      <c r="G17" s="43" t="str">
        <f t="shared" si="3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>IF($F18="Wavied","-",IF($D18=0,"",ROW($A18)-ROW($A$8)+1-COUNTIF($A$8:$A17,"@")-COUNTIF($A$8:$A17,"-")))</f>
        <v>11</v>
      </c>
      <c r="B18" s="9" t="str">
        <f>IF($E18&lt;&gt;"",IF($E18-715&lt;0,VLOOKUP($B$3,$E$63:$J$74,6,FALSE),IF(AND($E18-2130&gt;0,_xlfn.IFNA(MATCH($D18,$D$107:$D$117,0)&lt;20,"")=TRUE),VLOOKUP($L$3,$E$63:$J$74,6,FALSE),"-")),"")</f>
        <v>-</v>
      </c>
      <c r="C18" s="9" t="s">
        <v>720</v>
      </c>
      <c r="D18" s="27" t="s">
        <v>372</v>
      </c>
      <c r="E18" s="172" t="str">
        <f>IF($D18&gt;0,VLOOKUP($D18,Flight!$A$1:$E$91,2,FALSE),"")</f>
        <v>1000</v>
      </c>
      <c r="F18" s="45"/>
      <c r="G18" s="43" t="str">
        <f t="shared" si="3"/>
        <v/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>
        <f>IF($F19="Wavied","-",IF($D19=0,"",ROW($A19)-ROW($A$8)+1-COUNTIF($A$8:$A18,"@")-COUNTIF($A$8:$A18,"-")))</f>
        <v>12</v>
      </c>
      <c r="B19" s="9" t="str">
        <f>IF($E19&lt;&gt;"",IF($E19-715&lt;0,VLOOKUP($B$3,$E$63:$J$74,6,FALSE),IF(AND($E19-2130&gt;0,_xlfn.IFNA(MATCH($D19,$D$107:$D$117,0)&lt;20,"")=TRUE),VLOOKUP($L$3,$E$63:$J$74,6,FALSE),"-")),"")</f>
        <v>-</v>
      </c>
      <c r="C19" s="9" t="s">
        <v>719</v>
      </c>
      <c r="D19" s="27" t="s">
        <v>373</v>
      </c>
      <c r="E19" s="172" t="str">
        <f>IF($D19&gt;0,VLOOKUP($D19,Flight!$A$1:$E$91,2,FALSE),"")</f>
        <v>1010</v>
      </c>
      <c r="F19" s="45"/>
      <c r="G19" s="43" t="str">
        <f t="shared" si="3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>IF($F20="Wavied","-",IF($D20=0,"",ROW($A20)-ROW($A$8)+1-COUNTIF($A$8:$A19,"@")-COUNTIF($A$8:$A19,"-")))</f>
        <v>13</v>
      </c>
      <c r="B20" s="9" t="str">
        <f>IF($E20&lt;&gt;"",IF($E20-715&lt;0,VLOOKUP($B$3,$E$63:$J$74,6,FALSE),IF(AND($E20-2130&gt;0,_xlfn.IFNA(MATCH($D20,$D$107:$D$117,0)&lt;20,"")=TRUE),VLOOKUP($L$3,$E$63:$J$74,6,FALSE),"-")),"")</f>
        <v>-</v>
      </c>
      <c r="C20" s="9" t="s">
        <v>721</v>
      </c>
      <c r="D20" s="9" t="s">
        <v>374</v>
      </c>
      <c r="E20" s="172" t="str">
        <f>IF($D20&gt;0,VLOOKUP($D20,Flight!$A$1:$E$91,2,FALSE),"")</f>
        <v>1115</v>
      </c>
      <c r="F20" s="45"/>
      <c r="G20" s="43" t="str">
        <f t="shared" si="3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 ht="15.75" customHeight="1">
      <c r="A21" s="9">
        <f>IF($F21="Wavied","-",IF($D21=0,"",ROW($A21)-ROW($A$8)+1-COUNTIF($A$8:$A20,"@")-COUNTIF($A$8:$A20,"-")))</f>
        <v>14</v>
      </c>
      <c r="B21" s="9" t="str">
        <f>IF($E21&lt;&gt;"",IF($E21-715&lt;0,VLOOKUP($B$3,$E$63:$J$74,6,FALSE),IF(AND($E21-2130&gt;0,_xlfn.IFNA(MATCH($D21,$D$107:$D$117,0)&lt;20,"")=TRUE),VLOOKUP($L$3,$E$63:$J$74,6,FALSE),"-")),"")</f>
        <v>-</v>
      </c>
      <c r="C21" s="9" t="s">
        <v>720</v>
      </c>
      <c r="D21" s="9" t="s">
        <v>375</v>
      </c>
      <c r="E21" s="172" t="str">
        <f>IF($D21&gt;0,VLOOKUP($D21,Flight!$A$1:$E$91,2,FALSE),"")</f>
        <v>1145</v>
      </c>
      <c r="F21" s="44"/>
      <c r="G21" s="43" t="str">
        <f t="shared" si="3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 s="274" customFormat="1" ht="15.75" customHeight="1">
      <c r="A22" s="9">
        <f>IF($F22="Wavied","-",IF($D22=0,"",ROW($A22)-ROW($A$8)+1-COUNTIF($A$8:$A21,"@")-COUNTIF($A$8:$A21,"-")))</f>
        <v>15</v>
      </c>
      <c r="B22" s="9"/>
      <c r="C22" s="9" t="s">
        <v>721</v>
      </c>
      <c r="D22" s="9" t="s">
        <v>715</v>
      </c>
      <c r="E22" s="172">
        <v>1200</v>
      </c>
      <c r="F22" s="44"/>
      <c r="G22" s="43"/>
      <c r="H22" s="44" t="s">
        <v>712</v>
      </c>
      <c r="I22" s="44"/>
      <c r="J22" s="44"/>
      <c r="K22" s="166"/>
      <c r="L22" s="166"/>
      <c r="M22" s="166"/>
      <c r="O22" s="114"/>
    </row>
    <row r="23" spans="1:15">
      <c r="A23" s="9">
        <f>IF($F23="Wavied","-",IF($D23=0,"",ROW($A23)-ROW($A$8)+1-COUNTIF($A$8:$A22,"@")-COUNTIF($A$8:$A22,"-")))</f>
        <v>16</v>
      </c>
      <c r="B23" s="9" t="str">
        <f>IF($E23&lt;&gt;"",IF($E23-715&lt;0,VLOOKUP($B$3,$E$63:$J$74,6,FALSE),IF(AND($E23-2130&gt;0,_xlfn.IFNA(MATCH($D23,$D$107:$D$117,0)&lt;20,"")=TRUE),VLOOKUP($L$3,$E$63:$J$74,6,FALSE),"-")),"")</f>
        <v>-</v>
      </c>
      <c r="C23" s="9" t="s">
        <v>719</v>
      </c>
      <c r="D23" s="215" t="s">
        <v>376</v>
      </c>
      <c r="E23" s="172" t="str">
        <f>IF($D23&gt;0,VLOOKUP($D23,Flight!$A$1:$E$91,2,FALSE),"")</f>
        <v>1305</v>
      </c>
      <c r="F23" s="44"/>
      <c r="G23" s="43" t="str">
        <f t="shared" si="3"/>
        <v/>
      </c>
      <c r="H23" s="44" t="str">
        <f>IF($D23&gt;0,VLOOKUP($D23,Flight!$A$1:$E$91,3,FALSE),"")</f>
        <v>DMK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 t="str">
        <f>IF($D23=0,"",IF(OR(ISNUMBER(SEARCH("S",$B23)),_xlfn.IFNA(MATCH($D23,$D$107:$D$117,0)&lt;20,"")=TRUE),"&lt;   Hall Operation   &gt;",""))</f>
        <v/>
      </c>
      <c r="L23" s="166"/>
      <c r="M23" s="166"/>
      <c r="O23" s="114"/>
    </row>
    <row r="24" spans="1:15">
      <c r="A24" s="9">
        <f>IF($F24="Wavied","-",IF($D24=0,"",ROW($A24)-ROW($A$8)+1-COUNTIF($A$8:$A23,"@")-COUNTIF($A$8:$A23,"-")))</f>
        <v>17</v>
      </c>
      <c r="B24" s="9" t="s">
        <v>720</v>
      </c>
      <c r="C24" s="9" t="str">
        <f>IF($E24&lt;&gt;"",IF(ISNUMBER(SEARCH("Hall Operation",$K24)),"-",IF($E24-715&lt;0,VLOOKUP($B$3,$E$63:$J$74,6,FALSE),IF($E24-2129&gt;0,VLOOKUP($L$3,$E$63:$J$74,6,FALSE),""))),"")</f>
        <v>-</v>
      </c>
      <c r="D24" s="213" t="s">
        <v>377</v>
      </c>
      <c r="E24" s="172" t="str">
        <f>IF($D24&gt;0,VLOOKUP($D24,Flight!$A$1:$E$91,2,FALSE),"")</f>
        <v>1310</v>
      </c>
      <c r="F24" s="44"/>
      <c r="G24" s="43" t="str">
        <f t="shared" si="3"/>
        <v/>
      </c>
      <c r="H24" s="44" t="str">
        <f>IF($D24&gt;0,VLOOKUP($D24,Flight!$A$1:$E$91,3,FALSE),"")</f>
        <v>DEL</v>
      </c>
      <c r="I24" s="44" t="str">
        <f>IF($D24&gt;0,IF(VLOOKUP($D24,Flight!$A$1:$E$91,4,FALSE)&gt;1,VLOOKUP($D24,Flight!$A$1:$E106,4,FALSE),""),"")</f>
        <v/>
      </c>
      <c r="J24" s="44" t="str">
        <f>IF($D24&gt;0,IF(VLOOKUP($D24,Flight!$A$1:$E$91,5,FALSE)&gt;1,VLOOKUP($D24,Flight!$A$1:$E$91,5,FALSE),""),"")</f>
        <v/>
      </c>
      <c r="K24" s="166" t="str">
        <f>IF($D24=0,"",IF(OR(ISNUMBER(SEARCH("S",$B24)),_xlfn.IFNA(MATCH($D24,$D$107:$D$117,0)&lt;20,"")=TRUE),"&lt;   Hall Operation   &gt;",""))</f>
        <v>&lt;   Hall Operation   &gt;</v>
      </c>
      <c r="L24" s="166"/>
      <c r="M24" s="166"/>
      <c r="O24" s="114"/>
    </row>
    <row r="25" spans="1:15">
      <c r="A25" s="9">
        <f>IF($F25="Wavied","-",IF($D25=0,"",ROW($A25)-ROW($A$8)+1-COUNTIF($A$8:$A24,"@")-COUNTIF($A$8:$A24,"-")))</f>
        <v>18</v>
      </c>
      <c r="B25" s="9" t="str">
        <f>IF($E25&lt;&gt;"",IF($E25-715&lt;0,VLOOKUP($B$3,$E$63:$J$74,6,FALSE),IF(AND($E25-2130&gt;0,_xlfn.IFNA(MATCH($D25,$D$107:$D$117,0)&lt;20,"")=TRUE),VLOOKUP($L$3,$E$63:$J$74,6,FALSE),"-")),"")</f>
        <v>-</v>
      </c>
      <c r="C25" s="9" t="s">
        <v>719</v>
      </c>
      <c r="D25" s="27" t="s">
        <v>378</v>
      </c>
      <c r="E25" s="172" t="str">
        <f>IF($D25&gt;0,VLOOKUP($D25,Flight!$A$1:$E$91,2,FALSE),"")</f>
        <v>1415</v>
      </c>
      <c r="F25" s="45"/>
      <c r="G25" s="43" t="str">
        <f t="shared" si="3"/>
        <v/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IF($D25&gt;0,IF(VLOOKUP($D25,Flight!$A$1:$E$91,4,FALSE)&gt;1,VLOOKUP($D25,Flight!$A$1:$E107,4,FALSE),""),"")</f>
        <v/>
      </c>
      <c r="J25" s="44" t="str">
        <f>IF($D25&gt;0,IF(VLOOKUP($D25,Flight!$A$1:$E$91,5,FALSE)&gt;1,VLOOKUP($D25,Flight!$A$1:$E$91,5,FALSE),""),"")</f>
        <v/>
      </c>
      <c r="K25" s="166" t="str">
        <f>IF($D25=0,"",IF(OR(ISNUMBER(SEARCH("S",$B25)),_xlfn.IFNA(MATCH($D25,$D$107:$D$117,0)&lt;20,"")=TRUE),"&lt;   Hall Operation   &gt;",""))</f>
        <v/>
      </c>
      <c r="L25" s="166"/>
      <c r="M25" s="166"/>
      <c r="O25" s="114"/>
    </row>
    <row r="26" spans="1:15">
      <c r="A26" s="9">
        <f>IF($F26="Wavied","-",IF($D26=0,"",ROW($A26)-ROW($A$8)+1-COUNTIF($A$8:$A25,"@")-COUNTIF($A$8:$A25,"-")))</f>
        <v>19</v>
      </c>
      <c r="B26" s="9" t="str">
        <f>IF($E26&lt;&gt;"",IF($E26-715&lt;0,VLOOKUP($B$3,$E$63:$J$74,6,FALSE),IF(AND($E26-2130&gt;0,_xlfn.IFNA(MATCH($D26,$D$107:$D$117,0)&lt;20,"")=TRUE),VLOOKUP($L$3,$E$63:$J$74,6,FALSE),"-")),"")</f>
        <v>-</v>
      </c>
      <c r="C26" s="9" t="s">
        <v>721</v>
      </c>
      <c r="D26" s="27" t="s">
        <v>379</v>
      </c>
      <c r="E26" s="172" t="str">
        <f>IF($D26&gt;0,VLOOKUP($D26,Flight!$A$1:$E$91,2,FALSE),"")</f>
        <v>1420</v>
      </c>
      <c r="F26" s="45"/>
      <c r="G26" s="43" t="str">
        <f t="shared" si="3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IF($D26&gt;0,IF(VLOOKUP($D26,Flight!$A$1:$E$91,4,FALSE)&gt;1,VLOOKUP($D26,Flight!$A$1:$E108,4,FALSE),""),"")</f>
        <v/>
      </c>
      <c r="J26" s="44" t="str">
        <f>IF($D26&gt;0,IF(VLOOKUP($D26,Flight!$A$1:$E$91,5,FALSE)&gt;1,VLOOKUP($D26,Flight!$A$1:$E$91,5,FALSE),""),"")</f>
        <v/>
      </c>
      <c r="K26" s="166" t="str">
        <f>IF($D26=0,"",IF(OR(ISNUMBER(SEARCH("S",$B26)),_xlfn.IFNA(MATCH($D26,$D$107:$D$117,0)&lt;20,"")=TRUE),"&lt;   Hall Operation   &gt;",""))</f>
        <v/>
      </c>
      <c r="L26" s="166"/>
      <c r="M26" s="166"/>
      <c r="O26" s="114"/>
    </row>
    <row r="27" spans="1:15" s="274" customFormat="1">
      <c r="A27" s="9">
        <f>IF($F27="Wavied","-",IF($D27=0,"",ROW($A27)-ROW($A$8)+1-COUNTIF($A$8:$A26,"@")-COUNTIF($A$8:$A26,"-")))</f>
        <v>20</v>
      </c>
      <c r="B27" s="9"/>
      <c r="C27" s="9" t="s">
        <v>937</v>
      </c>
      <c r="D27" s="27" t="s">
        <v>711</v>
      </c>
      <c r="E27" s="172">
        <v>1450</v>
      </c>
      <c r="F27" s="45"/>
      <c r="G27" s="43"/>
      <c r="H27" s="44" t="s">
        <v>712</v>
      </c>
      <c r="I27" s="44"/>
      <c r="J27" s="44"/>
      <c r="K27" s="166"/>
      <c r="L27" s="166"/>
      <c r="M27" s="166"/>
      <c r="O27" s="114"/>
    </row>
    <row r="28" spans="1:15">
      <c r="A28" s="9">
        <f>IF($F28="Wavied","-",IF($D28=0,"",ROW($A28)-ROW($A$8)+1-COUNTIF($A$8:$A27,"@")-COUNTIF($A$8:$A27,"-")))</f>
        <v>21</v>
      </c>
      <c r="B28" s="9" t="str">
        <f t="shared" ref="B28:B33" si="4">IF($E28&lt;&gt;"",IF($E28-715&lt;0,VLOOKUP($B$3,$E$63:$J$74,6,FALSE),IF(AND($E28-2130&gt;0,_xlfn.IFNA(MATCH($D28,$D$107:$D$117,0)&lt;20,"")=TRUE),VLOOKUP($L$3,$E$63:$J$74,6,FALSE),"-")),"")</f>
        <v>-</v>
      </c>
      <c r="C28" s="9" t="s">
        <v>938</v>
      </c>
      <c r="D28" s="27" t="s">
        <v>380</v>
      </c>
      <c r="E28" s="172">
        <v>1455</v>
      </c>
      <c r="F28" s="44"/>
      <c r="G28" s="43" t="str">
        <f t="shared" si="3"/>
        <v/>
      </c>
      <c r="H28" s="44" t="str">
        <f>IF($D28&gt;0,VLOOKUP($D28,Flight!$A$1:$E$91,3,FALSE),"")</f>
        <v>ADD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ref="K28:K33" si="5">IF($D28=0,"",IF(OR(ISNUMBER(SEARCH("S",$B28)),_xlfn.IFNA(MATCH($D28,$D$107:$D$117,0)&lt;20,"")=TRUE),"&lt;   Hall Operation   &gt;",""))</f>
        <v/>
      </c>
      <c r="L28" s="166"/>
      <c r="M28" s="166"/>
      <c r="O28" s="114"/>
    </row>
    <row r="29" spans="1:15">
      <c r="A29" s="9">
        <f>IF($F29="Wavied","-",IF($D29=0,"",ROW($A29)-ROW($A$8)+1-COUNTIF($A$8:$A28,"@")-COUNTIF($A$8:$A28,"-")))</f>
        <v>22</v>
      </c>
      <c r="B29" s="9" t="str">
        <f t="shared" si="4"/>
        <v>-</v>
      </c>
      <c r="C29" s="9" t="s">
        <v>937</v>
      </c>
      <c r="D29" s="27" t="s">
        <v>381</v>
      </c>
      <c r="E29" s="172" t="str">
        <f>IF($D29&gt;0,VLOOKUP($D29,Flight!$A$1:$E$91,2,FALSE),"")</f>
        <v>1510</v>
      </c>
      <c r="F29" s="45"/>
      <c r="G29" s="43" t="str">
        <f t="shared" si="3"/>
        <v/>
      </c>
      <c r="H29" s="44" t="str">
        <f>IF($D29&gt;0,VLOOKUP($D29,Flight!$A$1:$E$91,3,FALSE),"")</f>
        <v>DOH</v>
      </c>
      <c r="I29" s="44" t="str">
        <f>IF($D29&gt;0,IF(VLOOKUP($D29,Flight!$A$1:$E$91,4,FALSE)&gt;1,VLOOKUP($D29,Flight!$A$1:$E110,4,FALSE),""),"")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5"/>
        <v/>
      </c>
      <c r="L29" s="166"/>
      <c r="M29" s="166"/>
      <c r="O29" s="114"/>
    </row>
    <row r="30" spans="1:15">
      <c r="A30" s="9">
        <f>IF($F30="Wavied","-",IF($D30=0,"",ROW($A30)-ROW($A$8)+1-COUNTIF($A$8:$A29,"@")-COUNTIF($A$8:$A29,"-")))</f>
        <v>23</v>
      </c>
      <c r="B30" s="9" t="str">
        <f t="shared" si="4"/>
        <v>-</v>
      </c>
      <c r="C30" s="9" t="s">
        <v>938</v>
      </c>
      <c r="D30" s="27" t="s">
        <v>382</v>
      </c>
      <c r="E30" s="172" t="str">
        <f>IF($D30&gt;0,VLOOKUP($D30,Flight!$A$1:$E$91,2,FALSE),"")</f>
        <v>1715</v>
      </c>
      <c r="F30" s="45"/>
      <c r="G30" s="43" t="str">
        <f t="shared" si="3"/>
        <v/>
      </c>
      <c r="H30" s="44" t="str">
        <f>IF($D30&gt;0,VLOOKUP($D30,Flight!$A$1:$E$91,3,FALSE),"")</f>
        <v>IST</v>
      </c>
      <c r="I30" s="44" t="str">
        <f>IF($D30&gt;0,IF(VLOOKUP($D30,Flight!$A$1:$E$91,4,FALSE)&gt;1,VLOOKUP($D30,Flight!$A$1:$E111,4,FALSE),""),"")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5"/>
        <v/>
      </c>
      <c r="L30" s="166"/>
      <c r="M30" s="166"/>
    </row>
    <row r="31" spans="1:15">
      <c r="A31" s="9">
        <f>IF($F31="Wavied","-",IF($D31=0,"",ROW($A31)-ROW($A$8)+1-COUNTIF($A$8:$A30,"@")-COUNTIF($A$8:$A30,"-")))</f>
        <v>24</v>
      </c>
      <c r="B31" s="9" t="str">
        <f t="shared" si="4"/>
        <v>-</v>
      </c>
      <c r="C31" s="9" t="s">
        <v>936</v>
      </c>
      <c r="D31" s="27" t="s">
        <v>713</v>
      </c>
      <c r="E31" s="172" t="str">
        <f>IF($D31&gt;0,VLOOKUP($D31,Flight!$A$1:$E$91,2,FALSE),"")</f>
        <v>1720</v>
      </c>
      <c r="F31" s="49"/>
      <c r="G31" s="43" t="str">
        <f t="shared" si="3"/>
        <v/>
      </c>
      <c r="H31" s="44" t="str">
        <f>IF($D31&gt;0,VLOOKUP($D31,Flight!$A$1:$E$91,3,FALSE),"")</f>
        <v>MNL</v>
      </c>
      <c r="I31" s="44" t="str">
        <f>IF($D31&gt;0,IF(VLOOKUP($D31,Flight!$A$1:$E$91,4,FALSE)&gt;1,VLOOKUP($D31,Flight!$A$1:$E112,4,FALSE),""),"")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5"/>
        <v/>
      </c>
      <c r="L31" s="166"/>
      <c r="M31" s="166"/>
    </row>
    <row r="32" spans="1:15">
      <c r="A32" s="9">
        <f>IF($F32="Wavied","-",IF($D32=0,"",ROW($A32)-ROW($A$8)+1-COUNTIF($A$8:$A31,"@")-COUNTIF($A$8:$A31,"-")))</f>
        <v>25</v>
      </c>
      <c r="B32" s="9" t="str">
        <f t="shared" si="4"/>
        <v>-</v>
      </c>
      <c r="C32" s="9" t="s">
        <v>939</v>
      </c>
      <c r="D32" s="27" t="s">
        <v>383</v>
      </c>
      <c r="E32" s="172" t="str">
        <f>IF($D32&gt;0,VLOOKUP($D32,Flight!$A$1:$E$91,2,FALSE),"")</f>
        <v>1755</v>
      </c>
      <c r="F32" s="45"/>
      <c r="G32" s="43" t="str">
        <f t="shared" si="3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IF($D32&gt;0,IF(VLOOKUP($D32,Flight!$A$1:$E$91,4,FALSE)&gt;1,VLOOKUP($D32,Flight!$A$1:$E113,4,FALSE),""),"")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5"/>
        <v/>
      </c>
      <c r="L32" s="166"/>
      <c r="M32" s="166"/>
    </row>
    <row r="33" spans="1:18">
      <c r="A33" s="9">
        <f>IF($F33="Wavied","-",IF($D33=0,"",ROW($A33)-ROW($A$8)+1-COUNTIF($A$8:$A32,"@")-COUNTIF($A$8:$A32,"-")))</f>
        <v>26</v>
      </c>
      <c r="B33" s="9" t="str">
        <f t="shared" si="4"/>
        <v>-</v>
      </c>
      <c r="C33" s="9" t="s">
        <v>937</v>
      </c>
      <c r="D33" s="27" t="s">
        <v>384</v>
      </c>
      <c r="E33" s="172" t="str">
        <f>IF($D33&gt;0,VLOOKUP($D33,Flight!$A$1:$E$91,2,FALSE),"")</f>
        <v>1805</v>
      </c>
      <c r="F33" s="45"/>
      <c r="G33" s="43" t="str">
        <f t="shared" si="3"/>
        <v/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IF($D33&gt;0,IF(VLOOKUP($D33,Flight!$A$1:$E$91,4,FALSE)&gt;1,VLOOKUP($D33,Flight!$A$1:$E114,4,FALSE),""),"")</f>
        <v>BKK</v>
      </c>
      <c r="J33" s="44" t="str">
        <f>IF($D33&gt;0,IF(VLOOKUP($D33,Flight!$A$1:$E$91,5,FALSE)&gt;1,VLOOKUP($D33,Flight!$A$1:$E$91,5,FALSE),""),"")</f>
        <v/>
      </c>
      <c r="K33" s="166" t="str">
        <f t="shared" si="5"/>
        <v/>
      </c>
      <c r="L33" s="166"/>
      <c r="M33" s="166"/>
    </row>
    <row r="34" spans="1:18" s="274" customFormat="1">
      <c r="A34" s="9">
        <f>IF($F34="Wavied","-",IF($D34=0,"",ROW($A34)-ROW($A$8)+1-COUNTIF($A$8:$A33,"@")-COUNTIF($A$8:$A33,"-")))</f>
        <v>27</v>
      </c>
      <c r="B34" s="9"/>
      <c r="C34" s="9" t="s">
        <v>938</v>
      </c>
      <c r="D34" s="27" t="s">
        <v>716</v>
      </c>
      <c r="E34" s="172">
        <v>1810</v>
      </c>
      <c r="F34" s="45"/>
      <c r="G34" s="43"/>
      <c r="H34" s="44" t="s">
        <v>717</v>
      </c>
      <c r="I34" s="44"/>
      <c r="J34" s="44"/>
      <c r="K34" s="166"/>
      <c r="L34" s="166"/>
      <c r="M34" s="166"/>
      <c r="O34" s="112"/>
    </row>
    <row r="35" spans="1:18">
      <c r="A35" s="9">
        <f>IF($F35="Wavied","-",IF($D35=0,"",ROW($A35)-ROW($A$8)+1-COUNTIF($A$8:$A34,"@")-COUNTIF($A$8:$A34,"-")))</f>
        <v>28</v>
      </c>
      <c r="B35" s="9" t="str">
        <f t="shared" ref="B35:B43" si="6">IF($E35&lt;&gt;"",IF($E35-715&lt;0,VLOOKUP($B$3,$E$63:$J$74,6,FALSE),IF(AND($E35-2130&gt;0,_xlfn.IFNA(MATCH($D35,$D$107:$D$117,0)&lt;20,"")=TRUE),VLOOKUP($L$3,$E$63:$J$74,6,FALSE),"-")),"")</f>
        <v>-</v>
      </c>
      <c r="C35" s="9" t="s">
        <v>939</v>
      </c>
      <c r="D35" s="27" t="s">
        <v>387</v>
      </c>
      <c r="E35" s="172" t="str">
        <f>IF($D35&gt;0,VLOOKUP($D35,Flight!$A$1:$E$91,2,FALSE),"")</f>
        <v>1920</v>
      </c>
      <c r="F35" s="46"/>
      <c r="G35" s="43" t="str">
        <f t="shared" si="3"/>
        <v/>
      </c>
      <c r="H35" s="44" t="str">
        <f>IF($D35&gt;0,VLOOKUP($D35,Flight!$A$1:$E$91,3,FALSE),"")</f>
        <v>DMK</v>
      </c>
      <c r="I35" s="44" t="str">
        <f>IF($D35&gt;0,IF(VLOOKUP($D35,Flight!$A$1:$E$91,4,FALSE)&gt;1,VLOOKUP($D35,Flight!$A$1:$E115,4,FALSE),""),"")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ref="K35:K43" si="7">IF($D35=0,"",IF(OR(ISNUMBER(SEARCH("S",$B35)),_xlfn.IFNA(MATCH($D35,$D$107:$D$117,0)&lt;20,"")=TRUE),"&lt;   Hall Operation   &gt;",""))</f>
        <v/>
      </c>
      <c r="L35" s="166"/>
      <c r="M35" s="166"/>
    </row>
    <row r="36" spans="1:18">
      <c r="A36" s="9">
        <f>IF($F36="Wavied","-",IF($D36=0,"",ROW($A36)-ROW($A$8)+1-COUNTIF($A$8:$A35,"@")-COUNTIF($A$8:$A35,"-")))</f>
        <v>29</v>
      </c>
      <c r="B36" s="9" t="str">
        <f t="shared" si="6"/>
        <v>-</v>
      </c>
      <c r="C36" s="9" t="s">
        <v>937</v>
      </c>
      <c r="D36" s="27" t="s">
        <v>388</v>
      </c>
      <c r="E36" s="172" t="str">
        <f>IF($D36&gt;0,VLOOKUP($D36,Flight!$A$1:$E$91,2,FALSE),"")</f>
        <v>1950</v>
      </c>
      <c r="F36" s="45"/>
      <c r="G36" s="43" t="str">
        <f t="shared" si="3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IF($D36&gt;0,IF(VLOOKUP($D36,Flight!$A$1:$E$91,4,FALSE)&gt;1,VLOOKUP($D36,Flight!$A$1:$E116,4,FALSE),""),"")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7"/>
        <v/>
      </c>
      <c r="L36" s="166"/>
      <c r="M36" s="166"/>
    </row>
    <row r="37" spans="1:18">
      <c r="A37" s="9">
        <f>IF($F37="Wavied","-",IF($D37=0,"",ROW($A37)-ROW($A$8)+1-COUNTIF($A$8:$A36,"@")-COUNTIF($A$8:$A36,"-")))</f>
        <v>30</v>
      </c>
      <c r="B37" s="9" t="str">
        <f t="shared" si="6"/>
        <v>-</v>
      </c>
      <c r="C37" s="9" t="s">
        <v>938</v>
      </c>
      <c r="D37" s="27" t="s">
        <v>64</v>
      </c>
      <c r="E37" s="172" t="str">
        <f>IF($D37&gt;0,VLOOKUP($D37,Flight!$A$1:$E$91,2,FALSE),"")</f>
        <v>2030</v>
      </c>
      <c r="F37" s="45"/>
      <c r="G37" s="43" t="str">
        <f t="shared" si="3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IF($D37&gt;0,IF(VLOOKUP($D37,Flight!$A$1:$E$91,4,FALSE)&gt;1,VLOOKUP($D37,Flight!$A$1:$E117,4,FALSE),""),"")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7"/>
        <v/>
      </c>
      <c r="L37" s="166"/>
      <c r="M37" s="167"/>
      <c r="P37" s="84"/>
    </row>
    <row r="38" spans="1:18">
      <c r="A38" s="9">
        <f>IF($F38="Wavied","-",IF($D38=0,"",ROW($A38)-ROW($A$8)+1-COUNTIF($A$8:$A37,"@")-COUNTIF($A$8:$A37,"-")))</f>
        <v>31</v>
      </c>
      <c r="B38" s="9" t="str">
        <f t="shared" si="6"/>
        <v>-</v>
      </c>
      <c r="C38" s="9" t="s">
        <v>937</v>
      </c>
      <c r="D38" s="27" t="s">
        <v>714</v>
      </c>
      <c r="E38" s="172">
        <v>2100</v>
      </c>
      <c r="F38" s="45"/>
      <c r="G38" s="43" t="str">
        <f t="shared" si="3"/>
        <v/>
      </c>
      <c r="H38" s="44" t="str">
        <f>IF($D38&gt;0,VLOOKUP($D38,Flight!$A$1:$E$91,3,FALSE),"")</f>
        <v>SIN</v>
      </c>
      <c r="I38" s="44" t="str">
        <f>IF($D38&gt;0,IF(VLOOKUP($D38,Flight!$A$1:$E$91,4,FALSE)&gt;1,VLOOKUP($D38,Flight!$A$1:$E118,4,FALSE),""),"")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7"/>
        <v/>
      </c>
      <c r="L38" s="166"/>
      <c r="M38" s="167"/>
      <c r="O38" s="115"/>
      <c r="P38" s="87"/>
    </row>
    <row r="39" spans="1:18" ht="16.5">
      <c r="A39" s="9">
        <f>IF($F39="Wavied","-",IF($D39=0,"",ROW($A39)-ROW($A$8)+1-COUNTIF($A$8:$A38,"@")-COUNTIF($A$8:$A38,"-")))</f>
        <v>32</v>
      </c>
      <c r="B39" s="9" t="str">
        <f t="shared" si="6"/>
        <v>-</v>
      </c>
      <c r="C39" s="9" t="s">
        <v>938</v>
      </c>
      <c r="D39" s="27" t="s">
        <v>399</v>
      </c>
      <c r="E39" s="172" t="str">
        <f>IF($D39&gt;0,VLOOKUP($D39,Flight!$A$1:$E$91,2,FALSE),"")</f>
        <v>2120</v>
      </c>
      <c r="F39" s="45"/>
      <c r="G39" s="43" t="str">
        <f t="shared" si="3"/>
        <v/>
      </c>
      <c r="H39" s="44" t="str">
        <f>IF($D39&gt;0,VLOOKUP($D39,Flight!$A$1:$E$91,3,FALSE),"")</f>
        <v>DEL</v>
      </c>
      <c r="I39" s="44" t="str">
        <f>IF($D39&gt;0,IF(VLOOKUP($D39,Flight!$A$1:$E$91,4,FALSE)&gt;1,VLOOKUP($D39,Flight!$A$1:$E119,4,FALSE),""),"")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7"/>
        <v/>
      </c>
      <c r="L39" s="166"/>
      <c r="M39" s="167"/>
      <c r="O39" s="4"/>
      <c r="P39" s="88"/>
      <c r="Q39" s="4"/>
      <c r="R39" s="4"/>
    </row>
    <row r="40" spans="1:18">
      <c r="A40" s="9">
        <f>IF($F40="Wavied","-",IF($D40=0,"",ROW($A40)-ROW($A$8)+1-COUNTIF($A$8:$A39,"@")-COUNTIF($A$8:$A39,"-")))</f>
        <v>33</v>
      </c>
      <c r="B40" s="9" t="str">
        <f t="shared" si="6"/>
        <v>-</v>
      </c>
      <c r="C40" s="9" t="str">
        <f t="shared" ref="C40:C43" si="8">IF($E40&lt;&gt;"",IF(ISNUMBER(SEARCH("Hall Operation",$K40)),"-",IF($E40-715&lt;0,VLOOKUP($B$3,$E$63:$J$74,6,FALSE),IF($E40-2129&gt;0,VLOOKUP($L$3,$E$63:$J$74,6,FALSE),""))),"")</f>
        <v>S1</v>
      </c>
      <c r="D40" s="27" t="s">
        <v>390</v>
      </c>
      <c r="E40" s="172" t="str">
        <f>IF($D40&gt;0,VLOOKUP($D40,Flight!$A$1:$E$91,2,FALSE),"")</f>
        <v>2155</v>
      </c>
      <c r="F40" s="45"/>
      <c r="G40" s="43" t="str">
        <f t="shared" si="3"/>
        <v/>
      </c>
      <c r="H40" s="44" t="str">
        <f>IF($D40&gt;0,VLOOKUP($D40,Flight!$A$1:$E$91,3,FALSE),"")</f>
        <v>DOH</v>
      </c>
      <c r="I40" s="44" t="str">
        <f>IF($D40&gt;0,IF(VLOOKUP($D40,Flight!$A$1:$E$91,4,FALSE)&gt;1,VLOOKUP($D40,Flight!$A$1:$E120,4,FALSE),""),"")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7"/>
        <v/>
      </c>
      <c r="L40" s="166"/>
      <c r="M40" s="167"/>
      <c r="O40" s="4"/>
      <c r="P40" s="4"/>
      <c r="Q40" s="4"/>
      <c r="R40" s="4"/>
    </row>
    <row r="41" spans="1:18" ht="16.5">
      <c r="A41" s="9">
        <f>IF($F41="Wavied","-",IF($D41=0,"",ROW($A41)-ROW($A$8)+1-COUNTIF($A$8:$A40,"@")-COUNTIF($A$8:$A40,"-")))</f>
        <v>34</v>
      </c>
      <c r="B41" s="9" t="str">
        <f t="shared" si="6"/>
        <v>-</v>
      </c>
      <c r="C41" s="9" t="str">
        <f t="shared" si="8"/>
        <v>S1</v>
      </c>
      <c r="D41" s="27" t="s">
        <v>392</v>
      </c>
      <c r="E41" s="172" t="str">
        <f>IF($D41&gt;0,VLOOKUP($D41,Flight!$A$1:$E$91,2,FALSE),"")</f>
        <v>2320</v>
      </c>
      <c r="F41" s="45"/>
      <c r="G41" s="43" t="str">
        <f t="shared" si="3"/>
        <v/>
      </c>
      <c r="H41" s="44" t="str">
        <f>IF($D41&gt;0,VLOOKUP($D41,Flight!$A$1:$E$91,3,FALSE),"")</f>
        <v>BKK</v>
      </c>
      <c r="I41" s="44" t="str">
        <f>IF($D41&gt;0,IF(VLOOKUP($D41,Flight!$A$1:$E$91,4,FALSE)&gt;1,VLOOKUP($D41,Flight!$A$1:$E121,4,FALSE),""),"")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7"/>
        <v/>
      </c>
      <c r="L41" s="166"/>
      <c r="M41" s="166"/>
      <c r="O41" s="4"/>
      <c r="P41" s="89"/>
      <c r="Q41" s="4"/>
      <c r="R41" s="4"/>
    </row>
    <row r="42" spans="1:18" ht="16.5">
      <c r="A42" s="9" t="str">
        <f>IF($F42="Wavied","-",IF($D42=0,"",ROW($A42)-ROW($A$8)+1-COUNTIF($A$8:$A41,"@")-COUNTIF($A$8:$A41,"-")))</f>
        <v/>
      </c>
      <c r="B42" s="9" t="str">
        <f t="shared" si="6"/>
        <v/>
      </c>
      <c r="C42" s="9" t="str">
        <f t="shared" si="8"/>
        <v/>
      </c>
      <c r="D42" s="27"/>
      <c r="E42" s="172" t="str">
        <f>IF($D42&gt;0,VLOOKUP($D42,Flight!$A$1:$E$91,2,FALSE),"")</f>
        <v/>
      </c>
      <c r="F42" s="45"/>
      <c r="G42" s="43" t="str">
        <f t="shared" si="3"/>
        <v/>
      </c>
      <c r="H42" s="44" t="str">
        <f>IF($D42&gt;0,VLOOKUP($D42,Flight!$A$1:$E$91,3,FALSE),"")</f>
        <v/>
      </c>
      <c r="I42" s="44" t="str">
        <f>IF($D42&gt;0,IF(VLOOKUP($D42,Flight!$A$1:$E$91,4,FALSE)&gt;1,VLOOKUP($D42,Flight!$A$1:$E124,4,FALSE),""),"")</f>
        <v/>
      </c>
      <c r="J42" s="44" t="str">
        <f>IF($D42&gt;0,IF(VLOOKUP($D42,Flight!$A$1:$E$91,5,FALSE)&gt;1,VLOOKUP($D42,Flight!$A$1:$E$91,5,FALSE),""),"")</f>
        <v/>
      </c>
      <c r="K42" s="166" t="str">
        <f t="shared" si="7"/>
        <v/>
      </c>
      <c r="L42" s="166"/>
      <c r="M42" s="166"/>
      <c r="O42" s="4"/>
      <c r="P42" s="89"/>
      <c r="Q42" s="4"/>
      <c r="R42" s="4"/>
    </row>
    <row r="43" spans="1:18" ht="16.5">
      <c r="A43" s="9" t="str">
        <f>IF($F43="Wavied","-",IF($D43=0,"",ROW($A43)-ROW($A$8)+1-COUNTIF($A$8:$A42,"@")-COUNTIF($A$8:$A42,"-")))</f>
        <v/>
      </c>
      <c r="B43" s="9" t="str">
        <f t="shared" si="6"/>
        <v/>
      </c>
      <c r="C43" s="9" t="str">
        <f t="shared" si="8"/>
        <v/>
      </c>
      <c r="D43" s="27"/>
      <c r="E43" s="172" t="str">
        <f>IF($D43&gt;0,VLOOKUP($D43,Flight!$A$1:$E$91,2,FALSE),"")</f>
        <v/>
      </c>
      <c r="F43" s="45"/>
      <c r="G43" s="43" t="str">
        <f t="shared" si="3"/>
        <v/>
      </c>
      <c r="H43" s="44" t="str">
        <f>IF($D43&gt;0,VLOOKUP($D43,Flight!$A$1:$E$91,3,FALSE),"")</f>
        <v/>
      </c>
      <c r="I43" s="44" t="str">
        <f>IF($D43&gt;0,IF(VLOOKUP($D43,Flight!$A$1:$E$91,4,FALSE)&gt;1,VLOOKUP($D43,Flight!$A$1:$E125,4,FALSE),""),"")</f>
        <v/>
      </c>
      <c r="J43" s="44" t="str">
        <f>IF($D43&gt;0,IF(VLOOKUP($D43,Flight!$A$1:$E$91,5,FALSE)&gt;1,VLOOKUP($D43,Flight!$A$1:$E$91,5,FALSE),""),"")</f>
        <v/>
      </c>
      <c r="K43" s="166" t="str">
        <f t="shared" si="7"/>
        <v/>
      </c>
      <c r="L43" s="166"/>
      <c r="M43" s="166"/>
      <c r="O43" s="4"/>
      <c r="P43" s="89"/>
      <c r="Q43" s="4"/>
      <c r="R43" s="4"/>
    </row>
    <row r="44" spans="1:18">
      <c r="A44" s="376" t="s">
        <v>5</v>
      </c>
      <c r="B44" s="376"/>
      <c r="C44" s="376"/>
      <c r="D44" s="376"/>
      <c r="E44" s="376"/>
      <c r="F44" s="376"/>
      <c r="G44" s="50"/>
      <c r="H44" s="246" t="s">
        <v>40</v>
      </c>
      <c r="I44" s="377"/>
      <c r="J44" s="377"/>
      <c r="K44" s="377"/>
      <c r="L44" s="377"/>
      <c r="M44" s="377"/>
      <c r="N44" s="5"/>
    </row>
    <row r="45" spans="1:18">
      <c r="A45" s="379" t="s">
        <v>35</v>
      </c>
      <c r="B45" s="379"/>
      <c r="C45" s="379" t="s">
        <v>31</v>
      </c>
      <c r="D45" s="379"/>
      <c r="E45" s="379"/>
      <c r="F45" s="379"/>
      <c r="G45" s="379"/>
      <c r="H45" s="379"/>
      <c r="I45" s="378"/>
      <c r="J45" s="378"/>
      <c r="K45" s="378"/>
      <c r="L45" s="378"/>
      <c r="M45" s="378"/>
    </row>
    <row r="46" spans="1:18">
      <c r="A46" s="379"/>
      <c r="B46" s="379"/>
      <c r="C46" s="379"/>
      <c r="D46" s="379"/>
      <c r="E46" s="379"/>
      <c r="F46" s="379"/>
      <c r="G46" s="379"/>
      <c r="H46" s="379"/>
      <c r="I46" s="51"/>
      <c r="J46" s="51"/>
      <c r="K46" s="6"/>
      <c r="L46" s="6"/>
      <c r="M46" s="6"/>
    </row>
    <row r="47" spans="1:18">
      <c r="A47" s="389" t="s">
        <v>216</v>
      </c>
      <c r="B47" s="389"/>
      <c r="C47" s="243" t="s">
        <v>924</v>
      </c>
      <c r="D47" s="375" t="s">
        <v>923</v>
      </c>
      <c r="E47" s="375"/>
      <c r="F47" s="240" t="s">
        <v>215</v>
      </c>
      <c r="G47" s="390" t="s">
        <v>925</v>
      </c>
      <c r="H47" s="390"/>
      <c r="I47" s="391" t="s">
        <v>223</v>
      </c>
      <c r="J47" s="391"/>
      <c r="K47" s="375" t="str">
        <f>IF(COUNTIF($E$63:$E$66,$E$59)&gt;0,Staff!$G$2,"")&amp;IF(COUNTIF($E$67:$E$70,$E$59)&gt;0,Staff!$G$3,"")&amp;IF(COUNTIF($E$71:$E$74,$E$59)&gt;0,Staff!$G$4,"")</f>
        <v>HO, KING KAI</v>
      </c>
      <c r="L47" s="375"/>
      <c r="M47" s="375"/>
    </row>
    <row r="48" spans="1:18">
      <c r="A48" s="389" t="s">
        <v>217</v>
      </c>
      <c r="B48" s="389"/>
      <c r="C48" s="243" t="str">
        <f>VLOOKUP($D$48,Staff!$B$2:$D$41,2,FALSE)</f>
        <v>CIA</v>
      </c>
      <c r="D48" s="375" t="str">
        <f>VLOOKUP(VLOOKUP($E$60,$E$63:$J$74,6,FALSE),Staff!$A$2:$D$13,2,FALSE)</f>
        <v>WO LO</v>
      </c>
      <c r="E48" s="375"/>
      <c r="F48" s="240" t="s">
        <v>215</v>
      </c>
      <c r="G48" s="390" t="str">
        <f>VLOOKUP($D$48,Staff!$B$2:$D$39,3,FALSE)</f>
        <v>9425 1098</v>
      </c>
      <c r="H48" s="390"/>
      <c r="I48" s="391" t="s">
        <v>224</v>
      </c>
      <c r="J48" s="391"/>
      <c r="K48" s="375" t="s">
        <v>425</v>
      </c>
      <c r="L48" s="375"/>
      <c r="M48" s="375"/>
    </row>
    <row r="49" spans="1:14">
      <c r="A49" s="245"/>
      <c r="B49" s="245"/>
      <c r="C49" s="241"/>
      <c r="D49" s="395"/>
      <c r="E49" s="395"/>
      <c r="F49" s="239"/>
      <c r="G49" s="396"/>
      <c r="H49" s="396"/>
      <c r="I49" s="390"/>
      <c r="J49" s="390"/>
      <c r="K49" s="143"/>
      <c r="L49" s="143"/>
      <c r="M49" s="143"/>
    </row>
    <row r="50" spans="1:14">
      <c r="A50" s="397" t="s">
        <v>4</v>
      </c>
      <c r="B50" s="397"/>
      <c r="C50" s="396" t="s">
        <v>218</v>
      </c>
      <c r="D50" s="396"/>
      <c r="E50" s="396"/>
      <c r="F50" s="154" t="s">
        <v>213</v>
      </c>
      <c r="G50" s="398" t="str">
        <f>IF(COUNTIF($E$63:$E$66,$E$59)&gt;0,Staff!$G$14,"")&amp;IF(COUNTIF($E$67:$E$70,$E$59)&gt;0,Staff!$G$13,"")&amp;IF(COUNTIF($E$71:$E$74,$E$59)&gt;0,Staff!$G$12,"")</f>
        <v>CHIU, OI YU (F)</v>
      </c>
      <c r="H50" s="398"/>
      <c r="I50" s="398"/>
      <c r="J50" s="238" t="s">
        <v>209</v>
      </c>
      <c r="K50" s="390" t="str">
        <f>VLOOKUP(VLOOKUP($B$3,$E$63:$J$74,6,FALSE),Staff!$F$22:$G$47,2,FALSE)</f>
        <v>CHEUNG, HANG KEI</v>
      </c>
      <c r="L50" s="390"/>
      <c r="M50" s="390"/>
      <c r="N50" s="12"/>
    </row>
    <row r="51" spans="1:14">
      <c r="A51" s="155"/>
      <c r="B51" s="155"/>
      <c r="C51" s="396" t="s">
        <v>219</v>
      </c>
      <c r="D51" s="396"/>
      <c r="E51" s="396"/>
      <c r="F51" s="154" t="s">
        <v>214</v>
      </c>
      <c r="G51" s="375" t="s">
        <v>426</v>
      </c>
      <c r="H51" s="375"/>
      <c r="I51" s="375"/>
      <c r="J51" s="238" t="s">
        <v>208</v>
      </c>
      <c r="K51" s="390" t="s">
        <v>436</v>
      </c>
      <c r="L51" s="390"/>
      <c r="M51" s="390"/>
    </row>
    <row r="52" spans="1:14">
      <c r="A52" s="244"/>
      <c r="B52" s="244"/>
      <c r="C52" s="241"/>
      <c r="D52" s="401"/>
      <c r="E52" s="401"/>
      <c r="F52" s="401"/>
      <c r="G52" s="401"/>
      <c r="H52" s="401"/>
      <c r="I52" s="401"/>
      <c r="J52" s="238" t="s">
        <v>210</v>
      </c>
      <c r="K52" s="390" t="s">
        <v>718</v>
      </c>
      <c r="L52" s="390"/>
      <c r="M52" s="390"/>
    </row>
    <row r="53" spans="1:14">
      <c r="A53" s="392" t="s">
        <v>3</v>
      </c>
      <c r="B53" s="393"/>
      <c r="C53" s="394" t="s">
        <v>220</v>
      </c>
      <c r="D53" s="394"/>
      <c r="E53" s="394"/>
      <c r="F53" s="397" t="s">
        <v>408</v>
      </c>
      <c r="G53" s="397"/>
      <c r="H53" s="397"/>
      <c r="I53" s="397"/>
      <c r="J53" s="238" t="s">
        <v>211</v>
      </c>
      <c r="K53" s="390" t="s">
        <v>428</v>
      </c>
      <c r="L53" s="390"/>
      <c r="M53" s="390"/>
    </row>
    <row r="54" spans="1:14">
      <c r="A54" s="393" t="s">
        <v>2</v>
      </c>
      <c r="B54" s="393"/>
      <c r="C54" s="411" t="s">
        <v>221</v>
      </c>
      <c r="D54" s="411"/>
      <c r="E54" s="411"/>
      <c r="F54" s="412" t="s">
        <v>1</v>
      </c>
      <c r="G54" s="412"/>
      <c r="H54" s="400" t="s">
        <v>409</v>
      </c>
      <c r="I54" s="400"/>
      <c r="J54" s="238" t="s">
        <v>212</v>
      </c>
      <c r="K54" s="390" t="s">
        <v>432</v>
      </c>
      <c r="L54" s="390"/>
      <c r="M54" s="390"/>
    </row>
    <row r="55" spans="1:14">
      <c r="A55" s="155"/>
      <c r="B55" s="155"/>
      <c r="C55" s="244"/>
      <c r="D55" s="399"/>
      <c r="E55" s="399"/>
      <c r="F55" s="391"/>
      <c r="G55" s="391"/>
      <c r="H55" s="400" t="s">
        <v>410</v>
      </c>
      <c r="I55" s="400"/>
      <c r="J55" s="236"/>
      <c r="K55" s="245"/>
      <c r="L55" s="245"/>
      <c r="M55" s="47"/>
    </row>
    <row r="56" spans="1:14" ht="16.5" customHeight="1">
      <c r="A56" s="392" t="s">
        <v>0</v>
      </c>
      <c r="B56" s="392"/>
      <c r="C56" s="407" t="s">
        <v>222</v>
      </c>
      <c r="D56" s="407"/>
      <c r="E56" s="407"/>
      <c r="F56" s="236"/>
      <c r="G56" s="238"/>
      <c r="H56" s="394" t="s">
        <v>411</v>
      </c>
      <c r="I56" s="394"/>
      <c r="J56" s="237"/>
      <c r="K56" s="245"/>
      <c r="L56" s="245"/>
      <c r="M56" s="47"/>
    </row>
    <row r="57" spans="1:14">
      <c r="C57" s="408"/>
      <c r="D57" s="408"/>
      <c r="E57" s="408"/>
      <c r="F57" s="408"/>
      <c r="G57" s="408"/>
      <c r="H57" s="408"/>
      <c r="J57" s="53"/>
      <c r="K57" s="112"/>
      <c r="L57" s="112"/>
    </row>
    <row r="58" spans="1:14" ht="16.5" thickBot="1">
      <c r="A58" s="3"/>
      <c r="B58" s="3"/>
      <c r="C58" s="3"/>
      <c r="D58" s="2"/>
      <c r="E58" s="39"/>
      <c r="F58" s="235"/>
      <c r="G58" s="235"/>
      <c r="I58" s="409"/>
      <c r="J58" s="409"/>
      <c r="K58" s="112"/>
      <c r="L58" s="112"/>
    </row>
    <row r="59" spans="1:14">
      <c r="D59" s="234"/>
      <c r="E59" s="90" t="s">
        <v>133</v>
      </c>
      <c r="F59" s="91" t="s">
        <v>135</v>
      </c>
      <c r="G59" s="91"/>
      <c r="H59" s="92"/>
      <c r="I59" s="234"/>
      <c r="J59" s="234"/>
    </row>
    <row r="60" spans="1:14" ht="16.5" thickBot="1">
      <c r="D60" s="234"/>
      <c r="E60" s="93" t="s">
        <v>134</v>
      </c>
      <c r="F60" s="94" t="s">
        <v>136</v>
      </c>
      <c r="G60" s="94"/>
      <c r="H60" s="95"/>
      <c r="I60" s="234"/>
      <c r="J60" s="234"/>
    </row>
    <row r="61" spans="1:14">
      <c r="D61" s="234"/>
      <c r="E61" s="234"/>
      <c r="F61" s="234"/>
      <c r="G61" s="234"/>
      <c r="H61" s="234"/>
      <c r="I61" s="234"/>
      <c r="J61" s="234"/>
    </row>
    <row r="62" spans="1:14" ht="16.5" thickBot="1">
      <c r="D62" s="85" t="s">
        <v>132</v>
      </c>
      <c r="E62" s="85" t="s">
        <v>19</v>
      </c>
      <c r="F62" s="85" t="s">
        <v>8</v>
      </c>
      <c r="G62" s="85" t="s">
        <v>7</v>
      </c>
      <c r="H62" s="85" t="s">
        <v>6</v>
      </c>
      <c r="I62" s="85" t="s">
        <v>98</v>
      </c>
      <c r="J62" s="234"/>
      <c r="K62" s="96" t="s">
        <v>302</v>
      </c>
      <c r="L62" s="96" t="s">
        <v>303</v>
      </c>
      <c r="M62" s="96"/>
    </row>
    <row r="63" spans="1:14">
      <c r="D63" s="97" t="s">
        <v>86</v>
      </c>
      <c r="E63" s="98" t="str">
        <f>_xlfn.IFNA(VLOOKUP(MOD((($D$1-WEEKDAY($D$1,2)+1)-45523)/7+21,24),Shift!$A$2:$H$25,WEEKDAY($D$1,2)+1),VLOOKUP(24,Shift!$A$2:$H$25,WEEKDAY($D$1,2)+1))</f>
        <v>P4</v>
      </c>
      <c r="F63" s="98">
        <v>1</v>
      </c>
      <c r="G63" s="98">
        <v>0</v>
      </c>
      <c r="H63" s="98">
        <v>5</v>
      </c>
      <c r="I63" s="99">
        <f t="shared" ref="I63:I74" si="9">IF(OR($E63="L",$E63="L#"),0,SUM($F63:$H63))</f>
        <v>6</v>
      </c>
      <c r="J63" s="136" t="s">
        <v>86</v>
      </c>
      <c r="K63" s="112" t="str">
        <f>IF(AND($F63&gt;1,$F63&lt;&gt;"?"),$F63-1,"")</f>
        <v/>
      </c>
      <c r="L63" s="112" t="str">
        <f>IF(AND($G63&gt;1,$G63&lt;&gt;"?"),$G63-1,"")</f>
        <v/>
      </c>
      <c r="M63" s="112"/>
    </row>
    <row r="64" spans="1:14">
      <c r="D64" s="100" t="s">
        <v>85</v>
      </c>
      <c r="E64" s="101" t="str">
        <f>_xlfn.IFNA(VLOOKUP(MOD((($D$1-WEEKDAY($D$1,2)+1)-45523)/7+3,24),Shift!$A$2:$H$25,WEEKDAY($D$1,2)+1),VLOOKUP(24,Shift!$A$2:$H$25,WEEKDAY($D$1,2)+1))</f>
        <v>P1</v>
      </c>
      <c r="F64" s="101">
        <v>1</v>
      </c>
      <c r="G64" s="101">
        <v>0</v>
      </c>
      <c r="H64" s="101">
        <v>5</v>
      </c>
      <c r="I64" s="102">
        <f t="shared" si="9"/>
        <v>6</v>
      </c>
      <c r="J64" s="137" t="s">
        <v>85</v>
      </c>
      <c r="K64" s="112" t="str">
        <f t="shared" ref="K64:K74" si="10">IF(AND($F64&gt;1,$F64&lt;&gt;"?"),$F64-1,"")</f>
        <v/>
      </c>
      <c r="L64" s="112" t="str">
        <f t="shared" ref="L64:L74" si="11">IF(AND($G64&gt;1,$G64&lt;&gt;"?"),$G64-1,"")</f>
        <v/>
      </c>
      <c r="M64" s="112"/>
    </row>
    <row r="65" spans="4:13">
      <c r="D65" s="100" t="s">
        <v>99</v>
      </c>
      <c r="E65" s="101" t="str">
        <f>_xlfn.IFNA(VLOOKUP(MOD((($D$1-WEEKDAY($D$1,2)+1)-45523)/7+9,24),Shift!$A$2:$H$25,WEEKDAY($D$1,2)+1),VLOOKUP(24,Shift!$A$2:$H$25,WEEKDAY($D$1,2)+1))</f>
        <v>P1 @</v>
      </c>
      <c r="F65" s="101">
        <v>1</v>
      </c>
      <c r="G65" s="101">
        <v>0</v>
      </c>
      <c r="H65" s="101">
        <v>4</v>
      </c>
      <c r="I65" s="102">
        <f t="shared" si="9"/>
        <v>5</v>
      </c>
      <c r="J65" s="137" t="s">
        <v>99</v>
      </c>
      <c r="K65" s="112" t="str">
        <f t="shared" si="10"/>
        <v/>
      </c>
      <c r="L65" s="112" t="str">
        <f t="shared" si="11"/>
        <v/>
      </c>
      <c r="M65" s="112"/>
    </row>
    <row r="66" spans="4:13" ht="16.5" thickBot="1">
      <c r="D66" s="103" t="s">
        <v>100</v>
      </c>
      <c r="E66" s="104" t="str">
        <f>_xlfn.IFNA(VLOOKUP(MOD((($D$1-WEEKDAY($D$1,2)+1)-45523)/7+15,24),Shift!$A$2:$H$25,WEEKDAY($D$1,2)+1),VLOOKUP(24,Shift!$A$2:$H$25,WEEKDAY($D$1,2)+1))</f>
        <v>A</v>
      </c>
      <c r="F66" s="104">
        <v>1</v>
      </c>
      <c r="G66" s="104">
        <v>0</v>
      </c>
      <c r="H66" s="104">
        <v>5</v>
      </c>
      <c r="I66" s="105">
        <f t="shared" si="9"/>
        <v>6</v>
      </c>
      <c r="J66" s="138" t="s">
        <v>100</v>
      </c>
      <c r="K66" s="112" t="str">
        <f t="shared" si="10"/>
        <v/>
      </c>
      <c r="L66" s="112" t="str">
        <f t="shared" si="11"/>
        <v/>
      </c>
      <c r="M66" s="112"/>
    </row>
    <row r="67" spans="4:13">
      <c r="D67" s="97" t="s">
        <v>101</v>
      </c>
      <c r="E67" s="98" t="str">
        <f>_xlfn.IFNA(VLOOKUP(MOD((($D$1-WEEKDAY($D$1,2)+1)-45523)/7+19,24),Shift!$A$2:$H$25,WEEKDAY($D$1,2)+1),VLOOKUP(24,Shift!$A$2:$H$25,WEEKDAY($D$1,2)+1))</f>
        <v>G1</v>
      </c>
      <c r="F67" s="98">
        <v>1</v>
      </c>
      <c r="G67" s="98">
        <v>1</v>
      </c>
      <c r="H67" s="98">
        <v>5</v>
      </c>
      <c r="I67" s="99">
        <f t="shared" si="9"/>
        <v>7</v>
      </c>
      <c r="J67" s="136" t="s">
        <v>101</v>
      </c>
      <c r="K67" s="112" t="str">
        <f t="shared" si="10"/>
        <v/>
      </c>
      <c r="L67" s="112" t="str">
        <f t="shared" si="11"/>
        <v/>
      </c>
      <c r="M67" s="112"/>
    </row>
    <row r="68" spans="4:13">
      <c r="D68" s="100" t="s">
        <v>102</v>
      </c>
      <c r="E68" s="101" t="str">
        <f>_xlfn.IFNA(VLOOKUP(MOD((($D$1-WEEKDAY($D$1,2)+1)-45523)/7+1,24),Shift!$A$2:$H$25,WEEKDAY($D$1,2)+1),VLOOKUP(24,Shift!$A$2:$H$25,WEEKDAY($D$1,2)+1))</f>
        <v>L</v>
      </c>
      <c r="F68" s="101">
        <f t="shared" ref="F68:H74" si="12">IF(OR($E68="L",$E68="L#"),0,"?")</f>
        <v>0</v>
      </c>
      <c r="G68" s="101">
        <f t="shared" si="12"/>
        <v>0</v>
      </c>
      <c r="H68" s="101">
        <f t="shared" si="12"/>
        <v>0</v>
      </c>
      <c r="I68" s="102">
        <f t="shared" si="9"/>
        <v>0</v>
      </c>
      <c r="J68" s="137" t="s">
        <v>102</v>
      </c>
      <c r="K68" s="112" t="str">
        <f t="shared" si="10"/>
        <v/>
      </c>
      <c r="L68" s="112" t="str">
        <f t="shared" si="11"/>
        <v/>
      </c>
      <c r="M68" s="112"/>
    </row>
    <row r="69" spans="4:13">
      <c r="D69" s="100" t="s">
        <v>103</v>
      </c>
      <c r="E69" s="101" t="str">
        <f>_xlfn.IFNA(VLOOKUP(MOD((($D$1-WEEKDAY($D$1,2)+1)-45523)/7+7,24),Shift!$A$2:$H$25,WEEKDAY($D$1,2)+1),VLOOKUP(24,Shift!$A$2:$H$25,WEEKDAY($D$1,2)+1))</f>
        <v>M</v>
      </c>
      <c r="F69" s="101">
        <v>1</v>
      </c>
      <c r="G69" s="101">
        <v>1</v>
      </c>
      <c r="H69" s="101">
        <v>5</v>
      </c>
      <c r="I69" s="102">
        <f t="shared" si="9"/>
        <v>7</v>
      </c>
      <c r="J69" s="137" t="s">
        <v>103</v>
      </c>
      <c r="K69" s="112" t="str">
        <f t="shared" si="10"/>
        <v/>
      </c>
      <c r="L69" s="112" t="str">
        <f t="shared" si="11"/>
        <v/>
      </c>
      <c r="M69" s="112"/>
    </row>
    <row r="70" spans="4:13" ht="16.5" thickBot="1">
      <c r="D70" s="103" t="s">
        <v>104</v>
      </c>
      <c r="E70" s="104" t="str">
        <f>_xlfn.IFNA(VLOOKUP(MOD((($D$1-WEEKDAY($D$1,2)+1)-45523)/7+13,24),Shift!$A$2:$H$25,WEEKDAY($D$1,2)+1),VLOOKUP(24,Shift!$A$2:$H$25,WEEKDAY($D$1,2)+1))</f>
        <v>M @</v>
      </c>
      <c r="F70" s="104">
        <v>1</v>
      </c>
      <c r="G70" s="104">
        <v>0</v>
      </c>
      <c r="H70" s="104">
        <v>5</v>
      </c>
      <c r="I70" s="105">
        <f t="shared" si="9"/>
        <v>6</v>
      </c>
      <c r="J70" s="138" t="s">
        <v>104</v>
      </c>
      <c r="K70" s="112" t="str">
        <f t="shared" si="10"/>
        <v/>
      </c>
      <c r="L70" s="112" t="str">
        <f t="shared" si="11"/>
        <v/>
      </c>
      <c r="M70" s="112"/>
    </row>
    <row r="71" spans="4:13">
      <c r="D71" s="97" t="s">
        <v>105</v>
      </c>
      <c r="E71" s="98" t="str">
        <f>_xlfn.IFNA(VLOOKUP(MOD((($D$1-WEEKDAY($D$1,2)+1)-45523)/7+17,24),Shift!$A$2:$H$25,WEEKDAY($D$1,2)+1),VLOOKUP(24,Shift!$A$2:$H$25,WEEKDAY($D$1,2)+1))</f>
        <v>L</v>
      </c>
      <c r="F71" s="98">
        <f t="shared" si="12"/>
        <v>0</v>
      </c>
      <c r="G71" s="98">
        <f t="shared" si="12"/>
        <v>0</v>
      </c>
      <c r="H71" s="98">
        <f t="shared" si="12"/>
        <v>0</v>
      </c>
      <c r="I71" s="99">
        <f t="shared" si="9"/>
        <v>0</v>
      </c>
      <c r="J71" s="136" t="s">
        <v>105</v>
      </c>
      <c r="K71" s="112" t="str">
        <f t="shared" si="10"/>
        <v/>
      </c>
      <c r="L71" s="112" t="str">
        <f t="shared" si="11"/>
        <v/>
      </c>
      <c r="M71" s="112"/>
    </row>
    <row r="72" spans="4:13">
      <c r="D72" s="100" t="s">
        <v>106</v>
      </c>
      <c r="E72" s="101" t="str">
        <f>_xlfn.IFNA(VLOOKUP(MOD((($D$1-WEEKDAY($D$1,2)+1)-45523)/7+23,24),Shift!$A$2:$H$25,WEEKDAY($D$1,2)+1),VLOOKUP(24,Shift!$A$2:$H$25,WEEKDAY($D$1,2)+1))</f>
        <v>L</v>
      </c>
      <c r="F72" s="101">
        <f t="shared" si="12"/>
        <v>0</v>
      </c>
      <c r="G72" s="101">
        <f t="shared" si="12"/>
        <v>0</v>
      </c>
      <c r="H72" s="101">
        <f t="shared" si="12"/>
        <v>0</v>
      </c>
      <c r="I72" s="102">
        <f t="shared" si="9"/>
        <v>0</v>
      </c>
      <c r="J72" s="137" t="s">
        <v>106</v>
      </c>
      <c r="K72" s="112" t="str">
        <f t="shared" si="10"/>
        <v/>
      </c>
      <c r="L72" s="112" t="str">
        <f t="shared" si="11"/>
        <v/>
      </c>
      <c r="M72" s="112"/>
    </row>
    <row r="73" spans="4:13">
      <c r="D73" s="100" t="s">
        <v>107</v>
      </c>
      <c r="E73" s="101" t="str">
        <f>_xlfn.IFNA(VLOOKUP(MOD((($D$1-WEEKDAY($D$1,2)+1)-45523)/7+5,24),Shift!$A$2:$H$25,WEEKDAY($D$1,2)+1),VLOOKUP(24,Shift!$A$2:$H$25,WEEKDAY($D$1,2)+1))</f>
        <v>L</v>
      </c>
      <c r="F73" s="101">
        <f t="shared" si="12"/>
        <v>0</v>
      </c>
      <c r="G73" s="101">
        <f t="shared" si="12"/>
        <v>0</v>
      </c>
      <c r="H73" s="101">
        <f t="shared" si="12"/>
        <v>0</v>
      </c>
      <c r="I73" s="102">
        <f t="shared" si="9"/>
        <v>0</v>
      </c>
      <c r="J73" s="137" t="s">
        <v>107</v>
      </c>
      <c r="K73" s="112" t="str">
        <f t="shared" si="10"/>
        <v/>
      </c>
      <c r="L73" s="112" t="str">
        <f t="shared" si="11"/>
        <v/>
      </c>
      <c r="M73" s="112"/>
    </row>
    <row r="74" spans="4:13" ht="16.5" thickBot="1">
      <c r="D74" s="103" t="s">
        <v>108</v>
      </c>
      <c r="E74" s="104" t="str">
        <f>_xlfn.IFNA(VLOOKUP(MOD((($D$1-WEEKDAY($D$1,2)+1)-45523)/7+11,24),Shift!$A$2:$H$25,WEEKDAY($D$1,2)+1),VLOOKUP(24,Shift!$A$2:$H$25,WEEKDAY($D$1,2)+1))</f>
        <v>L</v>
      </c>
      <c r="F74" s="104">
        <f t="shared" si="12"/>
        <v>0</v>
      </c>
      <c r="G74" s="104">
        <f t="shared" si="12"/>
        <v>0</v>
      </c>
      <c r="H74" s="104">
        <f t="shared" si="12"/>
        <v>0</v>
      </c>
      <c r="I74" s="105">
        <f t="shared" si="9"/>
        <v>0</v>
      </c>
      <c r="J74" s="138" t="s">
        <v>108</v>
      </c>
      <c r="K74" s="112" t="str">
        <f t="shared" si="10"/>
        <v/>
      </c>
      <c r="L74" s="112" t="str">
        <f t="shared" si="11"/>
        <v/>
      </c>
      <c r="M74" s="112"/>
    </row>
    <row r="75" spans="4:13">
      <c r="D75" s="144" t="s">
        <v>86</v>
      </c>
      <c r="E75" s="98" t="s">
        <v>127</v>
      </c>
      <c r="F75" s="98"/>
      <c r="G75" s="98"/>
      <c r="H75" s="98"/>
      <c r="I75" s="99">
        <f>IF(OR($E75="L",$E75="L#",$E75="?"),0,SUM($F75:$H75))</f>
        <v>0</v>
      </c>
      <c r="J75" s="234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234"/>
    </row>
    <row r="77" spans="4:13">
      <c r="D77" s="145" t="s">
        <v>137</v>
      </c>
      <c r="E77" s="101" t="s">
        <v>127</v>
      </c>
      <c r="F77" s="101"/>
      <c r="G77" s="101"/>
      <c r="H77" s="101"/>
      <c r="I77" s="102">
        <f>IF(OR($E77="L",$E77="L#",$E77="?"),0,SUM($F77:$H77))</f>
        <v>0</v>
      </c>
      <c r="J77" s="234"/>
    </row>
    <row r="78" spans="4:13" ht="16.5" thickBot="1">
      <c r="D78" s="146" t="s">
        <v>137</v>
      </c>
      <c r="E78" s="104" t="s">
        <v>127</v>
      </c>
      <c r="F78" s="106"/>
      <c r="G78" s="106"/>
      <c r="H78" s="106"/>
      <c r="I78" s="105">
        <f>IF(OR($E78="L",$E78="L#",$E78="?"),0,SUM($F78:$H78))</f>
        <v>0</v>
      </c>
      <c r="J78" s="234"/>
    </row>
    <row r="79" spans="4:13">
      <c r="D79" s="234"/>
      <c r="E79" s="96" t="s">
        <v>98</v>
      </c>
      <c r="F79" s="96" t="str">
        <f>SUM($F$63:$F$78)&amp;IF(SUM($F$63:$H$78)&gt;$I$79,"?","")</f>
        <v>7</v>
      </c>
      <c r="G79" s="96" t="str">
        <f>SUM($G$63:$G$78)&amp;IF(SUM($F$63:$H$78)&gt;$I$79,"?","")</f>
        <v>2</v>
      </c>
      <c r="H79" s="96" t="str">
        <f>SUM($H$63:$H$78)&amp;IF(SUM($F$63:$H$78)&gt;$I$79,"?","")</f>
        <v>34</v>
      </c>
      <c r="I79" s="96">
        <f>SUM(I63:I78)</f>
        <v>43</v>
      </c>
      <c r="J79" s="234"/>
    </row>
    <row r="80" spans="4:13">
      <c r="D80" s="234"/>
      <c r="E80" s="234"/>
      <c r="F80" s="112" t="str">
        <f>IF(SUM($F$63:$F$78)&gt;0,IF(SUM($K$63:$K$74)&gt;0,SUM($F$63:$F$78)-SUM($K$63:$K$74)&amp;"+"&amp;SUM(K63:K74)&amp;"(Fam)",""),"")</f>
        <v/>
      </c>
      <c r="G80" s="112" t="str">
        <f>IF(SUM($G$63:$G$78)&gt;0,IF(SUM($L$63:$L$74)&gt;0,SUM($G$63:$G$78)-SUM($L$63:$L$74)&amp;"+"&amp;SUM(L63:L74)&amp;"(Fam)",""),"")</f>
        <v/>
      </c>
      <c r="H80" s="112"/>
      <c r="I80" s="234"/>
      <c r="J80" s="234"/>
    </row>
    <row r="82" spans="4:6">
      <c r="D82" s="410" t="s">
        <v>281</v>
      </c>
      <c r="E82" s="410"/>
      <c r="F82" s="410"/>
    </row>
    <row r="83" spans="4:6">
      <c r="D83" s="49" t="str">
        <f>IF(Flight!$A$68=0,"",Flight!$A$68)</f>
        <v/>
      </c>
      <c r="E83" s="163"/>
      <c r="F83" s="164" t="str">
        <f>IF(D83="","",VLOOKUP(D83,Flight!$A$68:$C$91,3,FALSE))</f>
        <v/>
      </c>
    </row>
    <row r="84" spans="4:6">
      <c r="D84" s="49" t="str">
        <f>IF(Flight!$A69=0,"",Flight!$A69)</f>
        <v/>
      </c>
      <c r="F84" s="164" t="str">
        <f>IF(D84="","",VLOOKUP(D84,Flight!$A$68:$C$91,3,FALSE))</f>
        <v/>
      </c>
    </row>
    <row r="85" spans="4:6">
      <c r="D85" s="49" t="str">
        <f>IF(Flight!$A71=0,"",Flight!$A71)</f>
        <v>3A031</v>
      </c>
      <c r="F85" s="164" t="str">
        <f>IF(D85="","",VLOOKUP(D85,Flight!$A$68:$C$91,3,FALSE))</f>
        <v>ZTI</v>
      </c>
    </row>
    <row r="86" spans="4:6">
      <c r="D86" s="49" t="str">
        <f>IF(Flight!$A72=0,"",Flight!$A72)</f>
        <v>3A003</v>
      </c>
      <c r="F86" s="164" t="str">
        <f>IF(D86="","",VLOOKUP(D86,Flight!$A$68:$C$91,3,FALSE))</f>
        <v>ZYK</v>
      </c>
    </row>
    <row r="87" spans="4:6">
      <c r="D87" s="49" t="str">
        <f>IF(Flight!$A73=0,"",Flight!$A73)</f>
        <v>3A005</v>
      </c>
      <c r="F87" s="164" t="str">
        <f>IF(D87="","",VLOOKUP(D87,Flight!$A$68:$C$91,3,FALSE))</f>
        <v>HKM</v>
      </c>
    </row>
    <row r="88" spans="4:6">
      <c r="D88" s="49" t="str">
        <f>IF(Flight!$A74=0,"",Flight!$A74)</f>
        <v>3A007</v>
      </c>
      <c r="F88" s="164" t="str">
        <f>IF(D88="","",VLOOKUP(D88,Flight!$A$68:$C$91,3,FALSE))</f>
        <v>ZYK</v>
      </c>
    </row>
    <row r="89" spans="4:6">
      <c r="D89" s="49" t="str">
        <f>IF(Flight!$A75=0,"",Flight!$A75)</f>
        <v>3A008</v>
      </c>
      <c r="F89" s="164" t="str">
        <f>IF(D89="","",VLOOKUP(D89,Flight!$A$68:$C$91,3,FALSE))</f>
        <v>ZYK</v>
      </c>
    </row>
    <row r="90" spans="4:6">
      <c r="D90" s="49" t="str">
        <f>IF(Flight!$A76=0,"",Flight!$A76)</f>
        <v>3A009</v>
      </c>
      <c r="F90" s="164" t="str">
        <f>IF(D90="","",VLOOKUP(D90,Flight!$A$68:$C$91,3,FALSE))</f>
        <v>ZYK</v>
      </c>
    </row>
    <row r="91" spans="4:6">
      <c r="D91" s="49" t="str">
        <f>IF(Flight!$A77=0,"",Flight!$A77)</f>
        <v>3A010</v>
      </c>
      <c r="F91" s="164" t="str">
        <f>IF(D91="","",VLOOKUP(D91,Flight!$A$68:$C$91,3,FALSE))</f>
        <v>ZYK</v>
      </c>
    </row>
    <row r="92" spans="4:6">
      <c r="D92" s="49" t="str">
        <f>IF(Flight!$A78=0,"",Flight!$A78)</f>
        <v/>
      </c>
      <c r="F92" s="164" t="str">
        <f>IF(D92="","",VLOOKUP(D92,Flight!$A$68:$C$91,3,FALSE))</f>
        <v/>
      </c>
    </row>
    <row r="93" spans="4:6">
      <c r="D93" s="49" t="str">
        <f>IF(Flight!$A80=0,"",Flight!$A80)</f>
        <v>8S7121</v>
      </c>
      <c r="F93" s="164" t="str">
        <f>IF(D93="","",VLOOKUP(D93,Flight!$A$68:$C$91,3,FALSE))</f>
        <v>HKM</v>
      </c>
    </row>
    <row r="94" spans="4:6">
      <c r="D94" s="49" t="str">
        <f>IF(Flight!$A81=0,"",Flight!$A81)</f>
        <v>8S7108</v>
      </c>
      <c r="F94" s="164" t="str">
        <f>IF(D94="","",VLOOKUP(D94,Flight!$A$68:$C$91,3,FALSE))</f>
        <v>ZYK</v>
      </c>
    </row>
    <row r="95" spans="4:6">
      <c r="D95" s="49" t="str">
        <f>IF(Flight!$A82=0,"",Flight!$A82)</f>
        <v>8S7111</v>
      </c>
      <c r="F95" s="164" t="str">
        <f>IF(D95="","",VLOOKUP(D95,Flight!$A$68:$C$91,3,FALSE))</f>
        <v>ZYK</v>
      </c>
    </row>
    <row r="96" spans="4:6">
      <c r="D96" s="49" t="str">
        <f>IF(Flight!$A83=0,"",Flight!$A83)</f>
        <v>8S7131</v>
      </c>
      <c r="F96" s="164" t="str">
        <f>IF(D96="","",VLOOKUP(D96,Flight!$A$68:$C$91,3,FALSE))</f>
        <v>?</v>
      </c>
    </row>
    <row r="97" spans="4:6">
      <c r="D97" s="49" t="str">
        <f>IF(Flight!$A84=0,"",Flight!$A84)</f>
        <v>8S7119</v>
      </c>
      <c r="F97" s="164" t="str">
        <f>IF(D97="","",VLOOKUP(D97,Flight!$A$68:$C$91,3,FALSE))</f>
        <v>HKM</v>
      </c>
    </row>
    <row r="98" spans="4:6">
      <c r="D98" s="49" t="str">
        <f>IF(Flight!$A85=0,"",Flight!$A85)</f>
        <v>8S7126</v>
      </c>
      <c r="F98" s="164" t="str">
        <f>IF(D98="","",VLOOKUP(D98,Flight!$A$68:$C$91,3,FALSE))</f>
        <v>HKM</v>
      </c>
    </row>
    <row r="99" spans="4:6">
      <c r="D99" s="49" t="str">
        <f>IF(Flight!$A86=0,"",Flight!$A86)</f>
        <v>8S7128</v>
      </c>
      <c r="F99" s="164" t="str">
        <f>IF(D99="","",VLOOKUP(D99,Flight!$A$68:$C$91,3,FALSE))</f>
        <v>HKM</v>
      </c>
    </row>
    <row r="100" spans="4:6">
      <c r="D100" s="49" t="str">
        <f>IF(Flight!$A87=0,"",Flight!$A87)</f>
        <v>3A8010</v>
      </c>
      <c r="F100" s="164" t="str">
        <f>IF(D100="","",VLOOKUP(D100,Flight!$A$68:$C$91,3,FALSE))</f>
        <v>HZI</v>
      </c>
    </row>
    <row r="101" spans="4:6">
      <c r="D101" s="49" t="str">
        <f>IF(Flight!$A88=0,"",Flight!$A88)</f>
        <v>3A8015</v>
      </c>
      <c r="F101" s="164" t="str">
        <f>IF(D101="","",VLOOKUP(D101,Flight!$A$68:$C$91,3,FALSE))</f>
        <v>?</v>
      </c>
    </row>
    <row r="102" spans="4:6">
      <c r="D102" s="49" t="str">
        <f>IF(Flight!$A89=0,"",Flight!$A89)</f>
        <v>3A8016</v>
      </c>
      <c r="F102" s="164" t="str">
        <f>IF(D102="","",VLOOKUP(D102,Flight!$A$68:$C$91,3,FALSE))</f>
        <v>HZI</v>
      </c>
    </row>
    <row r="103" spans="4:6">
      <c r="D103" s="49" t="str">
        <f>IF(Flight!$A91=0,"",Flight!$A91)</f>
        <v xml:space="preserve">Last </v>
      </c>
      <c r="F103" s="164" t="str">
        <f>IF(D103="","",VLOOKUP(D103,Flight!$A$68:$C$91,3,FALSE))</f>
        <v>↑</v>
      </c>
    </row>
    <row r="104" spans="4:6">
      <c r="D104" s="49" t="str">
        <f>IF(Flight!$A92=0,"",Flight!$A92)</f>
        <v/>
      </c>
      <c r="F104" s="164" t="str">
        <f>IF(D104="","",VLOOKUP(D104,Flight!$A$68:$C$91,3,FALSE))</f>
        <v/>
      </c>
    </row>
    <row r="105" spans="4:6">
      <c r="D105" s="186"/>
      <c r="F105" s="187"/>
    </row>
    <row r="106" spans="4:6">
      <c r="D106" s="406" t="str">
        <f>IF(Flight!$A$93=0,"",Flight!$A$93)</f>
        <v>Target Flight</v>
      </c>
      <c r="E106" s="406"/>
      <c r="F106" s="406"/>
    </row>
    <row r="107" spans="4:6">
      <c r="D107" s="27" t="s">
        <v>59</v>
      </c>
      <c r="E107" s="158"/>
      <c r="F107" s="10" t="s">
        <v>38</v>
      </c>
    </row>
    <row r="108" spans="4:6">
      <c r="D108" s="27" t="s">
        <v>89</v>
      </c>
      <c r="E108" s="158"/>
      <c r="F108" s="10" t="s">
        <v>38</v>
      </c>
    </row>
    <row r="109" spans="4:6">
      <c r="D109" s="27" t="s">
        <v>254</v>
      </c>
      <c r="E109" s="158"/>
      <c r="F109" s="10" t="s">
        <v>38</v>
      </c>
    </row>
    <row r="110" spans="4:6">
      <c r="D110" s="27" t="s">
        <v>57</v>
      </c>
      <c r="E110" s="158"/>
      <c r="F110" s="10" t="s">
        <v>58</v>
      </c>
    </row>
    <row r="111" spans="4:6">
      <c r="D111" s="27" t="s">
        <v>198</v>
      </c>
      <c r="E111" s="158"/>
      <c r="F111" s="10" t="s">
        <v>199</v>
      </c>
    </row>
    <row r="112" spans="4:6">
      <c r="D112" s="27" t="s">
        <v>55</v>
      </c>
      <c r="E112" s="158"/>
      <c r="F112" s="10" t="s">
        <v>54</v>
      </c>
    </row>
    <row r="113" spans="4:6">
      <c r="D113" s="27" t="s">
        <v>39</v>
      </c>
      <c r="E113" s="158"/>
      <c r="F113" s="10" t="s">
        <v>38</v>
      </c>
    </row>
    <row r="114" spans="4:6">
      <c r="D114" s="27" t="s">
        <v>200</v>
      </c>
      <c r="E114" s="158"/>
      <c r="F114" s="10" t="s">
        <v>54</v>
      </c>
    </row>
    <row r="115" spans="4:6">
      <c r="D115" s="27" t="s">
        <v>201</v>
      </c>
      <c r="E115" s="158"/>
      <c r="F115" s="10" t="s">
        <v>38</v>
      </c>
    </row>
    <row r="116" spans="4:6">
      <c r="D116" s="161" t="s">
        <v>538</v>
      </c>
      <c r="E116" s="158"/>
      <c r="F116" s="159" t="s">
        <v>566</v>
      </c>
    </row>
    <row r="117" spans="4:6">
      <c r="D117" s="161"/>
      <c r="E117" s="158"/>
      <c r="F117" s="159"/>
    </row>
  </sheetData>
  <mergeCells count="76">
    <mergeCell ref="D106:F106"/>
    <mergeCell ref="A56:B56"/>
    <mergeCell ref="C56:E56"/>
    <mergeCell ref="H56:I56"/>
    <mergeCell ref="C57:H57"/>
    <mergeCell ref="I58:J58"/>
    <mergeCell ref="D82:F82"/>
    <mergeCell ref="A54:B54"/>
    <mergeCell ref="C54:E54"/>
    <mergeCell ref="F54:G54"/>
    <mergeCell ref="H54:I54"/>
    <mergeCell ref="K54:M54"/>
    <mergeCell ref="D55:E55"/>
    <mergeCell ref="F55:G55"/>
    <mergeCell ref="H55:I55"/>
    <mergeCell ref="D52:I52"/>
    <mergeCell ref="K52:M52"/>
    <mergeCell ref="K48:M48"/>
    <mergeCell ref="A53:B53"/>
    <mergeCell ref="C53:E53"/>
    <mergeCell ref="F53:I53"/>
    <mergeCell ref="K53:M53"/>
    <mergeCell ref="A50:B50"/>
    <mergeCell ref="C50:E50"/>
    <mergeCell ref="G50:I50"/>
    <mergeCell ref="K50:M50"/>
    <mergeCell ref="C51:E51"/>
    <mergeCell ref="G51:I51"/>
    <mergeCell ref="K51:M51"/>
    <mergeCell ref="D49:E49"/>
    <mergeCell ref="G49:H49"/>
    <mergeCell ref="I49:J49"/>
    <mergeCell ref="A48:B48"/>
    <mergeCell ref="A46:H46"/>
    <mergeCell ref="A47:B47"/>
    <mergeCell ref="D47:E47"/>
    <mergeCell ref="G47:H47"/>
    <mergeCell ref="I47:J47"/>
    <mergeCell ref="D48:E48"/>
    <mergeCell ref="G48:H48"/>
    <mergeCell ref="I48:J48"/>
    <mergeCell ref="K47:M47"/>
    <mergeCell ref="H6:H7"/>
    <mergeCell ref="I6:I7"/>
    <mergeCell ref="J6:J7"/>
    <mergeCell ref="K6:M6"/>
    <mergeCell ref="A44:F44"/>
    <mergeCell ref="I44:M45"/>
    <mergeCell ref="A45:H45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E8:E43 H8:H43">
    <cfRule type="cellIs" dxfId="83" priority="5" operator="equal">
      <formula>""</formula>
    </cfRule>
  </conditionalFormatting>
  <conditionalFormatting sqref="F63:H80">
    <cfRule type="cellIs" dxfId="82" priority="4" operator="equal">
      <formula>"?"</formula>
    </cfRule>
  </conditionalFormatting>
  <conditionalFormatting sqref="D117:D1000 D8:D115">
    <cfRule type="duplicateValues" dxfId="81" priority="2"/>
  </conditionalFormatting>
  <conditionalFormatting sqref="D116">
    <cfRule type="duplicateValues" dxfId="80" priority="1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>
          <x14:formula1>
            <xm:f>Staff!$B$15:$B$39</xm:f>
          </x14:formula1>
          <xm:sqref>D48:E48</xm:sqref>
        </x14:dataValidation>
        <x14:dataValidation type="list" allowBlank="1" showInputMessage="1">
          <x14:formula1>
            <xm:f>Staff!$B$15:$B$39</xm:f>
          </x14:formula1>
          <xm:sqref>D47:E47</xm:sqref>
        </x14:dataValidation>
        <x14:dataValidation type="list" allowBlank="1" showInputMessage="1">
          <x14:formula1>
            <xm:f>Staff!$G$22:$G$52</xm:f>
          </x14:formula1>
          <xm:sqref>K50:M50</xm:sqref>
        </x14:dataValidation>
        <x14:dataValidation type="list" allowBlank="1" showInputMessage="1">
          <x14:formula1>
            <xm:f>Staff!$G$23:$G$52</xm:f>
          </x14:formula1>
          <xm:sqref>K51:M54</xm:sqref>
        </x14:dataValidation>
        <x14:dataValidation type="list" allowBlank="1" showInputMessage="1">
          <x14:formula1>
            <xm:f>Staff!$G$12:$G$52</xm:f>
          </x14:formula1>
          <xm:sqref>G50:I51</xm:sqref>
        </x14:dataValidation>
        <x14:dataValidation type="list" allowBlank="1" showInputMessage="1">
          <x14:formula1>
            <xm:f>Staff!$G$2:$G$9</xm:f>
          </x14:formula1>
          <xm:sqref>K47:M48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zoomScale="96" zoomScaleNormal="100" zoomScaleSheetLayoutView="96" workbookViewId="0">
      <selection activeCell="B5" sqref="B5:C5"/>
    </sheetView>
  </sheetViews>
  <sheetFormatPr defaultRowHeight="15.75"/>
  <cols>
    <col min="1" max="1" width="9.125" style="234" customWidth="1"/>
    <col min="2" max="2" width="10.25" style="234" customWidth="1"/>
    <col min="3" max="3" width="9.75" style="234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235" customWidth="1"/>
    <col min="9" max="9" width="9" style="54" customWidth="1"/>
    <col min="10" max="10" width="9.125" style="54" customWidth="1"/>
    <col min="11" max="13" width="9.125" style="234" customWidth="1"/>
    <col min="14" max="14" width="9" style="234"/>
    <col min="15" max="15" width="10.75" style="112" bestFit="1" customWidth="1"/>
    <col min="16" max="16" width="12.25" style="234" bestFit="1" customWidth="1"/>
    <col min="17" max="16384" width="9" style="234"/>
  </cols>
  <sheetData>
    <row r="1" spans="1:16">
      <c r="A1" s="244"/>
      <c r="B1" s="244"/>
      <c r="C1" s="108" t="s">
        <v>20</v>
      </c>
      <c r="D1" s="355">
        <v>45760</v>
      </c>
      <c r="E1" s="355"/>
      <c r="F1" s="238" t="s">
        <v>23</v>
      </c>
      <c r="G1" s="110">
        <f>D1</f>
        <v>45760</v>
      </c>
      <c r="H1" s="242" t="s">
        <v>24</v>
      </c>
      <c r="I1" s="239"/>
      <c r="J1" s="239"/>
      <c r="K1" s="244"/>
      <c r="L1" s="244"/>
      <c r="M1" s="47"/>
    </row>
    <row r="2" spans="1:16" ht="17.25" customHeight="1" thickBot="1">
      <c r="A2" s="244"/>
      <c r="B2" s="244"/>
      <c r="C2" s="244"/>
      <c r="D2" s="356"/>
      <c r="E2" s="356"/>
      <c r="F2" s="239"/>
      <c r="G2" s="357"/>
      <c r="H2" s="357"/>
      <c r="I2" s="357"/>
      <c r="J2" s="239"/>
      <c r="K2" s="244"/>
      <c r="L2" s="244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S1(7)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 &lt;S5(6)&gt;  S8(7)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>-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S7(6)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 &lt;S9(5)&gt;  S10(7) S11(6)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S12(5)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247" t="s">
        <v>52</v>
      </c>
      <c r="C7" s="247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13" si="0">IF($E8&lt;&gt;"",IF($E8-715&lt;0,VLOOKUP($B$3,$E$62:$J$73,6,FALSE),IF(AND($E8-2130&gt;0,_xlfn.IFNA(MATCH($D8,$D$106:$D$116,0)&lt;20,"")=TRUE),VLOOKUP($L$3,$E$62:$J$73,6,FALSE),"-")),"")</f>
        <v>S1</v>
      </c>
      <c r="C8" s="9" t="str">
        <f t="shared" ref="C8:C18" si="1">IF($E8&lt;&gt;"",IF(ISNUMBER(SEARCH("Hall Operation",$K8)),"-",IF($E8-715&lt;0,VLOOKUP($B$3,$E$62:$J$73,6,FALSE),IF($E8-2129&gt;0,VLOOKUP($L$3,$E$62:$J$73,6,FALSE),""))),"")</f>
        <v>-</v>
      </c>
      <c r="D8" s="165" t="s">
        <v>659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16" si="2">IF($D8=0,"",IF(OR(ISNUMBER(SEARCH("S",$B8)),_xlfn.IFNA(MATCH($D8,$D$106:$D$116,0)&lt;20,"")=TRUE),"&lt;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>IF($F9="Wavied","-",IF($D9=0,"",ROW($A9)-ROW($A$8)+1-COUNTIF($A$8:$A8,"@")-COUNTIF($A$8:$A8,"-")))</f>
        <v>2</v>
      </c>
      <c r="B9" s="9" t="str">
        <f t="shared" si="0"/>
        <v>S1</v>
      </c>
      <c r="C9" s="9" t="str">
        <f t="shared" si="1"/>
        <v>-</v>
      </c>
      <c r="D9" s="336" t="s">
        <v>63</v>
      </c>
      <c r="E9" s="172" t="str">
        <f>IF($D9&gt;0,VLOOKUP($D9,Flight!$A$1:$E$91,2,FALSE),"")</f>
        <v>0545</v>
      </c>
      <c r="F9" s="45"/>
      <c r="G9" s="43" t="str">
        <f t="shared" ref="G9:G42" si="3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>IF($F10="Wavied","-",IF($D10=0,"",ROW($A10)-ROW($A$8)+1-COUNTIF($A$8:$A9,"@")-COUNTIF($A$8:$A9,"-")))</f>
        <v>3</v>
      </c>
      <c r="B10" s="9" t="str">
        <f t="shared" si="0"/>
        <v>S1</v>
      </c>
      <c r="C10" s="9" t="str">
        <f t="shared" si="1"/>
        <v>-</v>
      </c>
      <c r="D10" s="10" t="s">
        <v>660</v>
      </c>
      <c r="E10" s="172" t="str">
        <f>IF($D10&gt;0,VLOOKUP($D10,Flight!$A$1:$E$91,2,FALSE),"")</f>
        <v>0555</v>
      </c>
      <c r="F10" s="45"/>
      <c r="G10" s="43" t="str">
        <f t="shared" si="3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IF($F11="Wavied","-",IF($D11=0,"",ROW($A11)-ROW($A$8)+1-COUNTIF($A$8:$A10,"@")-COUNTIF($A$8:$A10,"-")))</f>
        <v>4</v>
      </c>
      <c r="B11" s="9" t="str">
        <f t="shared" si="0"/>
        <v>S1</v>
      </c>
      <c r="C11" s="9" t="str">
        <f t="shared" si="1"/>
        <v>-</v>
      </c>
      <c r="D11" s="213" t="s">
        <v>661</v>
      </c>
      <c r="E11" s="172" t="str">
        <f>IF($D11&gt;0,VLOOKUP($D11,Flight!$A$1:$E$91,2,FALSE),"")</f>
        <v>0615</v>
      </c>
      <c r="F11" s="43"/>
      <c r="G11" s="43" t="str">
        <f t="shared" si="3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>IF($F12="Wavied","-",IF($D12=0,"",ROW($A12)-ROW($A$8)+1-COUNTIF($A$8:$A11,"@")-COUNTIF($A$8:$A11,"-")))</f>
        <v>5</v>
      </c>
      <c r="B12" s="9" t="str">
        <f t="shared" si="0"/>
        <v>S1</v>
      </c>
      <c r="C12" s="9" t="str">
        <f t="shared" si="1"/>
        <v>-</v>
      </c>
      <c r="D12" s="27" t="s">
        <v>201</v>
      </c>
      <c r="E12" s="172" t="str">
        <f>IF($D12&gt;0,VLOOKUP($D12,Flight!$A$1:$E$91,2,FALSE),"")</f>
        <v>0640</v>
      </c>
      <c r="F12" s="45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>IF($F13="Wavied","-",IF($D13=0,"",ROW($A13)-ROW($A$8)+1-COUNTIF($A$8:$A12,"@")-COUNTIF($A$8:$A12,"-")))</f>
        <v>6</v>
      </c>
      <c r="B13" s="9" t="str">
        <f t="shared" si="0"/>
        <v>S1</v>
      </c>
      <c r="C13" s="9" t="str">
        <f t="shared" si="1"/>
        <v>-</v>
      </c>
      <c r="D13" s="213" t="s">
        <v>678</v>
      </c>
      <c r="E13" s="172" t="str">
        <f>IF($D13&gt;0,VLOOKUP($D13,Flight!$A$1:$E$91,2,FALSE),"")</f>
        <v>0700</v>
      </c>
      <c r="F13" s="46"/>
      <c r="G13" s="43" t="str">
        <f t="shared" si="3"/>
        <v/>
      </c>
      <c r="H13" s="44" t="str">
        <f>IF($D13&gt;0,VLOOKUP($D13,Flight!$A$1:$E$91,3,FALSE),"")</f>
        <v>BOM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f>IF($F14="Wavied","-",IF($D14=0,"",ROW($A14)-ROW($A$8)+1-COUNTIF($A$8:$A13,"@")-COUNTIF($A$8:$A13,"-")))</f>
        <v>7</v>
      </c>
      <c r="B14" s="9" t="s">
        <v>670</v>
      </c>
      <c r="C14" s="9" t="str">
        <f t="shared" si="1"/>
        <v>-</v>
      </c>
      <c r="D14" s="27" t="s">
        <v>663</v>
      </c>
      <c r="E14" s="172" t="str">
        <f>IF($D14&gt;0,VLOOKUP($D14,Flight!$A$1:$E$91,2,FALSE),"")</f>
        <v>0905</v>
      </c>
      <c r="F14" s="46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>IF($F15="Wavied","-",IF($D15=0,"",ROW($A15)-ROW($A$8)+1-COUNTIF($A$8:$A14,"@")-COUNTIF($A$8:$A14,"-")))</f>
        <v>8</v>
      </c>
      <c r="B15" s="9" t="s">
        <v>672</v>
      </c>
      <c r="C15" s="9" t="str">
        <f t="shared" si="1"/>
        <v>-</v>
      </c>
      <c r="D15" s="213" t="s">
        <v>679</v>
      </c>
      <c r="E15" s="172" t="str">
        <f>IF($D15&gt;0,VLOOKUP($D15,Flight!$A$1:$E$91,2,FALSE),"")</f>
        <v>0930</v>
      </c>
      <c r="F15" s="46"/>
      <c r="G15" s="43" t="str">
        <f t="shared" si="3"/>
        <v/>
      </c>
      <c r="H15" s="44" t="str">
        <f>IF($D15&gt;0,VLOOKUP($D15,Flight!$A$1:$E$91,3,FALSE),"")</f>
        <v>HYD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f>IF($F16="Wavied","-",IF($D16=0,"",ROW($A16)-ROW($A$8)+1-COUNTIF($A$8:$A15,"@")-COUNTIF($A$8:$A15,"-")))</f>
        <v>9</v>
      </c>
      <c r="B16" s="9" t="s">
        <v>670</v>
      </c>
      <c r="C16" s="9" t="str">
        <f t="shared" si="1"/>
        <v>-</v>
      </c>
      <c r="D16" s="213" t="s">
        <v>680</v>
      </c>
      <c r="E16" s="172" t="str">
        <f>IF($D16&gt;0,VLOOKUP($D16,Flight!$A$1:$E$91,2,FALSE),"")</f>
        <v>0935</v>
      </c>
      <c r="F16" s="45"/>
      <c r="G16" s="43" t="str">
        <f t="shared" si="3"/>
        <v/>
      </c>
      <c r="H16" s="44" t="str">
        <f>IF($D16&gt;0,VLOOKUP($D16,Flight!$A$1:$E$91,3,FALSE),"")</f>
        <v>BLR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f>IF($F17="Wavied","-",IF($D17=0,"",ROW($A17)-ROW($A$8)+1-COUNTIF($A$8:$A16,"@")-COUNTIF($A$8:$A16,"-")))</f>
        <v>10</v>
      </c>
      <c r="B17" s="9" t="s">
        <v>672</v>
      </c>
      <c r="C17" s="9" t="str">
        <f t="shared" si="1"/>
        <v>-</v>
      </c>
      <c r="D17" s="217" t="s">
        <v>198</v>
      </c>
      <c r="E17" s="172" t="str">
        <f>IF($D17&gt;0,VLOOKUP($D17,Flight!$A$1:$E$91,2,FALSE),"")</f>
        <v>0950</v>
      </c>
      <c r="F17" s="45"/>
      <c r="G17" s="43" t="str">
        <f t="shared" si="3"/>
        <v/>
      </c>
      <c r="H17" s="44" t="str">
        <f>IF($D17&gt;0,VLOOKUP($D17,Flight!$A$1:$E$91,3,FALSE),"")</f>
        <v>MAA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">
        <v>407</v>
      </c>
      <c r="L17" s="166"/>
      <c r="M17" s="166"/>
      <c r="O17" s="114"/>
    </row>
    <row r="18" spans="1:15">
      <c r="A18" s="9">
        <f>IF($F18="Wavied","-",IF($D18=0,"",ROW($A18)-ROW($A$8)+1-COUNTIF($A$8:$A17,"@")-COUNTIF($A$8:$A17,"-")))</f>
        <v>11</v>
      </c>
      <c r="B18" s="9" t="s">
        <v>670</v>
      </c>
      <c r="C18" s="9" t="str">
        <f t="shared" si="1"/>
        <v>-</v>
      </c>
      <c r="D18" s="213" t="s">
        <v>55</v>
      </c>
      <c r="E18" s="172" t="str">
        <f>IF($D18&gt;0,VLOOKUP($D18,Flight!$A$1:$E$91,2,FALSE),"")</f>
        <v>0955</v>
      </c>
      <c r="F18" s="45"/>
      <c r="G18" s="43" t="str">
        <f t="shared" si="3"/>
        <v/>
      </c>
      <c r="H18" s="44" t="str">
        <f>IF($D18&gt;0,VLOOKUP($D18,Flight!$A$1:$E$91,3,FALSE),"")</f>
        <v>BOM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ref="K18:K42" si="4">IF($D18=0,"",IF(OR(ISNUMBER(SEARCH("S",$B18)),_xlfn.IFNA(MATCH($D18,$D$106:$D$116,0)&lt;20,"")=TRUE),"&lt;   Hall Operation   &gt;",""))</f>
        <v>&lt;   Hall Operation   &gt;</v>
      </c>
      <c r="L18" s="166"/>
      <c r="M18" s="166"/>
      <c r="O18" s="114"/>
    </row>
    <row r="19" spans="1:15">
      <c r="A19" s="9">
        <f>IF($F19="Wavied","-",IF($D19=0,"",ROW($A19)-ROW($A$8)+1-COUNTIF($A$8:$A18,"@")-COUNTIF($A$8:$A18,"-")))</f>
        <v>12</v>
      </c>
      <c r="B19" s="9"/>
      <c r="C19" s="9" t="s">
        <v>672</v>
      </c>
      <c r="D19" s="10" t="s">
        <v>43</v>
      </c>
      <c r="E19" s="172" t="str">
        <f>IF($D19&gt;0,VLOOKUP($D19,Flight!$A$1:$E$91,2,FALSE),"")</f>
        <v>1000</v>
      </c>
      <c r="F19" s="45"/>
      <c r="G19" s="43" t="str">
        <f t="shared" si="3"/>
        <v/>
      </c>
      <c r="H19" s="44" t="str">
        <f>IF($D19&gt;0,VLOOKUP($D19,Flight!$A$1:$E$91,3,FALSE),"")</f>
        <v>DMK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4"/>
        <v/>
      </c>
      <c r="L19" s="166"/>
      <c r="M19" s="166"/>
      <c r="O19" s="114"/>
    </row>
    <row r="20" spans="1:15">
      <c r="A20" s="9">
        <f>IF($F20="Wavied","-",IF($D20=0,"",ROW($A20)-ROW($A$8)+1-COUNTIF($A$8:$A19,"@")-COUNTIF($A$8:$A19,"-")))</f>
        <v>13</v>
      </c>
      <c r="B20" s="9" t="str">
        <f>IF($E20&lt;&gt;"",IF($E20-715&lt;0,VLOOKUP($B$3,$E$62:$J$73,6,FALSE),IF(AND($E20-2130&gt;0,_xlfn.IFNA(MATCH($D20,$D$106:$D$116,0)&lt;20,"")=TRUE),VLOOKUP($L$3,$E$62:$J$73,6,FALSE),"-")),"")</f>
        <v>-</v>
      </c>
      <c r="C20" s="9" t="s">
        <v>670</v>
      </c>
      <c r="D20" s="27" t="s">
        <v>681</v>
      </c>
      <c r="E20" s="172" t="str">
        <f>IF($D20&gt;0,VLOOKUP($D20,Flight!$A$1:$E$91,2,FALSE),"")</f>
        <v>1010</v>
      </c>
      <c r="F20" s="45"/>
      <c r="G20" s="43" t="str">
        <f t="shared" si="3"/>
        <v/>
      </c>
      <c r="H20" s="44" t="str">
        <f>IF($D20&gt;0,VLOOKUP($D20,Flight!$A$1:$E$91,3,FALSE),"")</f>
        <v>MNL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4"/>
        <v/>
      </c>
      <c r="L20" s="166"/>
      <c r="M20" s="166"/>
      <c r="O20" s="114"/>
    </row>
    <row r="21" spans="1:15" ht="15.75" customHeight="1">
      <c r="A21" s="9">
        <f>IF($F21="Wavied","-",IF($D21=0,"",ROW($A21)-ROW($A$8)+1-COUNTIF($A$8:$A20,"@")-COUNTIF($A$8:$A20,"-")))</f>
        <v>14</v>
      </c>
      <c r="B21" s="9" t="str">
        <f>IF($E21&lt;&gt;"",IF($E21-715&lt;0,VLOOKUP($B$3,$E$62:$J$73,6,FALSE),IF(AND($E21-2130&gt;0,_xlfn.IFNA(MATCH($D21,$D$106:$D$116,0)&lt;20,"")=TRUE),VLOOKUP($L$3,$E$62:$J$73,6,FALSE),"-")),"")</f>
        <v>-</v>
      </c>
      <c r="C21" s="9" t="s">
        <v>673</v>
      </c>
      <c r="D21" s="27" t="s">
        <v>682</v>
      </c>
      <c r="E21" s="172" t="str">
        <f>IF($D21&gt;0,VLOOKUP($D21,Flight!$A$1:$E$91,2,FALSE),"")</f>
        <v>1115</v>
      </c>
      <c r="F21" s="44"/>
      <c r="G21" s="43" t="str">
        <f t="shared" si="3"/>
        <v/>
      </c>
      <c r="H21" s="44" t="str">
        <f>IF($D21&gt;0,VLOOKUP($D21,Flight!$A$1:$E$91,3,FALSE),"")</f>
        <v>KUL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4"/>
        <v/>
      </c>
      <c r="L21" s="166"/>
      <c r="M21" s="166"/>
      <c r="O21" s="114"/>
    </row>
    <row r="22" spans="1:15">
      <c r="A22" s="9">
        <f>IF($F22="Wavied","-",IF($D22=0,"",ROW($A22)-ROW($A$8)+1-COUNTIF($A$8:$A21,"@")-COUNTIF($A$8:$A21,"-")))</f>
        <v>15</v>
      </c>
      <c r="B22" s="9" t="str">
        <f>IF($E22&lt;&gt;"",IF($E22-715&lt;0,VLOOKUP($B$3,$E$62:$J$73,6,FALSE),IF(AND($E22-2130&gt;0,_xlfn.IFNA(MATCH($D22,$D$106:$D$116,0)&lt;20,"")=TRUE),VLOOKUP($L$3,$E$62:$J$73,6,FALSE),"-")),"")</f>
        <v>-</v>
      </c>
      <c r="C22" s="9" t="s">
        <v>672</v>
      </c>
      <c r="D22" s="27" t="s">
        <v>683</v>
      </c>
      <c r="E22" s="172" t="str">
        <f>IF($D22&gt;0,VLOOKUP($D22,Flight!$A$1:$E$91,2,FALSE),"")</f>
        <v>1145</v>
      </c>
      <c r="F22" s="44"/>
      <c r="G22" s="43" t="str">
        <f t="shared" si="3"/>
        <v/>
      </c>
      <c r="H22" s="44" t="str">
        <f>IF($D22&gt;0,VLOOKUP($D22,Flight!$A$1:$E$91,3,FALSE),"")</f>
        <v>BKK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4"/>
        <v/>
      </c>
      <c r="L22" s="166"/>
      <c r="M22" s="166"/>
      <c r="O22" s="114"/>
    </row>
    <row r="23" spans="1:15">
      <c r="A23" s="9">
        <f>IF($F23="Wavied","-",IF($D23=0,"",ROW($A23)-ROW($A$8)+1-COUNTIF($A$8:$A22,"@")-COUNTIF($A$8:$A22,"-")))</f>
        <v>16</v>
      </c>
      <c r="B23" s="9" t="str">
        <f>IF($E23&lt;&gt;"",IF($E23-715&lt;0,VLOOKUP($B$3,$E$62:$J$73,6,FALSE),IF(AND($E23-2130&gt;0,_xlfn.IFNA(MATCH($D23,$D$106:$D$116,0)&lt;20,"")=TRUE),VLOOKUP($L$3,$E$62:$J$73,6,FALSE),"-")),"")</f>
        <v>-</v>
      </c>
      <c r="C23" s="9" t="s">
        <v>673</v>
      </c>
      <c r="D23" s="27" t="s">
        <v>664</v>
      </c>
      <c r="E23" s="172" t="str">
        <f>IF($D23&gt;0,VLOOKUP($D23,Flight!$A$1:$E$91,2,FALSE),"")</f>
        <v>1210</v>
      </c>
      <c r="F23" s="44"/>
      <c r="G23" s="43" t="str">
        <f t="shared" si="3"/>
        <v/>
      </c>
      <c r="H23" s="44" t="str">
        <f>IF($D23&gt;0,VLOOKUP($D23,Flight!$A$1:$E$91,3,FALSE),"")</f>
        <v>BKK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4"/>
        <v/>
      </c>
      <c r="L23" s="166"/>
      <c r="M23" s="166"/>
      <c r="O23" s="114"/>
    </row>
    <row r="24" spans="1:15">
      <c r="A24" s="9">
        <f>IF($F24="Wavied","-",IF($D24=0,"",ROW($A24)-ROW($A$8)+1-COUNTIF($A$8:$A23,"@")-COUNTIF($A$8:$A23,"-")))</f>
        <v>17</v>
      </c>
      <c r="B24" s="9" t="str">
        <f>IF($E24&lt;&gt;"",IF($E24-715&lt;0,VLOOKUP($B$3,$E$62:$J$73,6,FALSE),IF(AND($E24-2130&gt;0,_xlfn.IFNA(MATCH($D24,$D$106:$D$116,0)&lt;20,"")=TRUE),VLOOKUP($L$3,$E$62:$J$73,6,FALSE),"-")),"")</f>
        <v>-</v>
      </c>
      <c r="C24" s="9" t="s">
        <v>670</v>
      </c>
      <c r="D24" s="9" t="s">
        <v>376</v>
      </c>
      <c r="E24" s="172" t="str">
        <f>IF($D24&gt;0,VLOOKUP($D24,Flight!$A$1:$E$91,2,FALSE),"")</f>
        <v>1305</v>
      </c>
      <c r="F24" s="45"/>
      <c r="G24" s="43" t="str">
        <f t="shared" si="3"/>
        <v/>
      </c>
      <c r="H24" s="44" t="str">
        <f>IF($D24&gt;0,VLOOKUP($D24,Flight!$A$1:$E$91,3,FALSE),"")</f>
        <v>DMK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4"/>
        <v/>
      </c>
      <c r="L24" s="166"/>
      <c r="M24" s="166"/>
      <c r="O24" s="114"/>
    </row>
    <row r="25" spans="1:15">
      <c r="A25" s="9">
        <f>IF($F25="Wavied","-",IF($D25=0,"",ROW($A25)-ROW($A$8)+1-COUNTIF($A$8:$A24,"@")-COUNTIF($A$8:$A24,"-")))</f>
        <v>18</v>
      </c>
      <c r="B25" s="9" t="s">
        <v>672</v>
      </c>
      <c r="C25" s="9" t="str">
        <f>IF($E25&lt;&gt;"",IF(ISNUMBER(SEARCH("Hall Operation",$K25)),"-",IF($E25-715&lt;0,VLOOKUP($B$3,$E$62:$J$73,6,FALSE),IF($E25-2129&gt;0,VLOOKUP($L$3,$E$62:$J$73,6,FALSE),""))),"")</f>
        <v>-</v>
      </c>
      <c r="D25" s="214" t="s">
        <v>377</v>
      </c>
      <c r="E25" s="172" t="str">
        <f>IF($D25&gt;0,VLOOKUP($D25,Flight!$A$1:$E$91,2,FALSE),"")</f>
        <v>1310</v>
      </c>
      <c r="F25" s="45"/>
      <c r="G25" s="43" t="str">
        <f t="shared" si="3"/>
        <v/>
      </c>
      <c r="H25" s="44" t="str">
        <f>IF($D25&gt;0,VLOOKUP($D25,Flight!$A$1:$E$91,3,FALSE),"")</f>
        <v>DEL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4"/>
        <v>&lt;   Hall Operation   &gt;</v>
      </c>
      <c r="L25" s="166"/>
      <c r="M25" s="166"/>
      <c r="O25" s="114"/>
    </row>
    <row r="26" spans="1:15">
      <c r="A26" s="9">
        <f>IF($F26="Wavied","-",IF($D26=0,"",ROW($A26)-ROW($A$8)+1-COUNTIF($A$8:$A25,"@")-COUNTIF($A$8:$A25,"-")))</f>
        <v>19</v>
      </c>
      <c r="B26" s="9" t="str">
        <f t="shared" ref="B26:B39" si="5">IF($E26&lt;&gt;"",IF($E26-715&lt;0,VLOOKUP($B$3,$E$62:$J$73,6,FALSE),IF(AND($E26-2130&gt;0,_xlfn.IFNA(MATCH($D26,$D$106:$D$116,0)&lt;20,"")=TRUE),VLOOKUP($L$3,$E$62:$J$73,6,FALSE),"-")),"")</f>
        <v>-</v>
      </c>
      <c r="C26" s="9" t="s">
        <v>673</v>
      </c>
      <c r="D26" s="27" t="s">
        <v>378</v>
      </c>
      <c r="E26" s="172" t="str">
        <f>IF($D26&gt;0,VLOOKUP($D26,Flight!$A$1:$E$91,2,FALSE),"")</f>
        <v>1415</v>
      </c>
      <c r="F26" s="44"/>
      <c r="G26" s="43" t="str">
        <f t="shared" si="3"/>
        <v/>
      </c>
      <c r="H26" s="44" t="str">
        <f>IF($D26&gt;0,VLOOKUP($D26,Flight!$A$1:$E$91,3,FALSE),"")</f>
        <v>KUL</v>
      </c>
      <c r="I26" s="44" t="str">
        <f>IF($D26&gt;0,IF(VLOOKUP($D26,Flight!$A$1:$E$91,4,FALSE)&gt;1,VLOOKUP($D26,Flight!$A$1:$E109,4,FALSE),""),"")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4"/>
        <v/>
      </c>
      <c r="L26" s="166"/>
      <c r="M26" s="166"/>
      <c r="O26" s="114"/>
    </row>
    <row r="27" spans="1:15">
      <c r="A27" s="9">
        <f>IF($F27="Wavied","-",IF($D27=0,"",ROW($A27)-ROW($A$8)+1-COUNTIF($A$8:$A26,"@")-COUNTIF($A$8:$A26,"-")))</f>
        <v>20</v>
      </c>
      <c r="B27" s="9" t="str">
        <f t="shared" si="5"/>
        <v>-</v>
      </c>
      <c r="C27" s="9" t="s">
        <v>673</v>
      </c>
      <c r="D27" s="27" t="s">
        <v>379</v>
      </c>
      <c r="E27" s="172" t="str">
        <f>IF($D27&gt;0,VLOOKUP($D27,Flight!$A$1:$E$91,2,FALSE),"")</f>
        <v>1420</v>
      </c>
      <c r="F27" s="45"/>
      <c r="G27" s="43" t="str">
        <f t="shared" si="3"/>
        <v/>
      </c>
      <c r="H27" s="44" t="str">
        <f>IF($D27&gt;0,VLOOKUP($D27,Flight!$A$1:$E$91,3,FALSE),"")</f>
        <v>BKK</v>
      </c>
      <c r="I27" s="44" t="str">
        <f>IF($D27&gt;0,IF(VLOOKUP($D27,Flight!$A$1:$E$91,4,FALSE)&gt;1,VLOOKUP($D27,Flight!$A$1:$E110,4,FALSE),""),"")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4"/>
        <v/>
      </c>
      <c r="L27" s="166"/>
      <c r="M27" s="166"/>
      <c r="O27" s="114"/>
    </row>
    <row r="28" spans="1:15">
      <c r="A28" s="9">
        <f>IF($F28="Wavied","-",IF($D28=0,"",ROW($A28)-ROW($A$8)+1-COUNTIF($A$8:$A27,"@")-COUNTIF($A$8:$A27,"-")))</f>
        <v>21</v>
      </c>
      <c r="B28" s="9" t="str">
        <f t="shared" si="5"/>
        <v>-</v>
      </c>
      <c r="C28" s="9" t="s">
        <v>738</v>
      </c>
      <c r="D28" s="27" t="s">
        <v>665</v>
      </c>
      <c r="E28" s="172" t="str">
        <f>IF($D28&gt;0,VLOOKUP($D28,Flight!$A$1:$E$91,2,FALSE),"")</f>
        <v>1450</v>
      </c>
      <c r="F28" s="45"/>
      <c r="G28" s="43" t="str">
        <f t="shared" si="3"/>
        <v/>
      </c>
      <c r="H28" s="44" t="str">
        <f>IF($D28&gt;0,VLOOKUP($D28,Flight!$A$1:$E$91,3,FALSE),"")</f>
        <v>BKK</v>
      </c>
      <c r="I28" s="44" t="str">
        <f>IF($D28&gt;0,IF(VLOOKUP($D28,Flight!$A$1:$E$91,4,FALSE)&gt;1,VLOOKUP($D28,Flight!$A$1:$E111,4,FALSE),""),"")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4"/>
        <v/>
      </c>
      <c r="L28" s="166"/>
      <c r="M28" s="166"/>
    </row>
    <row r="29" spans="1:15">
      <c r="A29" s="9">
        <f>IF($F29="Wavied","-",IF($D29=0,"",ROW($A29)-ROW($A$8)+1-COUNTIF($A$8:$A28,"@")-COUNTIF($A$8:$A28,"-")))</f>
        <v>22</v>
      </c>
      <c r="B29" s="9" t="str">
        <f t="shared" si="5"/>
        <v>-</v>
      </c>
      <c r="C29" s="9" t="s">
        <v>739</v>
      </c>
      <c r="D29" s="27" t="s">
        <v>684</v>
      </c>
      <c r="E29" s="172">
        <v>1455</v>
      </c>
      <c r="F29" s="49"/>
      <c r="G29" s="43" t="str">
        <f t="shared" si="3"/>
        <v/>
      </c>
      <c r="H29" s="44" t="str">
        <f>IF($D29&gt;0,VLOOKUP($D29,Flight!$A$1:$E$91,3,FALSE),"")</f>
        <v>ADD</v>
      </c>
      <c r="I29" s="44" t="str">
        <f>IF($D29&gt;0,IF(VLOOKUP($D29,Flight!$A$1:$E$91,4,FALSE)&gt;1,VLOOKUP($D29,Flight!$A$1:$E112,4,FALSE),""),"")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4"/>
        <v/>
      </c>
      <c r="L29" s="166"/>
      <c r="M29" s="166"/>
    </row>
    <row r="30" spans="1:15">
      <c r="A30" s="9">
        <f>IF($F30="Wavied","-",IF($D30=0,"",ROW($A30)-ROW($A$8)+1-COUNTIF($A$8:$A29,"@")-COUNTIF($A$8:$A29,"-")))</f>
        <v>23</v>
      </c>
      <c r="B30" s="9" t="str">
        <f t="shared" si="5"/>
        <v>-</v>
      </c>
      <c r="C30" s="9" t="s">
        <v>740</v>
      </c>
      <c r="D30" s="27" t="s">
        <v>47</v>
      </c>
      <c r="E30" s="172" t="str">
        <f>IF($D30&gt;0,VLOOKUP($D30,Flight!$A$1:$E$91,2,FALSE),"")</f>
        <v>1510</v>
      </c>
      <c r="F30" s="45"/>
      <c r="G30" s="43" t="str">
        <f t="shared" si="3"/>
        <v/>
      </c>
      <c r="H30" s="44" t="str">
        <f>IF($D30&gt;0,VLOOKUP($D30,Flight!$A$1:$E$91,3,FALSE),"")</f>
        <v>DOH</v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4"/>
        <v/>
      </c>
      <c r="L30" s="166"/>
      <c r="M30" s="166"/>
    </row>
    <row r="31" spans="1:15">
      <c r="A31" s="9">
        <f>IF($F31="Wavied","-",IF($D31=0,"",ROW($A31)-ROW($A$8)+1-COUNTIF($A$8:$A30,"@")-COUNTIF($A$8:$A30,"-")))</f>
        <v>24</v>
      </c>
      <c r="B31" s="9" t="str">
        <f t="shared" si="5"/>
        <v>-</v>
      </c>
      <c r="C31" s="9" t="s">
        <v>738</v>
      </c>
      <c r="D31" s="27" t="s">
        <v>73</v>
      </c>
      <c r="E31" s="172" t="str">
        <f>IF($D31&gt;0,VLOOKUP($D31,Flight!$A$1:$E$91,2,FALSE),"")</f>
        <v>1715</v>
      </c>
      <c r="F31" s="45"/>
      <c r="G31" s="43" t="str">
        <f t="shared" si="3"/>
        <v/>
      </c>
      <c r="H31" s="44" t="str">
        <f>IF($D31&gt;0,VLOOKUP($D31,Flight!$A$1:$E$91,3,FALSE),"")</f>
        <v>IST</v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4"/>
        <v/>
      </c>
      <c r="L31" s="166"/>
      <c r="M31" s="166"/>
    </row>
    <row r="32" spans="1:15">
      <c r="A32" s="9">
        <f>IF($F32="Wavied","-",IF($D32=0,"",ROW($A32)-ROW($A$8)+1-COUNTIF($A$8:$A31,"@")-COUNTIF($A$8:$A31,"-")))</f>
        <v>25</v>
      </c>
      <c r="B32" s="9" t="str">
        <f t="shared" si="5"/>
        <v>-</v>
      </c>
      <c r="C32" s="9" t="s">
        <v>738</v>
      </c>
      <c r="D32" s="27" t="s">
        <v>398</v>
      </c>
      <c r="E32" s="172" t="str">
        <f>IF($D32&gt;0,VLOOKUP($D32,Flight!$A$1:$E$91,2,FALSE),"")</f>
        <v>1720</v>
      </c>
      <c r="F32" s="46"/>
      <c r="G32" s="43" t="str">
        <f t="shared" si="3"/>
        <v/>
      </c>
      <c r="H32" s="44" t="str">
        <f>IF($D32&gt;0,VLOOKUP($D32,Flight!$A$1:$E$91,3,FALSE),"")</f>
        <v>MNL</v>
      </c>
      <c r="I32" s="44" t="str">
        <f>IF($D32&gt;0,IF(VLOOKUP($D32,Flight!$A$1:$E$91,4,FALSE)&gt;1,VLOOKUP($D32,Flight!$A$1:$E115,4,FALSE),""),"")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4"/>
        <v/>
      </c>
      <c r="L32" s="166"/>
      <c r="M32" s="166"/>
    </row>
    <row r="33" spans="1:18">
      <c r="A33" s="9">
        <f>IF($F33="Wavied","-",IF($D33=0,"",ROW($A33)-ROW($A$8)+1-COUNTIF($A$8:$A32,"@")-COUNTIF($A$8:$A32,"-")))</f>
        <v>26</v>
      </c>
      <c r="B33" s="9" t="str">
        <f t="shared" si="5"/>
        <v>-</v>
      </c>
      <c r="C33" s="9" t="s">
        <v>739</v>
      </c>
      <c r="D33" s="27" t="s">
        <v>78</v>
      </c>
      <c r="E33" s="172" t="str">
        <f>IF($D33&gt;0,VLOOKUP($D33,Flight!$A$1:$E$91,2,FALSE),"")</f>
        <v>1755</v>
      </c>
      <c r="F33" s="45"/>
      <c r="G33" s="43" t="str">
        <f t="shared" si="3"/>
        <v/>
      </c>
      <c r="H33" s="44" t="str">
        <f>IF($D33&gt;0,VLOOKUP($D33,Flight!$A$1:$E$91,3,FALSE),"")</f>
        <v>KUL</v>
      </c>
      <c r="I33" s="44" t="str">
        <f>IF($D33&gt;0,IF(VLOOKUP($D33,Flight!$A$1:$E$91,4,FALSE)&gt;1,VLOOKUP($D33,Flight!$A$1:$E116,4,FALSE),""),"")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4"/>
        <v/>
      </c>
      <c r="L33" s="166"/>
      <c r="M33" s="166"/>
    </row>
    <row r="34" spans="1:18">
      <c r="A34" s="9">
        <f>IF($F34="Wavied","-",IF($D34=0,"",ROW($A34)-ROW($A$8)+1-COUNTIF($A$8:$A33,"@")-COUNTIF($A$8:$A33,"-")))</f>
        <v>27</v>
      </c>
      <c r="B34" s="9" t="str">
        <f t="shared" si="5"/>
        <v>-</v>
      </c>
      <c r="C34" s="9" t="s">
        <v>737</v>
      </c>
      <c r="D34" s="27" t="s">
        <v>68</v>
      </c>
      <c r="E34" s="172" t="str">
        <f>IF($D34&gt;0,VLOOKUP($D34,Flight!$A$1:$E$91,2,FALSE),"")</f>
        <v>1805</v>
      </c>
      <c r="F34" s="45"/>
      <c r="G34" s="43" t="str">
        <f t="shared" si="3"/>
        <v/>
      </c>
      <c r="H34" s="44" t="str">
        <f>IF($D34&gt;0,VLOOKUP($D34,Flight!$A$1:$E$91,3,FALSE),"")</f>
        <v>DXB</v>
      </c>
      <c r="I34" s="44" t="str">
        <f>IF($D34&gt;0,IF(VLOOKUP($D34,Flight!$A$1:$E$91,4,FALSE)&gt;1,VLOOKUP($D34,Flight!$A$1:$E117,4,FALSE),""),"")</f>
        <v>BKK</v>
      </c>
      <c r="J34" s="44" t="str">
        <f>IF($D34&gt;0,IF(VLOOKUP($D34,Flight!$A$1:$E$91,5,FALSE)&gt;1,VLOOKUP($D34,Flight!$A$1:$E$91,5,FALSE),""),"")</f>
        <v/>
      </c>
      <c r="K34" s="166" t="str">
        <f t="shared" si="4"/>
        <v/>
      </c>
      <c r="L34" s="166"/>
      <c r="M34" s="167"/>
      <c r="P34" s="84"/>
    </row>
    <row r="35" spans="1:18">
      <c r="A35" s="9">
        <f>IF($F35="Wavied","-",IF($D35=0,"",ROW($A35)-ROW($A$8)+1-COUNTIF($A$8:$A34,"@")-COUNTIF($A$8:$A34,"-")))</f>
        <v>28</v>
      </c>
      <c r="B35" s="9" t="str">
        <f t="shared" si="5"/>
        <v>-</v>
      </c>
      <c r="C35" s="9" t="s">
        <v>739</v>
      </c>
      <c r="D35" s="27" t="s">
        <v>49</v>
      </c>
      <c r="E35" s="172" t="str">
        <f>IF($D35&gt;0,VLOOKUP($D35,Flight!$A$1:$E$91,2,FALSE),"")</f>
        <v>1810</v>
      </c>
      <c r="F35" s="45"/>
      <c r="G35" s="43" t="str">
        <f t="shared" si="3"/>
        <v/>
      </c>
      <c r="H35" s="44" t="str">
        <f>IF($D35&gt;0,VLOOKUP($D35,Flight!$A$1:$E$91,3,FALSE),"")</f>
        <v>MNL</v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4"/>
        <v/>
      </c>
      <c r="L35" s="166"/>
      <c r="M35" s="167"/>
      <c r="O35" s="115"/>
      <c r="P35" s="87"/>
    </row>
    <row r="36" spans="1:18" ht="16.5">
      <c r="A36" s="9">
        <f>IF($F36="Wavied","-",IF($D36=0,"",ROW($A36)-ROW($A$8)+1-COUNTIF($A$8:$A35,"@")-COUNTIF($A$8:$A35,"-")))</f>
        <v>29</v>
      </c>
      <c r="B36" s="9" t="str">
        <f t="shared" si="5"/>
        <v>-</v>
      </c>
      <c r="C36" s="9" t="s">
        <v>740</v>
      </c>
      <c r="D36" s="27" t="s">
        <v>203</v>
      </c>
      <c r="E36" s="172" t="str">
        <f>IF($D36&gt;0,VLOOKUP($D36,Flight!$A$1:$E$91,2,FALSE),"")</f>
        <v>1820</v>
      </c>
      <c r="F36" s="45"/>
      <c r="G36" s="43" t="str">
        <f t="shared" si="3"/>
        <v/>
      </c>
      <c r="H36" s="44" t="str">
        <f>IF($D36&gt;0,VLOOKUP($D36,Flight!$A$1:$E$91,3,FALSE),"")</f>
        <v>SIN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4"/>
        <v/>
      </c>
      <c r="L36" s="166"/>
      <c r="M36" s="167"/>
      <c r="O36" s="4"/>
      <c r="P36" s="88"/>
      <c r="Q36" s="4"/>
      <c r="R36" s="4"/>
    </row>
    <row r="37" spans="1:18">
      <c r="A37" s="9">
        <f>IF($F37="Wavied","-",IF($D37=0,"",ROW($A37)-ROW($A$8)+1-COUNTIF($A$8:$A36,"@")-COUNTIF($A$8:$A36,"-")))</f>
        <v>30</v>
      </c>
      <c r="B37" s="9" t="str">
        <f t="shared" si="5"/>
        <v>-</v>
      </c>
      <c r="C37" s="9" t="s">
        <v>740</v>
      </c>
      <c r="D37" s="10" t="s">
        <v>71</v>
      </c>
      <c r="E37" s="172" t="str">
        <f>IF($D37&gt;0,VLOOKUP($D37,Flight!$A$1:$E$91,2,FALSE),"")</f>
        <v>1920</v>
      </c>
      <c r="F37" s="45"/>
      <c r="G37" s="43" t="str">
        <f t="shared" si="3"/>
        <v/>
      </c>
      <c r="H37" s="44" t="str">
        <f>IF($D37&gt;0,VLOOKUP($D37,Flight!$A$1:$E$91,3,FALSE),"")</f>
        <v>DMK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4"/>
        <v/>
      </c>
      <c r="L37" s="166"/>
      <c r="M37" s="167"/>
      <c r="O37" s="4"/>
      <c r="P37" s="4"/>
      <c r="Q37" s="4"/>
      <c r="R37" s="4"/>
    </row>
    <row r="38" spans="1:18" ht="16.5">
      <c r="A38" s="9">
        <f>IF($F38="Wavied","-",IF($D38=0,"",ROW($A38)-ROW($A$8)+1-COUNTIF($A$8:$A37,"@")-COUNTIF($A$8:$A37,"-")))</f>
        <v>31</v>
      </c>
      <c r="B38" s="9" t="str">
        <f t="shared" si="5"/>
        <v>-</v>
      </c>
      <c r="C38" s="9" t="s">
        <v>738</v>
      </c>
      <c r="D38" s="10" t="s">
        <v>72</v>
      </c>
      <c r="E38" s="172" t="str">
        <f>IF($D38&gt;0,VLOOKUP($D38,Flight!$A$1:$E$91,2,FALSE),"")</f>
        <v>1950</v>
      </c>
      <c r="F38" s="45"/>
      <c r="G38" s="43" t="str">
        <f t="shared" si="3"/>
        <v/>
      </c>
      <c r="H38" s="44" t="s">
        <v>38</v>
      </c>
      <c r="I38" s="44" t="str">
        <f>IF($D38&gt;0,IF(VLOOKUP($D38,Flight!$A$1:$E$91,4,FALSE)&gt;1,VLOOKUP($D38,Flight!$A$1:$E121,4,FALSE),""),"")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4"/>
        <v/>
      </c>
      <c r="L38" s="166"/>
      <c r="M38" s="166"/>
      <c r="O38" s="4"/>
      <c r="P38" s="89"/>
      <c r="Q38" s="4"/>
      <c r="R38" s="4"/>
    </row>
    <row r="39" spans="1:18" ht="16.5">
      <c r="A39" s="9">
        <f>IF($F39="Wavied","-",IF($D39=0,"",ROW($A39)-ROW($A$8)+1-COUNTIF($A$8:$A38,"@")-COUNTIF($A$8:$A38,"-")))</f>
        <v>32</v>
      </c>
      <c r="B39" s="9" t="str">
        <f t="shared" si="5"/>
        <v>-</v>
      </c>
      <c r="C39" s="9" t="s">
        <v>739</v>
      </c>
      <c r="D39" s="27" t="s">
        <v>64</v>
      </c>
      <c r="E39" s="172" t="str">
        <f>IF($D39&gt;0,VLOOKUP($D39,Flight!$A$1:$E$91,2,FALSE),"")</f>
        <v>2030</v>
      </c>
      <c r="F39" s="45"/>
      <c r="G39" s="43" t="str">
        <f t="shared" si="3"/>
        <v/>
      </c>
      <c r="H39" s="44" t="str">
        <f>IF($D39&gt;0,VLOOKUP($D39,Flight!$A$1:$E$91,3,FALSE),"")</f>
        <v>CGK</v>
      </c>
      <c r="I39" s="44" t="str">
        <f>IF($D39&gt;0,IF(VLOOKUP($D39,Flight!$A$1:$E$91,4,FALSE)&gt;1,VLOOKUP($D39,Flight!$A$1:$E122,4,FALSE),""),"")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4"/>
        <v/>
      </c>
      <c r="L39" s="166"/>
      <c r="M39" s="166"/>
      <c r="O39" s="4"/>
      <c r="P39" s="89"/>
      <c r="Q39" s="4"/>
      <c r="R39" s="4"/>
    </row>
    <row r="40" spans="1:18" ht="16.5">
      <c r="A40" s="347" t="s">
        <v>960</v>
      </c>
      <c r="B40" s="270" t="s">
        <v>740</v>
      </c>
      <c r="C40" s="270" t="s">
        <v>736</v>
      </c>
      <c r="D40" s="271" t="s">
        <v>399</v>
      </c>
      <c r="E40" s="272" t="str">
        <f>IF($D40&gt;0,VLOOKUP($D40,Flight!$A$1:$E$91,2,FALSE),"")</f>
        <v>2120</v>
      </c>
      <c r="F40" s="439" t="s">
        <v>822</v>
      </c>
      <c r="G40" s="440"/>
      <c r="H40" s="273" t="str">
        <f>IF($D40&gt;0,VLOOKUP($D40,Flight!$A$1:$E$91,3,FALSE),"")</f>
        <v>DEL</v>
      </c>
      <c r="I40" s="273" t="str">
        <f>IF($D40&gt;0,IF(VLOOKUP($D40,Flight!$A$1:$E$91,4,FALSE)&gt;1,VLOOKUP($D40,Flight!$A$1:$E123,4,FALSE),""),"")</f>
        <v/>
      </c>
      <c r="J40" s="273" t="str">
        <f>IF($D40&gt;0,IF(VLOOKUP($D40,Flight!$A$1:$E$91,5,FALSE)&gt;1,VLOOKUP($D40,Flight!$A$1:$E$91,5,FALSE),""),"")</f>
        <v/>
      </c>
      <c r="K40" s="294" t="s">
        <v>959</v>
      </c>
      <c r="L40" s="294"/>
      <c r="M40" s="294"/>
      <c r="O40" s="4"/>
      <c r="P40" s="89"/>
      <c r="Q40" s="4"/>
      <c r="R40" s="4"/>
    </row>
    <row r="41" spans="1:18" s="262" customFormat="1" ht="16.5">
      <c r="A41" s="9">
        <f>IF($F41="Wavied","-",IF($D41=0,"",ROW($A41)-ROW($A$8)+1-COUNTIF($A$8:$A40,"@")-COUNTIF($A$8:$A40,"-")))</f>
        <v>33</v>
      </c>
      <c r="B41" s="9" t="s">
        <v>736</v>
      </c>
      <c r="C41" s="9" t="s">
        <v>737</v>
      </c>
      <c r="D41" s="27" t="s">
        <v>685</v>
      </c>
      <c r="E41" s="172" t="str">
        <f>IF($D41&gt;0,VLOOKUP($D41,Flight!$A$1:$E$91,2,FALSE),"")</f>
        <v>2155</v>
      </c>
      <c r="F41" s="45"/>
      <c r="G41" s="43"/>
      <c r="H41" s="44" t="str">
        <f>IF($D41&gt;0,VLOOKUP($D41,Flight!$A$1:$E$91,3,FALSE),"")</f>
        <v>DOH</v>
      </c>
      <c r="I41" s="44"/>
      <c r="J41" s="44"/>
      <c r="K41" s="166"/>
      <c r="L41" s="166"/>
      <c r="M41" s="166"/>
      <c r="O41" s="4"/>
      <c r="P41" s="89"/>
      <c r="Q41" s="4"/>
      <c r="R41" s="4"/>
    </row>
    <row r="42" spans="1:18" ht="16.5">
      <c r="A42" s="9">
        <f>IF($F42="Wavied","-",IF($D42=0,"",ROW($A42)-ROW($A$8)+1-COUNTIF($A$8:$A41,"@")-COUNTIF($A$8:$A41,"-")))</f>
        <v>34</v>
      </c>
      <c r="B42" s="9" t="str">
        <f>IF($E42&lt;&gt;"",IF($E42-715&lt;0,VLOOKUP($B$3,$E$62:$J$73,6,FALSE),IF(AND($E42-2130&gt;0,_xlfn.IFNA(MATCH($D42,$D$106:$D$116,0)&lt;20,"")=TRUE),VLOOKUP($L$3,$E$62:$J$73,6,FALSE),"-")),"")</f>
        <v>-</v>
      </c>
      <c r="C42" s="9" t="str">
        <f>IF($E42&lt;&gt;"",IF(ISNUMBER(SEARCH("Hall Operation",$K42)),"-",IF($E42-715&lt;0,VLOOKUP($B$3,$E$62:$J$73,6,FALSE),IF($E42-2129&gt;0,VLOOKUP($L$3,$E$62:$J$73,6,FALSE),""))),"")</f>
        <v>S12</v>
      </c>
      <c r="D42" s="27" t="s">
        <v>686</v>
      </c>
      <c r="E42" s="172" t="str">
        <f>IF($D42&gt;0,VLOOKUP($D42,Flight!$A$1:$E$91,2,FALSE),"")</f>
        <v>2320</v>
      </c>
      <c r="F42" s="45"/>
      <c r="G42" s="43" t="str">
        <f t="shared" si="3"/>
        <v/>
      </c>
      <c r="H42" s="44" t="str">
        <f>IF($D42&gt;0,VLOOKUP($D42,Flight!$A$1:$E$91,3,FALSE),"")</f>
        <v>BKK</v>
      </c>
      <c r="I42" s="44" t="str">
        <f>IF($D42&gt;0,IF(VLOOKUP($D42,Flight!$A$1:$E$91,4,FALSE)&gt;1,VLOOKUP($D42,Flight!$A$1:$E124,4,FALSE),""),"")</f>
        <v/>
      </c>
      <c r="J42" s="44" t="str">
        <f>IF($D42&gt;0,IF(VLOOKUP($D42,Flight!$A$1:$E$91,5,FALSE)&gt;1,VLOOKUP($D42,Flight!$A$1:$E$91,5,FALSE),""),"")</f>
        <v/>
      </c>
      <c r="K42" s="166" t="str">
        <f t="shared" si="4"/>
        <v/>
      </c>
      <c r="L42" s="166"/>
      <c r="M42" s="166"/>
      <c r="O42" s="4"/>
      <c r="P42" s="89"/>
      <c r="Q42" s="4"/>
      <c r="R42" s="4"/>
    </row>
    <row r="43" spans="1:18">
      <c r="A43" s="376" t="s">
        <v>5</v>
      </c>
      <c r="B43" s="376"/>
      <c r="C43" s="376"/>
      <c r="D43" s="376"/>
      <c r="E43" s="376"/>
      <c r="F43" s="376"/>
      <c r="G43" s="50"/>
      <c r="H43" s="246" t="s">
        <v>40</v>
      </c>
      <c r="I43" s="377"/>
      <c r="J43" s="377"/>
      <c r="K43" s="377"/>
      <c r="L43" s="377"/>
      <c r="M43" s="377"/>
      <c r="N43" s="5"/>
    </row>
    <row r="44" spans="1:18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</row>
    <row r="45" spans="1:18">
      <c r="A45" s="379"/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</row>
    <row r="46" spans="1:18">
      <c r="A46" s="389" t="s">
        <v>216</v>
      </c>
      <c r="B46" s="389"/>
      <c r="C46" s="243" t="str">
        <f>VLOOKUP($D$46,Staff!$B$2:$D$41,2,FALSE)</f>
        <v>CIA</v>
      </c>
      <c r="D46" s="375" t="str">
        <f>VLOOKUP(VLOOKUP($E$58,$E$62:$J$73,6,FALSE),Staff!$A$2:$D$13,2,FALSE)</f>
        <v>WL TSE</v>
      </c>
      <c r="E46" s="375"/>
      <c r="F46" s="240" t="s">
        <v>215</v>
      </c>
      <c r="G46" s="390" t="str">
        <f>VLOOKUP($D$46,Staff!$B$2:$D$39,3,FALSE)</f>
        <v>9669 1314</v>
      </c>
      <c r="H46" s="390"/>
      <c r="I46" s="391" t="s">
        <v>223</v>
      </c>
      <c r="J46" s="391"/>
      <c r="K46" s="375" t="str">
        <f>IF(COUNTIF($E$62:$E$65,$E$58)&gt;0,Staff!$G$2,"")&amp;IF(COUNTIF($E$66:$E$69,$E$58)&gt;0,Staff!$G$3,"")&amp;IF(COUNTIF($E$70:$E$73,$E$58)&gt;0,Staff!$G$4,"")</f>
        <v>HO, KING KAI</v>
      </c>
      <c r="L46" s="375"/>
      <c r="M46" s="375"/>
    </row>
    <row r="47" spans="1:18">
      <c r="A47" s="389" t="s">
        <v>217</v>
      </c>
      <c r="B47" s="389"/>
      <c r="C47" s="275" t="s">
        <v>741</v>
      </c>
      <c r="D47" s="375" t="s">
        <v>742</v>
      </c>
      <c r="E47" s="375"/>
      <c r="F47" s="240" t="s">
        <v>215</v>
      </c>
      <c r="G47" s="390" t="s">
        <v>743</v>
      </c>
      <c r="H47" s="390"/>
      <c r="I47" s="391" t="s">
        <v>224</v>
      </c>
      <c r="J47" s="391"/>
      <c r="K47" s="375" t="str">
        <f>IF(COUNTIF($E$62:$E$65,$E$59)&gt;0,Staff!$G$2,"")&amp;IF(COUNTIF($E$66:$E$69,$E$59)&gt;0,Staff!$G$3,"")&amp;IF(COUNTIF($E$70:$E$73,$E$59)&gt;0,Staff!$G$4,"")</f>
        <v>WONG, TSZ MING</v>
      </c>
      <c r="L47" s="375"/>
      <c r="M47" s="375"/>
    </row>
    <row r="48" spans="1:18">
      <c r="A48" s="245"/>
      <c r="B48" s="245"/>
      <c r="C48" s="241"/>
      <c r="D48" s="395"/>
      <c r="E48" s="395"/>
      <c r="F48" s="239"/>
      <c r="G48" s="396"/>
      <c r="H48" s="396"/>
      <c r="I48" s="390"/>
      <c r="J48" s="390"/>
      <c r="K48" s="143"/>
      <c r="L48" s="143"/>
      <c r="M48" s="143"/>
    </row>
    <row r="49" spans="1:18" s="112" customFormat="1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tr">
        <f>IF(COUNTIF($E$62:$E$65,$E$58)&gt;0,Staff!$G$14,"")&amp;IF(COUNTIF($E$66:$E$69,$E$58)&gt;0,Staff!$G$13,"")&amp;IF(COUNTIF($E$70:$E$73,$E$58)&gt;0,Staff!$G$12,"")</f>
        <v>CHIU, OI YU (F)</v>
      </c>
      <c r="H49" s="398"/>
      <c r="I49" s="398"/>
      <c r="J49" s="238" t="s">
        <v>209</v>
      </c>
      <c r="K49" s="390" t="str">
        <f>VLOOKUP(VLOOKUP($B$3,$E$62:$J$73,6,FALSE),Staff!$F$22:$G$47,2,FALSE)</f>
        <v>WAN, KAM HONG</v>
      </c>
      <c r="L49" s="390"/>
      <c r="M49" s="390"/>
      <c r="N49" s="12"/>
      <c r="P49" s="234"/>
      <c r="Q49" s="234"/>
      <c r="R49" s="234"/>
    </row>
    <row r="50" spans="1:18" s="112" customFormat="1">
      <c r="A50" s="155"/>
      <c r="B50" s="155"/>
      <c r="C50" s="396" t="s">
        <v>219</v>
      </c>
      <c r="D50" s="396"/>
      <c r="E50" s="396"/>
      <c r="F50" s="154" t="s">
        <v>214</v>
      </c>
      <c r="G50" s="375" t="str">
        <f>IF(COUNTIF($E$62:$E$65,$E$59)&gt;0,Staff!$G$14,"")&amp;IF(COUNTIF($E$66:$E$69,$E$59)&gt;0,Staff!$G$13,"")&amp;IF(COUNTIF($E$70:$E$73,$E$59)&gt;0,Staff!$G$12,"")</f>
        <v>CHONG, MAN LOK</v>
      </c>
      <c r="H50" s="375"/>
      <c r="I50" s="375"/>
      <c r="J50" s="238" t="s">
        <v>208</v>
      </c>
      <c r="K50" s="390" t="s">
        <v>674</v>
      </c>
      <c r="L50" s="390"/>
      <c r="M50" s="390"/>
      <c r="N50" s="234"/>
      <c r="P50" s="234"/>
      <c r="Q50" s="234"/>
      <c r="R50" s="234"/>
    </row>
    <row r="51" spans="1:18" s="112" customFormat="1">
      <c r="A51" s="244"/>
      <c r="B51" s="244"/>
      <c r="C51" s="241"/>
      <c r="D51" s="401"/>
      <c r="E51" s="401"/>
      <c r="F51" s="401"/>
      <c r="G51" s="401"/>
      <c r="H51" s="401"/>
      <c r="I51" s="401"/>
      <c r="J51" s="238" t="s">
        <v>210</v>
      </c>
      <c r="K51" s="390" t="s">
        <v>675</v>
      </c>
      <c r="L51" s="390"/>
      <c r="M51" s="390"/>
      <c r="N51" s="234"/>
      <c r="P51" s="234"/>
      <c r="Q51" s="234"/>
      <c r="R51" s="234"/>
    </row>
    <row r="52" spans="1:18" s="112" customFormat="1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238" t="s">
        <v>211</v>
      </c>
      <c r="K52" s="390" t="s">
        <v>431</v>
      </c>
      <c r="L52" s="390"/>
      <c r="M52" s="390"/>
      <c r="N52" s="234"/>
      <c r="P52" s="234"/>
      <c r="Q52" s="234"/>
      <c r="R52" s="234"/>
    </row>
    <row r="53" spans="1:18" s="112" customFormat="1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238" t="s">
        <v>212</v>
      </c>
      <c r="K53" s="390" t="s">
        <v>180</v>
      </c>
      <c r="L53" s="390"/>
      <c r="M53" s="390"/>
      <c r="N53" s="234"/>
      <c r="P53" s="234"/>
      <c r="Q53" s="234"/>
      <c r="R53" s="234"/>
    </row>
    <row r="54" spans="1:18" s="112" customFormat="1">
      <c r="A54" s="155"/>
      <c r="B54" s="155"/>
      <c r="C54" s="244"/>
      <c r="D54" s="399"/>
      <c r="E54" s="399"/>
      <c r="F54" s="391"/>
      <c r="G54" s="391"/>
      <c r="H54" s="400" t="s">
        <v>410</v>
      </c>
      <c r="I54" s="400"/>
      <c r="J54" s="236"/>
      <c r="K54" s="245"/>
      <c r="L54" s="245"/>
      <c r="M54" s="47"/>
      <c r="N54" s="234"/>
      <c r="P54" s="234"/>
      <c r="Q54" s="234"/>
      <c r="R54" s="234"/>
    </row>
    <row r="55" spans="1:18" s="112" customFormat="1" ht="16.5" customHeight="1">
      <c r="A55" s="392" t="s">
        <v>0</v>
      </c>
      <c r="B55" s="392"/>
      <c r="C55" s="407" t="s">
        <v>222</v>
      </c>
      <c r="D55" s="407"/>
      <c r="E55" s="407"/>
      <c r="F55" s="236"/>
      <c r="G55" s="238"/>
      <c r="H55" s="394" t="s">
        <v>411</v>
      </c>
      <c r="I55" s="394"/>
      <c r="J55" s="237"/>
      <c r="K55" s="245"/>
      <c r="L55" s="245"/>
      <c r="M55" s="47"/>
      <c r="N55" s="234"/>
      <c r="P55" s="234"/>
      <c r="Q55" s="234"/>
      <c r="R55" s="234"/>
    </row>
    <row r="56" spans="1:18" s="112" customFormat="1">
      <c r="A56" s="234"/>
      <c r="B56" s="234"/>
      <c r="C56" s="408"/>
      <c r="D56" s="408"/>
      <c r="E56" s="408"/>
      <c r="F56" s="408"/>
      <c r="G56" s="408"/>
      <c r="H56" s="408"/>
      <c r="I56" s="54"/>
      <c r="J56" s="53"/>
      <c r="M56" s="234"/>
      <c r="N56" s="234"/>
      <c r="P56" s="234"/>
      <c r="Q56" s="234"/>
      <c r="R56" s="234"/>
    </row>
    <row r="57" spans="1:18" s="112" customFormat="1" ht="16.5" thickBot="1">
      <c r="A57" s="3"/>
      <c r="B57" s="3"/>
      <c r="C57" s="3"/>
      <c r="D57" s="2"/>
      <c r="E57" s="39"/>
      <c r="F57" s="235"/>
      <c r="G57" s="235"/>
      <c r="H57" s="235"/>
      <c r="I57" s="409"/>
      <c r="J57" s="409"/>
      <c r="M57" s="234"/>
      <c r="N57" s="234"/>
      <c r="P57" s="234"/>
      <c r="Q57" s="234"/>
      <c r="R57" s="234"/>
    </row>
    <row r="58" spans="1:18" s="112" customFormat="1">
      <c r="A58" s="234"/>
      <c r="B58" s="234"/>
      <c r="C58" s="234"/>
      <c r="D58" s="234"/>
      <c r="E58" s="90" t="s">
        <v>133</v>
      </c>
      <c r="F58" s="91" t="s">
        <v>135</v>
      </c>
      <c r="G58" s="91"/>
      <c r="H58" s="92"/>
      <c r="I58" s="234"/>
      <c r="J58" s="234"/>
      <c r="K58" s="234"/>
      <c r="L58" s="234"/>
      <c r="M58" s="234"/>
      <c r="N58" s="234"/>
      <c r="P58" s="234"/>
      <c r="Q58" s="234"/>
      <c r="R58" s="234"/>
    </row>
    <row r="59" spans="1:18" s="112" customFormat="1" ht="16.5" thickBot="1">
      <c r="A59" s="234"/>
      <c r="B59" s="234"/>
      <c r="C59" s="234"/>
      <c r="D59" s="234"/>
      <c r="E59" s="93" t="s">
        <v>134</v>
      </c>
      <c r="F59" s="94" t="s">
        <v>136</v>
      </c>
      <c r="G59" s="94"/>
      <c r="H59" s="95"/>
      <c r="I59" s="234"/>
      <c r="J59" s="234"/>
      <c r="K59" s="234"/>
      <c r="L59" s="234"/>
      <c r="M59" s="234"/>
      <c r="N59" s="234"/>
      <c r="P59" s="234"/>
      <c r="Q59" s="234"/>
      <c r="R59" s="234"/>
    </row>
    <row r="60" spans="1:18" s="112" customFormat="1">
      <c r="A60" s="234"/>
      <c r="B60" s="234"/>
      <c r="C60" s="234"/>
      <c r="D60" s="234"/>
      <c r="E60" s="234"/>
      <c r="F60" s="234"/>
      <c r="G60" s="234"/>
      <c r="H60" s="234"/>
      <c r="I60" s="234"/>
      <c r="J60" s="234"/>
      <c r="K60" s="234"/>
      <c r="L60" s="234"/>
      <c r="M60" s="234"/>
      <c r="N60" s="234"/>
      <c r="P60" s="234"/>
      <c r="Q60" s="234"/>
      <c r="R60" s="234"/>
    </row>
    <row r="61" spans="1:18" s="112" customFormat="1" ht="16.5" thickBot="1">
      <c r="A61" s="234"/>
      <c r="B61" s="234"/>
      <c r="C61" s="234"/>
      <c r="D61" s="85" t="s">
        <v>132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98</v>
      </c>
      <c r="J61" s="234"/>
      <c r="K61" s="96" t="s">
        <v>302</v>
      </c>
      <c r="L61" s="96" t="s">
        <v>303</v>
      </c>
      <c r="M61" s="96"/>
      <c r="N61" s="234"/>
      <c r="P61" s="234"/>
      <c r="Q61" s="234"/>
      <c r="R61" s="234"/>
    </row>
    <row r="62" spans="1:18" s="112" customFormat="1">
      <c r="A62" s="234"/>
      <c r="B62" s="234"/>
      <c r="C62" s="234"/>
      <c r="D62" s="97" t="s">
        <v>86</v>
      </c>
      <c r="E62" s="98" t="str">
        <f>_xlfn.IFNA(VLOOKUP(MOD((($D$1-WEEKDAY($D$1,2)+1)-45523)/7+21,24),Shift!$A$2:$H$25,WEEKDAY($D$1,2)+1),VLOOKUP(24,Shift!$A$2:$H$25,WEEKDAY($D$1,2)+1))</f>
        <v>A</v>
      </c>
      <c r="F62" s="98">
        <v>1</v>
      </c>
      <c r="G62" s="98">
        <v>1</v>
      </c>
      <c r="H62" s="98">
        <v>5</v>
      </c>
      <c r="I62" s="99">
        <f t="shared" ref="I62:I73" si="6">IF(OR($E62="L",$E62="L#"),0,SUM($F62:$H62))</f>
        <v>7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N62" s="234"/>
      <c r="P62" s="234"/>
      <c r="Q62" s="234"/>
      <c r="R62" s="234"/>
    </row>
    <row r="63" spans="1:18" s="112" customFormat="1">
      <c r="A63" s="234"/>
      <c r="B63" s="234"/>
      <c r="C63" s="234"/>
      <c r="D63" s="100" t="s">
        <v>85</v>
      </c>
      <c r="E63" s="101" t="str">
        <f>_xlfn.IFNA(VLOOKUP(MOD((($D$1-WEEKDAY($D$1,2)+1)-45523)/7+3,24),Shift!$A$2:$H$25,WEEKDAY($D$1,2)+1),VLOOKUP(24,Shift!$A$2:$H$25,WEEKDAY($D$1,2)+1))</f>
        <v>L</v>
      </c>
      <c r="F63" s="101">
        <f t="shared" ref="F63:H67" si="7">IF(OR($E63="L",$E63="L#"),0,"?")</f>
        <v>0</v>
      </c>
      <c r="G63" s="101">
        <f t="shared" si="7"/>
        <v>0</v>
      </c>
      <c r="H63" s="101">
        <f t="shared" si="7"/>
        <v>0</v>
      </c>
      <c r="I63" s="102">
        <f t="shared" si="6"/>
        <v>0</v>
      </c>
      <c r="J63" s="137" t="s">
        <v>85</v>
      </c>
      <c r="K63" s="112" t="str">
        <f t="shared" ref="K63:K73" si="8">IF(AND($F63&gt;1,$F63&lt;&gt;"?"),$F63-1,"")</f>
        <v/>
      </c>
      <c r="L63" s="112" t="str">
        <f t="shared" ref="L63:L73" si="9">IF(AND($G63&gt;1,$G63&lt;&gt;"?"),$G63-1,"")</f>
        <v/>
      </c>
      <c r="N63" s="234"/>
      <c r="P63" s="234"/>
      <c r="Q63" s="234"/>
      <c r="R63" s="234"/>
    </row>
    <row r="64" spans="1:18" s="112" customFormat="1">
      <c r="A64" s="234"/>
      <c r="B64" s="234"/>
      <c r="C64" s="234"/>
      <c r="D64" s="100" t="s">
        <v>99</v>
      </c>
      <c r="E64" s="101" t="str">
        <f>_xlfn.IFNA(VLOOKUP(MOD((($D$1-WEEKDAY($D$1,2)+1)-45523)/7+9,24),Shift!$A$2:$H$25,WEEKDAY($D$1,2)+1),VLOOKUP(24,Shift!$A$2:$H$25,WEEKDAY($D$1,2)+1))</f>
        <v>L#</v>
      </c>
      <c r="F64" s="101">
        <f t="shared" si="7"/>
        <v>0</v>
      </c>
      <c r="G64" s="101">
        <f t="shared" si="7"/>
        <v>0</v>
      </c>
      <c r="H64" s="101">
        <f t="shared" si="7"/>
        <v>0</v>
      </c>
      <c r="I64" s="102">
        <f t="shared" si="6"/>
        <v>0</v>
      </c>
      <c r="J64" s="137" t="s">
        <v>99</v>
      </c>
      <c r="K64" s="112" t="str">
        <f t="shared" si="8"/>
        <v/>
      </c>
      <c r="L64" s="112" t="str">
        <f t="shared" si="9"/>
        <v/>
      </c>
      <c r="N64" s="234"/>
      <c r="P64" s="234"/>
      <c r="Q64" s="234"/>
      <c r="R64" s="234"/>
    </row>
    <row r="65" spans="4:13" ht="16.5" thickBot="1">
      <c r="D65" s="103" t="s">
        <v>100</v>
      </c>
      <c r="E65" s="104" t="str">
        <f>_xlfn.IFNA(VLOOKUP(MOD((($D$1-WEEKDAY($D$1,2)+1)-45523)/7+15,24),Shift!$A$2:$H$25,WEEKDAY($D$1,2)+1),VLOOKUP(24,Shift!$A$2:$H$25,WEEKDAY($D$1,2)+1))</f>
        <v>L</v>
      </c>
      <c r="F65" s="104">
        <f t="shared" si="7"/>
        <v>0</v>
      </c>
      <c r="G65" s="104">
        <f t="shared" si="7"/>
        <v>0</v>
      </c>
      <c r="H65" s="104">
        <f t="shared" si="7"/>
        <v>0</v>
      </c>
      <c r="I65" s="105">
        <f t="shared" si="6"/>
        <v>0</v>
      </c>
      <c r="J65" s="138" t="s">
        <v>100</v>
      </c>
      <c r="K65" s="112" t="str">
        <f t="shared" si="8"/>
        <v/>
      </c>
      <c r="L65" s="112" t="str">
        <f t="shared" si="9"/>
        <v/>
      </c>
      <c r="M65" s="112"/>
    </row>
    <row r="66" spans="4:13">
      <c r="D66" s="97" t="s">
        <v>101</v>
      </c>
      <c r="E66" s="98" t="str">
        <f>_xlfn.IFNA(VLOOKUP(MOD((($D$1-WEEKDAY($D$1,2)+1)-45523)/7+19,24),Shift!$A$2:$H$25,WEEKDAY($D$1,2)+1),VLOOKUP(24,Shift!$A$2:$H$25,WEEKDAY($D$1,2)+1))</f>
        <v>M @</v>
      </c>
      <c r="F66" s="98">
        <v>1</v>
      </c>
      <c r="G66" s="98">
        <v>1</v>
      </c>
      <c r="H66" s="98">
        <v>4</v>
      </c>
      <c r="I66" s="99">
        <f t="shared" si="6"/>
        <v>6</v>
      </c>
      <c r="J66" s="136" t="s">
        <v>101</v>
      </c>
      <c r="K66" s="112" t="str">
        <f t="shared" si="8"/>
        <v/>
      </c>
      <c r="L66" s="112" t="str">
        <f t="shared" si="9"/>
        <v/>
      </c>
      <c r="M66" s="112"/>
    </row>
    <row r="67" spans="4:13">
      <c r="D67" s="100" t="s">
        <v>102</v>
      </c>
      <c r="E67" s="101" t="str">
        <f>_xlfn.IFNA(VLOOKUP(MOD((($D$1-WEEKDAY($D$1,2)+1)-45523)/7+1,24),Shift!$A$2:$H$25,WEEKDAY($D$1,2)+1),VLOOKUP(24,Shift!$A$2:$H$25,WEEKDAY($D$1,2)+1))</f>
        <v>L</v>
      </c>
      <c r="F67" s="101">
        <f t="shared" si="7"/>
        <v>0</v>
      </c>
      <c r="G67" s="101">
        <f t="shared" si="7"/>
        <v>0</v>
      </c>
      <c r="H67" s="101">
        <f t="shared" si="7"/>
        <v>0</v>
      </c>
      <c r="I67" s="102">
        <f t="shared" si="6"/>
        <v>0</v>
      </c>
      <c r="J67" s="137" t="s">
        <v>102</v>
      </c>
      <c r="K67" s="112" t="str">
        <f t="shared" si="8"/>
        <v/>
      </c>
      <c r="L67" s="112" t="str">
        <f t="shared" si="9"/>
        <v/>
      </c>
      <c r="M67" s="112"/>
    </row>
    <row r="68" spans="4:13">
      <c r="D68" s="100" t="s">
        <v>103</v>
      </c>
      <c r="E68" s="101" t="str">
        <f>_xlfn.IFNA(VLOOKUP(MOD((($D$1-WEEKDAY($D$1,2)+1)-45523)/7+7,24),Shift!$A$2:$H$25,WEEKDAY($D$1,2)+1),VLOOKUP(24,Shift!$A$2:$H$25,WEEKDAY($D$1,2)+1))</f>
        <v>G1</v>
      </c>
      <c r="F68" s="101">
        <v>1</v>
      </c>
      <c r="G68" s="101">
        <v>1</v>
      </c>
      <c r="H68" s="101">
        <v>4</v>
      </c>
      <c r="I68" s="102">
        <f t="shared" si="6"/>
        <v>6</v>
      </c>
      <c r="J68" s="137" t="s">
        <v>103</v>
      </c>
      <c r="K68" s="112" t="str">
        <f t="shared" si="8"/>
        <v/>
      </c>
      <c r="L68" s="112" t="str">
        <f t="shared" si="9"/>
        <v/>
      </c>
      <c r="M68" s="112"/>
    </row>
    <row r="69" spans="4:13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M</v>
      </c>
      <c r="F69" s="104">
        <v>1</v>
      </c>
      <c r="G69" s="104">
        <v>1</v>
      </c>
      <c r="H69" s="104">
        <v>5</v>
      </c>
      <c r="I69" s="105">
        <f t="shared" si="6"/>
        <v>7</v>
      </c>
      <c r="J69" s="138" t="s">
        <v>104</v>
      </c>
      <c r="K69" s="112" t="str">
        <f t="shared" si="8"/>
        <v/>
      </c>
      <c r="L69" s="112" t="str">
        <f t="shared" si="9"/>
        <v/>
      </c>
      <c r="M69" s="112"/>
    </row>
    <row r="70" spans="4:13">
      <c r="D70" s="97" t="s">
        <v>105</v>
      </c>
      <c r="E70" s="98" t="str">
        <f>_xlfn.IFNA(VLOOKUP(MOD((($D$1-WEEKDAY($D$1,2)+1)-45523)/7+17,24),Shift!$A$2:$H$25,WEEKDAY($D$1,2)+1),VLOOKUP(24,Shift!$A$2:$H$25,WEEKDAY($D$1,2)+1))</f>
        <v>P1 @</v>
      </c>
      <c r="F70" s="98">
        <v>1</v>
      </c>
      <c r="G70" s="98">
        <v>0</v>
      </c>
      <c r="H70" s="98">
        <v>4</v>
      </c>
      <c r="I70" s="99">
        <f t="shared" si="6"/>
        <v>5</v>
      </c>
      <c r="J70" s="136" t="s">
        <v>105</v>
      </c>
      <c r="K70" s="112" t="str">
        <f t="shared" si="8"/>
        <v/>
      </c>
      <c r="L70" s="112" t="str">
        <f t="shared" si="9"/>
        <v/>
      </c>
      <c r="M70" s="112"/>
    </row>
    <row r="71" spans="4:13">
      <c r="D71" s="100" t="s">
        <v>106</v>
      </c>
      <c r="E71" s="101" t="str">
        <f>_xlfn.IFNA(VLOOKUP(MOD((($D$1-WEEKDAY($D$1,2)+1)-45523)/7+23,24),Shift!$A$2:$H$25,WEEKDAY($D$1,2)+1),VLOOKUP(24,Shift!$A$2:$H$25,WEEKDAY($D$1,2)+1))</f>
        <v>P1</v>
      </c>
      <c r="F71" s="101">
        <v>1</v>
      </c>
      <c r="G71" s="101">
        <v>1</v>
      </c>
      <c r="H71" s="101">
        <v>5</v>
      </c>
      <c r="I71" s="102">
        <f t="shared" si="6"/>
        <v>7</v>
      </c>
      <c r="J71" s="137" t="s">
        <v>106</v>
      </c>
      <c r="K71" s="112" t="str">
        <f t="shared" si="8"/>
        <v/>
      </c>
      <c r="L71" s="112" t="str">
        <f t="shared" si="9"/>
        <v/>
      </c>
      <c r="M71" s="112"/>
    </row>
    <row r="72" spans="4:13">
      <c r="D72" s="100" t="s">
        <v>107</v>
      </c>
      <c r="E72" s="101" t="str">
        <f>_xlfn.IFNA(VLOOKUP(MOD((($D$1-WEEKDAY($D$1,2)+1)-45523)/7+5,24),Shift!$A$2:$H$25,WEEKDAY($D$1,2)+1),VLOOKUP(24,Shift!$A$2:$H$25,WEEKDAY($D$1,2)+1))</f>
        <v>P1</v>
      </c>
      <c r="F72" s="101">
        <v>1</v>
      </c>
      <c r="G72" s="101">
        <v>1</v>
      </c>
      <c r="H72" s="101">
        <v>4</v>
      </c>
      <c r="I72" s="102">
        <f t="shared" si="6"/>
        <v>6</v>
      </c>
      <c r="J72" s="137" t="s">
        <v>107</v>
      </c>
      <c r="K72" s="112" t="str">
        <f t="shared" si="8"/>
        <v/>
      </c>
      <c r="L72" s="112" t="str">
        <f t="shared" si="9"/>
        <v/>
      </c>
      <c r="M72" s="112"/>
    </row>
    <row r="73" spans="4:13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P4</v>
      </c>
      <c r="F73" s="104">
        <v>1</v>
      </c>
      <c r="G73" s="104">
        <v>1</v>
      </c>
      <c r="H73" s="104">
        <v>3</v>
      </c>
      <c r="I73" s="105">
        <f t="shared" si="6"/>
        <v>5</v>
      </c>
      <c r="J73" s="138" t="s">
        <v>108</v>
      </c>
      <c r="K73" s="112" t="str">
        <f t="shared" si="8"/>
        <v/>
      </c>
      <c r="L73" s="112" t="str">
        <f t="shared" si="9"/>
        <v/>
      </c>
      <c r="M73" s="112"/>
    </row>
    <row r="74" spans="4:13">
      <c r="D74" s="144" t="s">
        <v>86</v>
      </c>
      <c r="E74" s="98" t="s">
        <v>127</v>
      </c>
      <c r="F74" s="98"/>
      <c r="G74" s="98"/>
      <c r="H74" s="98"/>
      <c r="I74" s="99">
        <f>IF(OR($E74="L",$E74="L#",$E74="?"),0,SUM($F74:$H74))</f>
        <v>0</v>
      </c>
      <c r="J74" s="234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234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234"/>
    </row>
    <row r="77" spans="4:13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234"/>
    </row>
    <row r="78" spans="4:13">
      <c r="D78" s="234"/>
      <c r="E78" s="96" t="s">
        <v>98</v>
      </c>
      <c r="F78" s="96" t="str">
        <f>SUM($F$62:$F$77)&amp;IF(SUM($F$62:$H$77)&gt;$I$78,"?","")</f>
        <v>8</v>
      </c>
      <c r="G78" s="96" t="str">
        <f>SUM($G$62:$G$77)&amp;IF(SUM($F$62:$H$77)&gt;$I$78,"?","")</f>
        <v>7</v>
      </c>
      <c r="H78" s="96" t="str">
        <f>SUM($H$62:$H$77)&amp;IF(SUM($F$62:$H$77)&gt;$I$78,"?","")</f>
        <v>34</v>
      </c>
      <c r="I78" s="96">
        <f>SUM(I62:I77)</f>
        <v>49</v>
      </c>
      <c r="J78" s="234"/>
    </row>
    <row r="79" spans="4:13">
      <c r="D79" s="234"/>
      <c r="E79" s="234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234"/>
      <c r="J79" s="234"/>
    </row>
    <row r="81" spans="4:6">
      <c r="D81" s="410" t="s">
        <v>281</v>
      </c>
      <c r="E81" s="410"/>
      <c r="F81" s="410"/>
    </row>
    <row r="82" spans="4:6">
      <c r="D82" s="49" t="str">
        <f>IF(Flight!$A$68=0,"",Flight!$A$68)</f>
        <v/>
      </c>
      <c r="E82" s="163"/>
      <c r="F82" s="164" t="str">
        <f>IF(D82="","",VLOOKUP(D82,Flight!$A$68:$C$91,3,FALSE))</f>
        <v/>
      </c>
    </row>
    <row r="83" spans="4:6">
      <c r="D83" s="49" t="str">
        <f>IF(Flight!$A69=0,"",Flight!$A69)</f>
        <v/>
      </c>
      <c r="F83" s="164" t="str">
        <f>IF(D83="","",VLOOKUP(D83,Flight!$A$68:$C$91,3,FALSE))</f>
        <v/>
      </c>
    </row>
    <row r="84" spans="4:6">
      <c r="D84" s="49" t="str">
        <f>IF(Flight!$A71=0,"",Flight!$A71)</f>
        <v>3A031</v>
      </c>
      <c r="F84" s="164" t="str">
        <f>IF(D84="","",VLOOKUP(D84,Flight!$A$68:$C$91,3,FALSE))</f>
        <v>ZTI</v>
      </c>
    </row>
    <row r="85" spans="4:6">
      <c r="D85" s="49" t="str">
        <f>IF(Flight!$A72=0,"",Flight!$A72)</f>
        <v>3A003</v>
      </c>
      <c r="F85" s="164" t="str">
        <f>IF(D85="","",VLOOKUP(D85,Flight!$A$68:$C$91,3,FALSE))</f>
        <v>ZYK</v>
      </c>
    </row>
    <row r="86" spans="4:6">
      <c r="D86" s="49" t="str">
        <f>IF(Flight!$A73=0,"",Flight!$A73)</f>
        <v>3A005</v>
      </c>
      <c r="F86" s="164" t="str">
        <f>IF(D86="","",VLOOKUP(D86,Flight!$A$68:$C$91,3,FALSE))</f>
        <v>HKM</v>
      </c>
    </row>
    <row r="87" spans="4:6">
      <c r="D87" s="49" t="str">
        <f>IF(Flight!$A74=0,"",Flight!$A74)</f>
        <v>3A007</v>
      </c>
      <c r="F87" s="164" t="str">
        <f>IF(D87="","",VLOOKUP(D87,Flight!$A$68:$C$91,3,FALSE))</f>
        <v>ZYK</v>
      </c>
    </row>
    <row r="88" spans="4:6">
      <c r="D88" s="49" t="str">
        <f>IF(Flight!$A75=0,"",Flight!$A75)</f>
        <v>3A008</v>
      </c>
      <c r="F88" s="164" t="str">
        <f>IF(D88="","",VLOOKUP(D88,Flight!$A$68:$C$91,3,FALSE))</f>
        <v>ZYK</v>
      </c>
    </row>
    <row r="89" spans="4:6">
      <c r="D89" s="49" t="str">
        <f>IF(Flight!$A76=0,"",Flight!$A76)</f>
        <v>3A009</v>
      </c>
      <c r="F89" s="164" t="str">
        <f>IF(D89="","",VLOOKUP(D89,Flight!$A$68:$C$91,3,FALSE))</f>
        <v>ZYK</v>
      </c>
    </row>
    <row r="90" spans="4:6">
      <c r="D90" s="49" t="str">
        <f>IF(Flight!$A77=0,"",Flight!$A77)</f>
        <v>3A010</v>
      </c>
      <c r="F90" s="164" t="str">
        <f>IF(D90="","",VLOOKUP(D90,Flight!$A$68:$C$91,3,FALSE))</f>
        <v>ZYK</v>
      </c>
    </row>
    <row r="91" spans="4:6">
      <c r="D91" s="49" t="str">
        <f>IF(Flight!$A78=0,"",Flight!$A78)</f>
        <v/>
      </c>
      <c r="F91" s="164" t="str">
        <f>IF(D91="","",VLOOKUP(D91,Flight!$A$68:$C$91,3,FALSE))</f>
        <v/>
      </c>
    </row>
    <row r="92" spans="4:6">
      <c r="D92" s="49" t="str">
        <f>IF(Flight!$A80=0,"",Flight!$A80)</f>
        <v>8S7121</v>
      </c>
      <c r="F92" s="164" t="str">
        <f>IF(D92="","",VLOOKUP(D92,Flight!$A$68:$C$91,3,FALSE))</f>
        <v>HKM</v>
      </c>
    </row>
    <row r="93" spans="4:6">
      <c r="D93" s="49" t="str">
        <f>IF(Flight!$A81=0,"",Flight!$A81)</f>
        <v>8S7108</v>
      </c>
      <c r="F93" s="164" t="str">
        <f>IF(D93="","",VLOOKUP(D93,Flight!$A$68:$C$91,3,FALSE))</f>
        <v>ZYK</v>
      </c>
    </row>
    <row r="94" spans="4:6">
      <c r="D94" s="49" t="str">
        <f>IF(Flight!$A82=0,"",Flight!$A82)</f>
        <v>8S7111</v>
      </c>
      <c r="F94" s="164" t="str">
        <f>IF(D94="","",VLOOKUP(D94,Flight!$A$68:$C$91,3,FALSE))</f>
        <v>ZYK</v>
      </c>
    </row>
    <row r="95" spans="4:6">
      <c r="D95" s="49" t="str">
        <f>IF(Flight!$A83=0,"",Flight!$A83)</f>
        <v>8S7131</v>
      </c>
      <c r="F95" s="164" t="str">
        <f>IF(D95="","",VLOOKUP(D95,Flight!$A$68:$C$91,3,FALSE))</f>
        <v>?</v>
      </c>
    </row>
    <row r="96" spans="4:6">
      <c r="D96" s="49" t="str">
        <f>IF(Flight!$A84=0,"",Flight!$A84)</f>
        <v>8S7119</v>
      </c>
      <c r="F96" s="164" t="str">
        <f>IF(D96="","",VLOOKUP(D96,Flight!$A$68:$C$91,3,FALSE))</f>
        <v>HKM</v>
      </c>
    </row>
    <row r="97" spans="4:6">
      <c r="D97" s="49" t="str">
        <f>IF(Flight!$A85=0,"",Flight!$A85)</f>
        <v>8S7126</v>
      </c>
      <c r="F97" s="164" t="str">
        <f>IF(D97="","",VLOOKUP(D97,Flight!$A$68:$C$91,3,FALSE))</f>
        <v>HKM</v>
      </c>
    </row>
    <row r="98" spans="4:6">
      <c r="D98" s="49" t="str">
        <f>IF(Flight!$A86=0,"",Flight!$A86)</f>
        <v>8S7128</v>
      </c>
      <c r="F98" s="164" t="str">
        <f>IF(D98="","",VLOOKUP(D98,Flight!$A$68:$C$91,3,FALSE))</f>
        <v>HKM</v>
      </c>
    </row>
    <row r="99" spans="4:6">
      <c r="D99" s="49" t="str">
        <f>IF(Flight!$A87=0,"",Flight!$A87)</f>
        <v>3A8010</v>
      </c>
      <c r="F99" s="164" t="str">
        <f>IF(D99="","",VLOOKUP(D99,Flight!$A$68:$C$91,3,FALSE))</f>
        <v>HZI</v>
      </c>
    </row>
    <row r="100" spans="4:6">
      <c r="D100" s="49" t="str">
        <f>IF(Flight!$A88=0,"",Flight!$A88)</f>
        <v>3A8015</v>
      </c>
      <c r="F100" s="164" t="str">
        <f>IF(D100="","",VLOOKUP(D100,Flight!$A$68:$C$91,3,FALSE))</f>
        <v>?</v>
      </c>
    </row>
    <row r="101" spans="4:6">
      <c r="D101" s="49" t="str">
        <f>IF(Flight!$A89=0,"",Flight!$A89)</f>
        <v>3A8016</v>
      </c>
      <c r="F101" s="164" t="str">
        <f>IF(D101="","",VLOOKUP(D101,Flight!$A$68:$C$91,3,FALSE))</f>
        <v>HZI</v>
      </c>
    </row>
    <row r="102" spans="4:6">
      <c r="D102" s="49" t="str">
        <f>IF(Flight!$A91=0,"",Flight!$A91)</f>
        <v xml:space="preserve">Last </v>
      </c>
      <c r="F102" s="164" t="str">
        <f>IF(D102="","",VLOOKUP(D102,Flight!$A$68:$C$91,3,FALSE))</f>
        <v>↑</v>
      </c>
    </row>
    <row r="103" spans="4:6">
      <c r="D103" s="49" t="str">
        <f>IF(Flight!$A92=0,"",Flight!$A92)</f>
        <v/>
      </c>
      <c r="F103" s="164" t="str">
        <f>IF(D103="","",VLOOKUP(D103,Flight!$A$68:$C$91,3,FALSE))</f>
        <v/>
      </c>
    </row>
    <row r="104" spans="4:6">
      <c r="D104" s="186"/>
      <c r="F104" s="187"/>
    </row>
    <row r="105" spans="4:6">
      <c r="D105" s="406" t="str">
        <f>IF(Flight!$A$93=0,"",Flight!$A$93)</f>
        <v>Target Flight</v>
      </c>
      <c r="E105" s="406"/>
      <c r="F105" s="406"/>
    </row>
    <row r="106" spans="4:6">
      <c r="D106" s="27" t="s">
        <v>59</v>
      </c>
      <c r="E106" s="158"/>
      <c r="F106" s="10" t="s">
        <v>38</v>
      </c>
    </row>
    <row r="107" spans="4:6">
      <c r="D107" s="27" t="s">
        <v>89</v>
      </c>
      <c r="E107" s="158"/>
      <c r="F107" s="10" t="s">
        <v>38</v>
      </c>
    </row>
    <row r="108" spans="4:6">
      <c r="D108" s="27" t="s">
        <v>254</v>
      </c>
      <c r="E108" s="158"/>
      <c r="F108" s="10" t="s">
        <v>38</v>
      </c>
    </row>
    <row r="109" spans="4:6">
      <c r="D109" s="27" t="s">
        <v>57</v>
      </c>
      <c r="E109" s="158"/>
      <c r="F109" s="10" t="s">
        <v>58</v>
      </c>
    </row>
    <row r="110" spans="4:6">
      <c r="D110" s="27" t="s">
        <v>198</v>
      </c>
      <c r="E110" s="158"/>
      <c r="F110" s="10" t="s">
        <v>199</v>
      </c>
    </row>
    <row r="111" spans="4:6">
      <c r="D111" s="27" t="s">
        <v>55</v>
      </c>
      <c r="E111" s="158"/>
      <c r="F111" s="10" t="s">
        <v>54</v>
      </c>
    </row>
    <row r="112" spans="4:6">
      <c r="D112" s="27" t="s">
        <v>39</v>
      </c>
      <c r="E112" s="158"/>
      <c r="F112" s="10" t="s">
        <v>38</v>
      </c>
    </row>
    <row r="113" spans="4:6">
      <c r="D113" s="27" t="s">
        <v>200</v>
      </c>
      <c r="E113" s="158"/>
      <c r="F113" s="10" t="s">
        <v>54</v>
      </c>
    </row>
    <row r="114" spans="4:6">
      <c r="D114" s="27" t="s">
        <v>201</v>
      </c>
      <c r="E114" s="158"/>
      <c r="F114" s="10" t="s">
        <v>38</v>
      </c>
    </row>
    <row r="115" spans="4:6">
      <c r="D115" s="161" t="s">
        <v>538</v>
      </c>
      <c r="E115" s="158"/>
      <c r="F115" s="159" t="s">
        <v>566</v>
      </c>
    </row>
    <row r="116" spans="4:6">
      <c r="D116" s="161"/>
      <c r="E116" s="158"/>
      <c r="F116" s="159"/>
    </row>
  </sheetData>
  <mergeCells count="77">
    <mergeCell ref="D105:F105"/>
    <mergeCell ref="A55:B55"/>
    <mergeCell ref="C55:E55"/>
    <mergeCell ref="H55:I55"/>
    <mergeCell ref="C56:H56"/>
    <mergeCell ref="I57:J57"/>
    <mergeCell ref="D81:F81"/>
    <mergeCell ref="A53:B53"/>
    <mergeCell ref="C53:E53"/>
    <mergeCell ref="F53:G53"/>
    <mergeCell ref="H53:I53"/>
    <mergeCell ref="K53:M53"/>
    <mergeCell ref="D54:E54"/>
    <mergeCell ref="F54:G54"/>
    <mergeCell ref="H54:I54"/>
    <mergeCell ref="D51:I51"/>
    <mergeCell ref="K51:M51"/>
    <mergeCell ref="K47:M47"/>
    <mergeCell ref="A52:B52"/>
    <mergeCell ref="C52:E52"/>
    <mergeCell ref="F52:I52"/>
    <mergeCell ref="K52:M52"/>
    <mergeCell ref="A49:B49"/>
    <mergeCell ref="C49:E49"/>
    <mergeCell ref="G49:I49"/>
    <mergeCell ref="K49:M49"/>
    <mergeCell ref="C50:E50"/>
    <mergeCell ref="G50:I50"/>
    <mergeCell ref="K50:M50"/>
    <mergeCell ref="D48:E48"/>
    <mergeCell ref="G48:H48"/>
    <mergeCell ref="I48:J48"/>
    <mergeCell ref="A47:B47"/>
    <mergeCell ref="A45:H45"/>
    <mergeCell ref="A46:B46"/>
    <mergeCell ref="D46:E46"/>
    <mergeCell ref="G46:H46"/>
    <mergeCell ref="I46:J46"/>
    <mergeCell ref="D47:E47"/>
    <mergeCell ref="G47:H47"/>
    <mergeCell ref="I47:J47"/>
    <mergeCell ref="K46:M46"/>
    <mergeCell ref="H6:H7"/>
    <mergeCell ref="I6:I7"/>
    <mergeCell ref="J6:J7"/>
    <mergeCell ref="K6:M6"/>
    <mergeCell ref="A43:F43"/>
    <mergeCell ref="I43:M44"/>
    <mergeCell ref="A44:H44"/>
    <mergeCell ref="A6:A7"/>
    <mergeCell ref="B6:C6"/>
    <mergeCell ref="D6:D7"/>
    <mergeCell ref="E6:E7"/>
    <mergeCell ref="F6:F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F40:G40"/>
    <mergeCell ref="D1:E1"/>
    <mergeCell ref="D2:E2"/>
    <mergeCell ref="G2:I2"/>
    <mergeCell ref="B3:C3"/>
    <mergeCell ref="D3:E3"/>
    <mergeCell ref="F3:G3"/>
    <mergeCell ref="H3:I3"/>
    <mergeCell ref="G6:G7"/>
  </mergeCells>
  <phoneticPr fontId="2" type="noConversion"/>
  <conditionalFormatting sqref="E8:E39 H8:H42 E41:E42">
    <cfRule type="cellIs" dxfId="79" priority="5" operator="equal">
      <formula>""</formula>
    </cfRule>
  </conditionalFormatting>
  <conditionalFormatting sqref="F62:H79">
    <cfRule type="cellIs" dxfId="78" priority="4" operator="equal">
      <formula>"?"</formula>
    </cfRule>
  </conditionalFormatting>
  <conditionalFormatting sqref="D116:D1000 D8:D114">
    <cfRule type="duplicateValues" dxfId="77" priority="3"/>
  </conditionalFormatting>
  <conditionalFormatting sqref="D115">
    <cfRule type="duplicateValues" dxfId="76" priority="2"/>
  </conditionalFormatting>
  <conditionalFormatting sqref="E40">
    <cfRule type="cellIs" dxfId="75" priority="1" operator="equal">
      <formula>""</formula>
    </cfRule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warning" allowBlank="1" showInputMessage="1">
          <x14:formula1>
            <xm:f>Staff!$B$15:$B$39</xm:f>
          </x14:formula1>
          <xm:sqref>D47:E47</xm:sqref>
        </x14:dataValidation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allowBlank="1" showInputMessage="1">
          <x14:formula1>
            <xm:f>Staff!$G$23:$G$52</xm:f>
          </x14:formula1>
          <xm:sqref>K49:M49</xm:sqref>
        </x14:dataValidation>
        <x14:dataValidation type="list" allowBlank="1" showInputMessage="1">
          <x14:formula1>
            <xm:f>Staff!$G$23:$G$52</xm:f>
          </x14:formula1>
          <xm:sqref>K50:M53</xm:sqref>
        </x14:dataValidation>
        <x14:dataValidation type="list" allowBlank="1" showInputMessage="1">
          <x14:formula1>
            <xm:f>Staff!$G$12:$G$52</xm:f>
          </x14:formula1>
          <xm:sqref>G49:I50</xm:sqref>
        </x14:dataValidation>
        <x14:dataValidation type="list" allowBlank="1" showInputMessage="1">
          <x14:formula1>
            <xm:f>Staff!$G$2:$G$9</xm:f>
          </x14:formula1>
          <xm:sqref>K47:M47</xm:sqref>
        </x14:dataValidation>
        <x14:dataValidation type="list" allowBlank="1" showInputMessage="1">
          <x14:formula1>
            <xm:f>Staff!$G$2:$G$9</xm:f>
          </x14:formula1>
          <xm:sqref>K46:M46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4"/>
  <sheetViews>
    <sheetView view="pageBreakPreview" zoomScale="90" zoomScaleNormal="100" zoomScaleSheetLayoutView="90" workbookViewId="0">
      <selection activeCell="C32" sqref="C32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45761</v>
      </c>
      <c r="E1" s="355"/>
      <c r="F1" s="333" t="s">
        <v>23</v>
      </c>
      <c r="G1" s="110">
        <f>D1</f>
        <v>45761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S12(0) </v>
      </c>
      <c r="C4" s="367"/>
      <c r="D4" s="366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 &lt;S2(0)&gt;  S3(0) </v>
      </c>
      <c r="E4" s="367"/>
      <c r="F4" s="366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S6(0) </v>
      </c>
      <c r="G4" s="367"/>
      <c r="H4" s="366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S4(0) </v>
      </c>
      <c r="I4" s="367"/>
      <c r="J4" s="366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S10(0)  &lt;S11(0)&gt;  </v>
      </c>
      <c r="K4" s="367"/>
      <c r="L4" s="366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S9(0)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0" si="0">IF($E8&lt;&gt;"",IF($E8-715&lt;0,VLOOKUP($B$3,$E$60:$J$71,6,FALSE),IF(AND($E8-2130&gt;0,_xlfn.IFNA(MATCH($D8,$D$104:$D$114,0)&lt;20,"")=TRUE),VLOOKUP($L$3,$E$60:$J$71,6,FALSE),"-")),"")</f>
        <v>S12</v>
      </c>
      <c r="C8" s="9" t="str">
        <f t="shared" ref="C8:C40" si="1">IF($E8&lt;&gt;"",IF(ISNUMBER(SEARCH("Hall Operation",$K8)),"-",IF($E8-715&lt;0,VLOOKUP($B$3,$E$60:$J$71,6,FALSE),IF($E8-2129&gt;0,VLOOKUP($L$3,$E$60:$J$71,6,FALSE),""))),"")</f>
        <v>-</v>
      </c>
      <c r="D8" s="9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0" si="2">IF($D8=0,"",IF(OR(ISNUMBER(SEARCH("S",$B8)),_xlfn.IFNA(MATCH($D8,$D$104:$D$114,0)&lt;20,"")=TRUE),"&lt;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S12</v>
      </c>
      <c r="C9" s="9" t="str">
        <f t="shared" si="1"/>
        <v>-</v>
      </c>
      <c r="D9" s="165" t="s">
        <v>63</v>
      </c>
      <c r="E9" s="172" t="str">
        <f>IF($D9&gt;0,VLOOKUP($D9,Flight!$A$1:$E$91,2,FALSE),"")</f>
        <v>0545</v>
      </c>
      <c r="F9" s="45"/>
      <c r="G9" s="43" t="str">
        <f t="shared" ref="G9:G40" si="3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>IF($A8="S/N",1,IF($F10="Wavied","-",IF($D10=0,"",ROW($A10)-ROW($A$7)-COUNTIF($A$7:$A$8,"@")-COUNTIF($A$7:$A$8,"-"))))</f>
        <v>3</v>
      </c>
      <c r="B10" s="9" t="str">
        <f t="shared" si="0"/>
        <v>S12</v>
      </c>
      <c r="C10" s="9" t="str">
        <f t="shared" si="1"/>
        <v>-</v>
      </c>
      <c r="D10" s="27" t="s">
        <v>238</v>
      </c>
      <c r="E10" s="172" t="str">
        <f>IF($D10&gt;0,VLOOKUP($D10,Flight!$A$1:$E$91,2,FALSE),"")</f>
        <v>0555</v>
      </c>
      <c r="F10" s="45"/>
      <c r="G10" s="43" t="str">
        <f t="shared" si="3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 t="shared" ref="A11:A26" si="4">IF($A9="S/N",1,IF($F11="Wavied","-",IF($D11=0,"",ROW($A11)-ROW($A$7)-COUNTIF($A$7:$A$8,"@")-COUNTIF($A$7:$A$8,"-"))))</f>
        <v>4</v>
      </c>
      <c r="B11" s="9" t="str">
        <f t="shared" si="0"/>
        <v>S12</v>
      </c>
      <c r="C11" s="9" t="str">
        <f t="shared" si="1"/>
        <v>-</v>
      </c>
      <c r="D11" s="213" t="s">
        <v>89</v>
      </c>
      <c r="E11" s="172" t="str">
        <f>IF($D11&gt;0,VLOOKUP($D11,Flight!$A$1:$E$91,2,FALSE),"")</f>
        <v>0615</v>
      </c>
      <c r="F11" s="43"/>
      <c r="G11" s="43" t="str">
        <f t="shared" si="3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>IF($A10="S/N",1,IF($F12="Wavied","-",IF($D12=0,"",ROW($A12)-ROW($A$7)-COUNTIF($A$7:$A$8,"@")-COUNTIF($A$7:$A$8,"-"))))</f>
        <v>5</v>
      </c>
      <c r="B12" s="9" t="str">
        <f t="shared" si="0"/>
        <v>S12</v>
      </c>
      <c r="C12" s="9" t="str">
        <f t="shared" si="1"/>
        <v>-</v>
      </c>
      <c r="D12" s="213" t="s">
        <v>201</v>
      </c>
      <c r="E12" s="172" t="str">
        <f>IF($D12&gt;0,VLOOKUP($D12,Flight!$A$1:$E$91,2,FALSE),"")</f>
        <v>0640</v>
      </c>
      <c r="F12" s="45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>IF($A11="S/N",1,IF($F13="Wavied","-",IF($D13=0,"",ROW($A13)-ROW($A$7)-COUNTIF($A$7:$A$8,"@")-COUNTIF($A$7:$A$8,"-"))))</f>
        <v>6</v>
      </c>
      <c r="B13" s="9" t="str">
        <f t="shared" si="0"/>
        <v>-</v>
      </c>
      <c r="C13" s="9" t="str">
        <f t="shared" si="1"/>
        <v>-</v>
      </c>
      <c r="D13" s="213" t="s">
        <v>39</v>
      </c>
      <c r="E13" s="172" t="str">
        <f>IF($D13&gt;0,VLOOKUP($D13,Flight!$A$1:$E$91,2,FALSE),"")</f>
        <v>0905</v>
      </c>
      <c r="F13" s="46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f t="shared" si="4"/>
        <v>7</v>
      </c>
      <c r="B14" s="9" t="str">
        <f t="shared" si="0"/>
        <v>-</v>
      </c>
      <c r="C14" s="9" t="str">
        <f t="shared" si="1"/>
        <v/>
      </c>
      <c r="D14" s="213" t="s">
        <v>404</v>
      </c>
      <c r="E14" s="172" t="str">
        <f>IF($D14&gt;0,VLOOKUP($D14,Flight!$A$1:$E$91,2,FALSE),"")</f>
        <v>0930</v>
      </c>
      <c r="F14" s="46"/>
      <c r="G14" s="43" t="str">
        <f t="shared" si="3"/>
        <v/>
      </c>
      <c r="H14" s="44" t="str">
        <f>IF($D14&gt;0,VLOOKUP($D14,Flight!$A$1:$E$91,3,FALSE),"")</f>
        <v>HYD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/>
      </c>
      <c r="L14" s="166"/>
      <c r="M14" s="166"/>
    </row>
    <row r="15" spans="1:16">
      <c r="A15" s="9">
        <f t="shared" si="4"/>
        <v>8</v>
      </c>
      <c r="B15" s="9" t="str">
        <f t="shared" si="0"/>
        <v>-</v>
      </c>
      <c r="C15" s="9" t="str">
        <f t="shared" si="1"/>
        <v>-</v>
      </c>
      <c r="D15" s="213" t="s">
        <v>370</v>
      </c>
      <c r="E15" s="172" t="str">
        <f>IF($D15&gt;0,VLOOKUP($D15,Flight!$A$1:$E$91,2,FALSE),"")</f>
        <v>0935</v>
      </c>
      <c r="F15" s="46"/>
      <c r="G15" s="43" t="str">
        <f t="shared" si="3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>-</v>
      </c>
      <c r="D16" s="213" t="s">
        <v>198</v>
      </c>
      <c r="E16" s="172" t="str">
        <f>IF($D16&gt;0,VLOOKUP($D16,Flight!$A$1:$E$91,2,FALSE),"")</f>
        <v>0950</v>
      </c>
      <c r="F16" s="45"/>
      <c r="G16" s="43" t="str">
        <f t="shared" si="3"/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f t="shared" si="4"/>
        <v>10</v>
      </c>
      <c r="B17" s="9" t="str">
        <f t="shared" si="0"/>
        <v>-</v>
      </c>
      <c r="C17" s="9" t="str">
        <f t="shared" si="1"/>
        <v>-</v>
      </c>
      <c r="D17" s="213" t="s">
        <v>55</v>
      </c>
      <c r="E17" s="172" t="str">
        <f>IF($D17&gt;0,VLOOKUP($D17,Flight!$A$1:$E$91,2,FALSE),"")</f>
        <v>0955</v>
      </c>
      <c r="F17" s="45"/>
      <c r="G17" s="43" t="str">
        <f t="shared" si="3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 t="shared" si="4"/>
        <v>11</v>
      </c>
      <c r="B18" s="9" t="str">
        <f t="shared" si="0"/>
        <v>-</v>
      </c>
      <c r="C18" s="9" t="str">
        <f t="shared" si="1"/>
        <v/>
      </c>
      <c r="D18" s="27" t="s">
        <v>372</v>
      </c>
      <c r="E18" s="172" t="str">
        <f>IF($D18&gt;0,VLOOKUP($D18,Flight!$A$1:$E$91,2,FALSE),"")</f>
        <v>1000</v>
      </c>
      <c r="F18" s="45"/>
      <c r="G18" s="43" t="str">
        <f t="shared" si="3"/>
        <v/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>
        <f t="shared" si="4"/>
        <v>12</v>
      </c>
      <c r="B19" s="9" t="str">
        <f t="shared" si="0"/>
        <v>-</v>
      </c>
      <c r="C19" s="9" t="str">
        <f t="shared" si="1"/>
        <v/>
      </c>
      <c r="D19" s="27" t="s">
        <v>373</v>
      </c>
      <c r="E19" s="172" t="str">
        <f>IF($D19&gt;0,VLOOKUP($D19,Flight!$A$1:$E$91,2,FALSE),"")</f>
        <v>1010</v>
      </c>
      <c r="F19" s="45"/>
      <c r="G19" s="43" t="str">
        <f t="shared" si="3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27" t="s">
        <v>374</v>
      </c>
      <c r="E20" s="172" t="str">
        <f>IF($D20&gt;0,VLOOKUP($D20,Flight!$A$1:$E$91,2,FALSE),"")</f>
        <v>1115</v>
      </c>
      <c r="F20" s="45"/>
      <c r="G20" s="43" t="str">
        <f t="shared" si="3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 ht="15.75" customHeight="1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27" t="s">
        <v>375</v>
      </c>
      <c r="E21" s="172" t="str">
        <f>IF($D21&gt;0,VLOOKUP($D21,Flight!$A$1:$E$91,2,FALSE),"")</f>
        <v>1145</v>
      </c>
      <c r="F21" s="44"/>
      <c r="G21" s="43" t="str">
        <f t="shared" si="3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4"/>
        <v>15</v>
      </c>
      <c r="B22" s="9" t="str">
        <f t="shared" si="0"/>
        <v>-</v>
      </c>
      <c r="C22" s="9" t="str">
        <f t="shared" si="1"/>
        <v/>
      </c>
      <c r="D22" s="215" t="s">
        <v>456</v>
      </c>
      <c r="E22" s="172">
        <v>1210</v>
      </c>
      <c r="F22" s="44"/>
      <c r="G22" s="43" t="str">
        <f t="shared" si="3"/>
        <v/>
      </c>
      <c r="H22" s="44" t="str">
        <f>IF($D22&gt;0,VLOOKUP($D22,Flight!$A$1:$E$91,3,FALSE),"")</f>
        <v>BKK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9" t="s">
        <v>376</v>
      </c>
      <c r="E23" s="172" t="str">
        <f>IF($D23&gt;0,VLOOKUP($D23,Flight!$A$1:$E$91,2,FALSE),"")</f>
        <v>1305</v>
      </c>
      <c r="F23" s="44"/>
      <c r="G23" s="43" t="str">
        <f t="shared" si="3"/>
        <v/>
      </c>
      <c r="H23" s="44" t="str">
        <f>IF($D23&gt;0,VLOOKUP($D23,Flight!$A$1:$E$91,3,FALSE),"")</f>
        <v>DMK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>-</v>
      </c>
      <c r="D24" s="214" t="s">
        <v>377</v>
      </c>
      <c r="E24" s="172" t="str">
        <f>IF($D24&gt;0,VLOOKUP($D24,Flight!$A$1:$E$91,2,FALSE),"")</f>
        <v>1310</v>
      </c>
      <c r="F24" s="45"/>
      <c r="G24" s="43" t="str">
        <f t="shared" si="3"/>
        <v/>
      </c>
      <c r="H24" s="44" t="str">
        <f>IF($D24&gt;0,VLOOKUP($D24,Flight!$A$1:$E$91,3,FALSE),"")</f>
        <v>DEL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>&lt;   Hall Operation   &gt;</v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1"/>
        <v/>
      </c>
      <c r="D25" s="27" t="s">
        <v>378</v>
      </c>
      <c r="E25" s="172" t="str">
        <f>IF($D25&gt;0,VLOOKUP($D25,Flight!$A$1:$E$91,2,FALSE),"")</f>
        <v>1415</v>
      </c>
      <c r="F25" s="45"/>
      <c r="G25" s="43" t="str">
        <f t="shared" si="3"/>
        <v/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/>
      </c>
      <c r="D26" s="27" t="s">
        <v>379</v>
      </c>
      <c r="E26" s="172" t="str">
        <f>IF($D26&gt;0,VLOOKUP($D26,Flight!$A$1:$E$91,2,FALSE),"")</f>
        <v>1420</v>
      </c>
      <c r="F26" s="44"/>
      <c r="G26" s="43" t="str">
        <f t="shared" si="3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IF($D26&gt;0,IF(VLOOKUP($D26,Flight!$A$1:$E$91,4,FALSE)&gt;1,VLOOKUP($D26,Flight!$A$1:$E109,4,FALSE),""),"")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>IF($A26="S/N",1,IF($F27="Wavied","-",IF($D27=0,"",ROW($A27)-ROW($A$7)-COUNTIF($A$7:$A$8,"@")-COUNTIF($A$7:$A$8,"-"))))</f>
        <v>20</v>
      </c>
      <c r="B27" s="9" t="str">
        <f t="shared" si="0"/>
        <v>-</v>
      </c>
      <c r="C27" s="9" t="str">
        <f t="shared" si="1"/>
        <v/>
      </c>
      <c r="D27" s="27" t="s">
        <v>381</v>
      </c>
      <c r="E27" s="172" t="str">
        <f>IF($D27&gt;0,VLOOKUP($D27,Flight!$A$1:$E$91,2,FALSE),"")</f>
        <v>1510</v>
      </c>
      <c r="F27" s="45"/>
      <c r="G27" s="43" t="str">
        <f t="shared" si="3"/>
        <v/>
      </c>
      <c r="H27" s="44" t="str">
        <f>IF($D27&gt;0,VLOOKUP($D27,Flight!$A$1:$E$91,3,FALSE),"")</f>
        <v>DOH</v>
      </c>
      <c r="I27" s="44" t="str">
        <f>IF($D27&gt;0,IF(VLOOKUP($D27,Flight!$A$1:$E$91,4,FALSE)&gt;1,VLOOKUP($D27,Flight!$A$1:$E111,4,FALSE),""),"")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</row>
    <row r="28" spans="1:15">
      <c r="A28" s="9">
        <f t="shared" ref="A28:A40" si="5">IF($A27="S/N",1,IF($F28="Wavied","-",IF($D28=0,"",ROW($A28)-ROW($A$7)-COUNTIF($A$7:$A$8,"@")-COUNTIF($A$7:$A$8,"-"))))</f>
        <v>21</v>
      </c>
      <c r="B28" s="9" t="str">
        <f t="shared" si="0"/>
        <v>-</v>
      </c>
      <c r="C28" s="9" t="str">
        <f t="shared" si="1"/>
        <v/>
      </c>
      <c r="D28" s="27" t="s">
        <v>91</v>
      </c>
      <c r="E28" s="172" t="str">
        <f>IF($D28&gt;0,VLOOKUP($D28,Flight!$A$1:$E$91,2,FALSE),"")</f>
        <v>1645</v>
      </c>
      <c r="F28" s="49"/>
      <c r="G28" s="43" t="str">
        <f t="shared" si="3"/>
        <v/>
      </c>
      <c r="H28" s="44" t="str">
        <f>IF($D28&gt;0,VLOOKUP($D28,Flight!$A$1:$E$91,3,FALSE),"")</f>
        <v>ADD</v>
      </c>
      <c r="I28" s="44" t="str">
        <f>IF($D28&gt;0,IF(VLOOKUP($D28,Flight!$A$1:$E$91,4,FALSE)&gt;1,VLOOKUP($D28,Flight!$A$1:$E112,4,FALSE),""),"")</f>
        <v>BKK</v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</row>
    <row r="29" spans="1:15">
      <c r="A29" s="9">
        <f t="shared" si="5"/>
        <v>22</v>
      </c>
      <c r="B29" s="9" t="str">
        <f t="shared" si="0"/>
        <v>-</v>
      </c>
      <c r="C29" s="9" t="str">
        <f t="shared" si="1"/>
        <v/>
      </c>
      <c r="D29" s="27" t="s">
        <v>73</v>
      </c>
      <c r="E29" s="172" t="str">
        <f>IF($D29&gt;0,VLOOKUP($D29,Flight!$A$1:$E$91,2,FALSE),"")</f>
        <v>1715</v>
      </c>
      <c r="F29" s="45"/>
      <c r="G29" s="43" t="str">
        <f t="shared" si="3"/>
        <v/>
      </c>
      <c r="H29" s="44" t="str">
        <f>IF($D29&gt;0,VLOOKUP($D29,Flight!$A$1:$E$91,3,FALSE),"")</f>
        <v>IST</v>
      </c>
      <c r="I29" s="44" t="str">
        <f>IF($D29&gt;0,IF(VLOOKUP($D29,Flight!$A$1:$E$91,4,FALSE)&gt;1,VLOOKUP($D29,Flight!$A$1:$E113,4,FALSE),""),"")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5"/>
        <v>23</v>
      </c>
      <c r="B30" s="9" t="str">
        <f t="shared" si="0"/>
        <v>-</v>
      </c>
      <c r="C30" s="9" t="str">
        <f t="shared" si="1"/>
        <v/>
      </c>
      <c r="D30" s="27" t="s">
        <v>398</v>
      </c>
      <c r="E30" s="172" t="str">
        <f>IF($D30&gt;0,VLOOKUP($D30,Flight!$A$1:$E$91,2,FALSE),"")</f>
        <v>1720</v>
      </c>
      <c r="F30" s="45"/>
      <c r="G30" s="43" t="str">
        <f t="shared" si="3"/>
        <v/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IF($D30&gt;0,IF(VLOOKUP($D30,Flight!$A$1:$E$91,4,FALSE)&gt;1,VLOOKUP($D30,Flight!$A$1:$E114,4,FALSE),""),"")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 s="349" customFormat="1">
      <c r="A31" s="9">
        <f t="shared" si="5"/>
        <v>24</v>
      </c>
      <c r="B31" s="9" t="str">
        <f t="shared" si="0"/>
        <v>-</v>
      </c>
      <c r="C31" s="9" t="str">
        <f t="shared" si="1"/>
        <v/>
      </c>
      <c r="D31" s="27" t="s">
        <v>1005</v>
      </c>
      <c r="E31" s="172" t="str">
        <f>IF($D31&gt;0,VLOOKUP($D31,Flight!$A$1:$E$91,2,FALSE),"")</f>
        <v>1745</v>
      </c>
      <c r="F31" s="45"/>
      <c r="G31" s="43" t="str">
        <f t="shared" ref="G31" si="6">IF(A31="@",IF(H31="ZYK","Berth 3",IF(H31="HKM","Bay 7","")),"")</f>
        <v/>
      </c>
      <c r="H31" s="44" t="str">
        <f>IF($D31&gt;0,VLOOKUP($D31,Flight!$A$1:$E$91,3,FALSE),"")</f>
        <v>BKK</v>
      </c>
      <c r="I31" s="44" t="str">
        <f>IF($D31&gt;0,IF(VLOOKUP($D31,Flight!$A$1:$E$91,4,FALSE)&gt;1,VLOOKUP($D31,Flight!$A$1:$E115,4,FALSE),""),"")</f>
        <v/>
      </c>
      <c r="J31" s="44"/>
      <c r="K31" s="166"/>
      <c r="L31" s="166"/>
      <c r="M31" s="166"/>
      <c r="O31" s="112"/>
    </row>
    <row r="32" spans="1:15">
      <c r="A32" s="9">
        <f>IF($A30="S/N",1,IF($F32="Wavied","-",IF($D32=0,"",ROW($A32)-ROW($A$7)-COUNTIF($A$7:$A$8,"@")-COUNTIF($A$7:$A$8,"-"))))</f>
        <v>25</v>
      </c>
      <c r="B32" s="9" t="str">
        <f t="shared" si="0"/>
        <v>-</v>
      </c>
      <c r="C32" s="9" t="str">
        <f t="shared" si="1"/>
        <v/>
      </c>
      <c r="D32" s="27" t="s">
        <v>78</v>
      </c>
      <c r="E32" s="172" t="str">
        <f>IF($D32&gt;0,VLOOKUP($D32,Flight!$A$1:$E$91,2,FALSE),"")</f>
        <v>1755</v>
      </c>
      <c r="F32" s="46"/>
      <c r="G32" s="43" t="str">
        <f t="shared" si="3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IF($D32&gt;0,IF(VLOOKUP($D32,Flight!$A$1:$E$91,4,FALSE)&gt;1,VLOOKUP($D32,Flight!$A$1:$E115,4,FALSE),""),"")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ref="K32:K40" si="7">IF($D32=0,"",IF(OR(ISNUMBER(SEARCH("S",$B32)),_xlfn.IFNA(MATCH($D32,$D$104:$D$114,0)&lt;20,"")=TRUE),"&lt;   Hall Operation   &gt;",""))</f>
        <v/>
      </c>
      <c r="L32" s="166"/>
      <c r="M32" s="166"/>
    </row>
    <row r="33" spans="1:18">
      <c r="A33" s="9">
        <f t="shared" si="5"/>
        <v>26</v>
      </c>
      <c r="B33" s="9" t="str">
        <f t="shared" si="0"/>
        <v>-</v>
      </c>
      <c r="C33" s="9" t="str">
        <f t="shared" si="1"/>
        <v/>
      </c>
      <c r="D33" s="27" t="s">
        <v>68</v>
      </c>
      <c r="E33" s="172" t="str">
        <f>IF($D33&gt;0,VLOOKUP($D33,Flight!$A$1:$E$91,2,FALSE),"")</f>
        <v>1805</v>
      </c>
      <c r="F33" s="45"/>
      <c r="G33" s="43" t="str">
        <f t="shared" si="3"/>
        <v/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IF($D33&gt;0,IF(VLOOKUP($D33,Flight!$A$1:$E$91,4,FALSE)&gt;1,VLOOKUP($D33,Flight!$A$1:$E116,4,FALSE),""),"")</f>
        <v>BKK</v>
      </c>
      <c r="J33" s="44" t="str">
        <f>IF($D33&gt;0,IF(VLOOKUP($D33,Flight!$A$1:$E$91,5,FALSE)&gt;1,VLOOKUP($D33,Flight!$A$1:$E$91,5,FALSE),""),"")</f>
        <v/>
      </c>
      <c r="K33" s="166" t="str">
        <f t="shared" si="7"/>
        <v/>
      </c>
      <c r="L33" s="166"/>
      <c r="M33" s="166"/>
    </row>
    <row r="34" spans="1:18">
      <c r="A34" s="9">
        <f t="shared" si="5"/>
        <v>27</v>
      </c>
      <c r="B34" s="9" t="str">
        <f t="shared" si="0"/>
        <v>-</v>
      </c>
      <c r="C34" s="9" t="str">
        <f t="shared" si="1"/>
        <v/>
      </c>
      <c r="D34" s="27" t="s">
        <v>49</v>
      </c>
      <c r="E34" s="172" t="str">
        <f>IF($D34&gt;0,VLOOKUP($D34,Flight!$A$1:$E$91,2,FALSE),"")</f>
        <v>1810</v>
      </c>
      <c r="F34" s="45"/>
      <c r="G34" s="43" t="str">
        <f t="shared" si="3"/>
        <v/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IF($D34&gt;0,IF(VLOOKUP($D34,Flight!$A$1:$E$91,4,FALSE)&gt;1,VLOOKUP($D34,Flight!$A$1:$E117,4,FALSE),""),"")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7"/>
        <v/>
      </c>
      <c r="L34" s="166"/>
      <c r="M34" s="167"/>
      <c r="P34" s="84"/>
    </row>
    <row r="35" spans="1:18">
      <c r="A35" s="9">
        <f t="shared" si="5"/>
        <v>28</v>
      </c>
      <c r="B35" s="9" t="str">
        <f t="shared" si="0"/>
        <v>-</v>
      </c>
      <c r="C35" s="9" t="str">
        <f t="shared" si="1"/>
        <v/>
      </c>
      <c r="D35" s="27" t="s">
        <v>203</v>
      </c>
      <c r="E35" s="172" t="str">
        <f>IF($D35&gt;0,VLOOKUP($D35,Flight!$A$1:$E$91,2,FALSE),"")</f>
        <v>1820</v>
      </c>
      <c r="F35" s="45"/>
      <c r="G35" s="43" t="str">
        <f t="shared" si="3"/>
        <v/>
      </c>
      <c r="H35" s="44" t="str">
        <f>IF($D35&gt;0,VLOOKUP($D35,Flight!$A$1:$E$91,3,FALSE),"")</f>
        <v>SIN</v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7"/>
        <v/>
      </c>
      <c r="L35" s="166"/>
      <c r="M35" s="167"/>
      <c r="O35" s="115"/>
      <c r="P35" s="87"/>
    </row>
    <row r="36" spans="1:18">
      <c r="A36" s="9">
        <f t="shared" si="5"/>
        <v>29</v>
      </c>
      <c r="B36" s="9" t="str">
        <f t="shared" si="0"/>
        <v>-</v>
      </c>
      <c r="C36" s="9" t="str">
        <f t="shared" si="1"/>
        <v/>
      </c>
      <c r="D36" s="27" t="s">
        <v>72</v>
      </c>
      <c r="E36" s="172" t="str">
        <f>IF($D36&gt;0,VLOOKUP($D36,Flight!$A$1:$E$91,2,FALSE),"")</f>
        <v>1950</v>
      </c>
      <c r="F36" s="45"/>
      <c r="G36" s="43" t="str">
        <f t="shared" si="3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IF($D36&gt;0,IF(VLOOKUP($D36,Flight!$A$1:$E$91,4,FALSE)&gt;1,VLOOKUP($D36,Flight!$A$1:$E120,4,FALSE),""),"")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7"/>
        <v/>
      </c>
      <c r="L36" s="166"/>
      <c r="M36" s="167"/>
      <c r="O36" s="4"/>
      <c r="P36" s="4"/>
      <c r="Q36" s="4"/>
      <c r="R36" s="4"/>
    </row>
    <row r="37" spans="1:18" ht="16.5">
      <c r="A37" s="9">
        <f t="shared" si="5"/>
        <v>30</v>
      </c>
      <c r="B37" s="9" t="str">
        <f t="shared" si="0"/>
        <v>-</v>
      </c>
      <c r="C37" s="9" t="str">
        <f t="shared" si="1"/>
        <v/>
      </c>
      <c r="D37" s="27" t="s">
        <v>64</v>
      </c>
      <c r="E37" s="172" t="str">
        <f>IF($D37&gt;0,VLOOKUP($D37,Flight!$A$1:$E$91,2,FALSE),"")</f>
        <v>2030</v>
      </c>
      <c r="F37" s="45"/>
      <c r="G37" s="43" t="str">
        <f t="shared" si="3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IF($D37&gt;0,IF(VLOOKUP($D37,Flight!$A$1:$E$91,4,FALSE)&gt;1,VLOOKUP($D37,Flight!$A$1:$E121,4,FALSE),""),"")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7"/>
        <v/>
      </c>
      <c r="L37" s="166"/>
      <c r="M37" s="166"/>
      <c r="O37" s="4"/>
      <c r="P37" s="89"/>
      <c r="Q37" s="4"/>
      <c r="R37" s="4"/>
    </row>
    <row r="38" spans="1:18" ht="16.5">
      <c r="A38" s="9">
        <f t="shared" si="5"/>
        <v>31</v>
      </c>
      <c r="B38" s="9" t="str">
        <f t="shared" si="0"/>
        <v>-</v>
      </c>
      <c r="C38" s="9" t="str">
        <f t="shared" si="1"/>
        <v>S9</v>
      </c>
      <c r="D38" s="27" t="s">
        <v>50</v>
      </c>
      <c r="E38" s="172" t="str">
        <f>IF($D38&gt;0,VLOOKUP($D38,Flight!$A$1:$E$91,2,FALSE),"")</f>
        <v>2155</v>
      </c>
      <c r="F38" s="45"/>
      <c r="G38" s="43" t="str">
        <f t="shared" si="3"/>
        <v/>
      </c>
      <c r="H38" s="44" t="str">
        <f>IF($D38&gt;0,VLOOKUP($D38,Flight!$A$1:$E$91,3,FALSE),"")</f>
        <v>DOH</v>
      </c>
      <c r="I38" s="44" t="str">
        <f>IF($D38&gt;0,IF(VLOOKUP($D38,Flight!$A$1:$E$91,4,FALSE)&gt;1,VLOOKUP($D38,Flight!$A$1:$E123,4,FALSE),""),"")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7"/>
        <v/>
      </c>
      <c r="L38" s="166"/>
      <c r="M38" s="166"/>
      <c r="O38" s="4"/>
      <c r="P38" s="89"/>
      <c r="Q38" s="4"/>
      <c r="R38" s="4"/>
    </row>
    <row r="39" spans="1:18" ht="16.5">
      <c r="A39" s="9">
        <f t="shared" si="5"/>
        <v>32</v>
      </c>
      <c r="B39" s="9" t="str">
        <f t="shared" si="0"/>
        <v>-</v>
      </c>
      <c r="C39" s="9" t="str">
        <f t="shared" si="1"/>
        <v>S9</v>
      </c>
      <c r="D39" s="27" t="s">
        <v>77</v>
      </c>
      <c r="E39" s="172" t="str">
        <f>IF($D39&gt;0,VLOOKUP($D39,Flight!$A$1:$E$91,2,FALSE),"")</f>
        <v>2320</v>
      </c>
      <c r="F39" s="45"/>
      <c r="G39" s="43" t="str">
        <f t="shared" si="3"/>
        <v/>
      </c>
      <c r="H39" s="44" t="str">
        <f>IF($D39&gt;0,VLOOKUP($D39,Flight!$A$1:$E$91,3,FALSE),"")</f>
        <v>BKK</v>
      </c>
      <c r="I39" s="44" t="str">
        <f>IF($D39&gt;0,IF(VLOOKUP($D39,Flight!$A$1:$E$91,4,FALSE)&gt;1,VLOOKUP($D39,Flight!$A$1:$E124,4,FALSE),""),"")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7"/>
        <v/>
      </c>
      <c r="L39" s="166"/>
      <c r="M39" s="166"/>
      <c r="O39" s="4"/>
      <c r="P39" s="89"/>
      <c r="Q39" s="4"/>
      <c r="R39" s="4"/>
    </row>
    <row r="40" spans="1:18" ht="16.5">
      <c r="A40" s="9" t="str">
        <f t="shared" si="5"/>
        <v/>
      </c>
      <c r="B40" s="9" t="str">
        <f t="shared" si="0"/>
        <v/>
      </c>
      <c r="C40" s="9" t="str">
        <f t="shared" si="1"/>
        <v/>
      </c>
      <c r="D40" s="27"/>
      <c r="E40" s="172" t="str">
        <f>IF($D40&gt;0,VLOOKUP($D40,Flight!$A$1:$E$91,2,FALSE),"")</f>
        <v/>
      </c>
      <c r="F40" s="45"/>
      <c r="G40" s="43" t="str">
        <f t="shared" si="3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IF($D40&gt;0,IF(VLOOKUP($D40,Flight!$A$1:$E$91,4,FALSE)&gt;1,VLOOKUP($D40,Flight!$A$1:$E125,4,FALSE),""),"")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7"/>
        <v/>
      </c>
      <c r="L40" s="166"/>
      <c r="M40" s="166"/>
      <c r="O40" s="4"/>
      <c r="P40" s="89"/>
      <c r="Q40" s="4"/>
      <c r="R40" s="4"/>
    </row>
    <row r="41" spans="1:18">
      <c r="A41" s="376" t="s">
        <v>5</v>
      </c>
      <c r="B41" s="376"/>
      <c r="C41" s="376"/>
      <c r="D41" s="376"/>
      <c r="E41" s="376"/>
      <c r="F41" s="376"/>
      <c r="G41" s="50"/>
      <c r="H41" s="321" t="s">
        <v>40</v>
      </c>
      <c r="I41" s="377"/>
      <c r="J41" s="377"/>
      <c r="K41" s="377"/>
      <c r="L41" s="377"/>
      <c r="M41" s="377"/>
      <c r="N41" s="5"/>
    </row>
    <row r="42" spans="1:18">
      <c r="A42" s="379" t="s">
        <v>35</v>
      </c>
      <c r="B42" s="379"/>
      <c r="C42" s="379" t="s">
        <v>31</v>
      </c>
      <c r="D42" s="379"/>
      <c r="E42" s="379"/>
      <c r="F42" s="379"/>
      <c r="G42" s="379"/>
      <c r="H42" s="379"/>
      <c r="I42" s="378"/>
      <c r="J42" s="378"/>
      <c r="K42" s="378"/>
      <c r="L42" s="378"/>
      <c r="M42" s="378"/>
    </row>
    <row r="43" spans="1:18">
      <c r="A43" s="379"/>
      <c r="B43" s="379"/>
      <c r="C43" s="379"/>
      <c r="D43" s="379"/>
      <c r="E43" s="379"/>
      <c r="F43" s="379"/>
      <c r="G43" s="379"/>
      <c r="H43" s="379"/>
      <c r="I43" s="51"/>
      <c r="J43" s="51"/>
      <c r="K43" s="6"/>
      <c r="L43" s="6"/>
      <c r="M43" s="6"/>
    </row>
    <row r="44" spans="1:18">
      <c r="A44" s="389" t="s">
        <v>216</v>
      </c>
      <c r="B44" s="389"/>
      <c r="C44" s="323" t="str">
        <f>VLOOKUP($D$44,Staff!$B$2:$D$41,2,FALSE)</f>
        <v>CIA</v>
      </c>
      <c r="D44" s="375" t="str">
        <f>VLOOKUP(VLOOKUP($E$56,$E$60:$J$71,6,FALSE),Staff!$A$2:$D$13,2,FALSE)</f>
        <v>KS CHU</v>
      </c>
      <c r="E44" s="375"/>
      <c r="F44" s="325" t="s">
        <v>215</v>
      </c>
      <c r="G44" s="390" t="str">
        <f>VLOOKUP($D$44,Staff!$B$2:$D$39,3,FALSE)</f>
        <v>9078 2260</v>
      </c>
      <c r="H44" s="390"/>
      <c r="I44" s="391" t="s">
        <v>223</v>
      </c>
      <c r="J44" s="391"/>
      <c r="K44" s="375" t="str">
        <f>IF(COUNTIF($E$60:$E$63,$E$56)&gt;0,Staff!$G$2,"")&amp;IF(COUNTIF($E$64:$E$67,$E$56)&gt;0,Staff!$G$3,"")&amp;IF(COUNTIF($E$68:$E$71,$E$56)&gt;0,Staff!$G$4,"")</f>
        <v>LIU, WAI FUN (F)</v>
      </c>
      <c r="L44" s="375"/>
      <c r="M44" s="375"/>
    </row>
    <row r="45" spans="1:18">
      <c r="A45" s="389" t="s">
        <v>217</v>
      </c>
      <c r="B45" s="389"/>
      <c r="C45" s="323" t="str">
        <f>VLOOKUP($D$45,Staff!$B$2:$D$41,2,FALSE)</f>
        <v>CIA</v>
      </c>
      <c r="D45" s="375" t="str">
        <f>VLOOKUP(VLOOKUP($E$57,$E$60:$J$71,6,FALSE),Staff!$A$2:$D$13,2,FALSE)</f>
        <v>WS YUEN</v>
      </c>
      <c r="E45" s="375"/>
      <c r="F45" s="325" t="s">
        <v>215</v>
      </c>
      <c r="G45" s="390" t="str">
        <f>VLOOKUP($D$45,Staff!$B$2:$D$39,3,FALSE)</f>
        <v>9745 6782</v>
      </c>
      <c r="H45" s="390"/>
      <c r="I45" s="391" t="s">
        <v>224</v>
      </c>
      <c r="J45" s="391"/>
      <c r="K45" s="375" t="str">
        <f>IF(COUNTIF($E$60:$E$63,$E$57)&gt;0,Staff!$G$2,"")&amp;IF(COUNTIF($E$64:$E$67,$E$57)&gt;0,Staff!$G$3,"")&amp;IF(COUNTIF($E$68:$E$71,$E$57)&gt;0,Staff!$G$4,"")</f>
        <v>WONG, TSZ MING</v>
      </c>
      <c r="L45" s="375"/>
      <c r="M45" s="375"/>
    </row>
    <row r="46" spans="1:18">
      <c r="A46" s="329"/>
      <c r="B46" s="329"/>
      <c r="C46" s="327"/>
      <c r="D46" s="395"/>
      <c r="E46" s="395"/>
      <c r="F46" s="324"/>
      <c r="G46" s="396"/>
      <c r="H46" s="396"/>
      <c r="I46" s="390"/>
      <c r="J46" s="390"/>
      <c r="K46" s="143"/>
      <c r="L46" s="143"/>
      <c r="M46" s="143"/>
    </row>
    <row r="47" spans="1:18">
      <c r="A47" s="397" t="s">
        <v>4</v>
      </c>
      <c r="B47" s="397"/>
      <c r="C47" s="396" t="s">
        <v>218</v>
      </c>
      <c r="D47" s="396"/>
      <c r="E47" s="396"/>
      <c r="F47" s="154" t="s">
        <v>213</v>
      </c>
      <c r="G47" s="398" t="str">
        <f>IF(COUNTIF($E$60:$E$63,$E$56)&gt;0,Staff!$G$14,"")&amp;IF(COUNTIF($E$64:$E$67,$E$56)&gt;0,Staff!$G$13,"")&amp;IF(COUNTIF($E$68:$E$71,$E$56)&gt;0,Staff!$G$12,"")</f>
        <v>HO, KWOK WUN D</v>
      </c>
      <c r="H47" s="398"/>
      <c r="I47" s="398"/>
      <c r="J47" s="333" t="s">
        <v>209</v>
      </c>
      <c r="K47" s="390" t="str">
        <f>VLOOKUP(VLOOKUP($B$3,$E$60:$J$71,6,FALSE),Staff!$F$22:$G$47,2,FALSE)</f>
        <v>CHEUNG, HO WAI</v>
      </c>
      <c r="L47" s="390"/>
      <c r="M47" s="390"/>
      <c r="N47" s="12"/>
    </row>
    <row r="48" spans="1:18">
      <c r="A48" s="155"/>
      <c r="B48" s="155"/>
      <c r="C48" s="396" t="s">
        <v>219</v>
      </c>
      <c r="D48" s="396"/>
      <c r="E48" s="396"/>
      <c r="F48" s="154" t="s">
        <v>214</v>
      </c>
      <c r="G48" s="375" t="str">
        <f>IF(COUNTIF($E$60:$E$63,$E$57)&gt;0,Staff!$G$14,"")&amp;IF(COUNTIF($E$64:$E$67,$E$57)&gt;0,Staff!$G$13,"")&amp;IF(COUNTIF($E$68:$E$71,$E$57)&gt;0,Staff!$G$12,"")</f>
        <v>CHONG, MAN LOK</v>
      </c>
      <c r="H48" s="375"/>
      <c r="I48" s="375"/>
      <c r="J48" s="333" t="s">
        <v>208</v>
      </c>
      <c r="K48" s="390"/>
      <c r="L48" s="390"/>
      <c r="M48" s="390"/>
    </row>
    <row r="49" spans="1:13">
      <c r="A49" s="320"/>
      <c r="B49" s="320"/>
      <c r="C49" s="327"/>
      <c r="D49" s="401"/>
      <c r="E49" s="401"/>
      <c r="F49" s="401"/>
      <c r="G49" s="401"/>
      <c r="H49" s="401"/>
      <c r="I49" s="401"/>
      <c r="J49" s="333" t="s">
        <v>210</v>
      </c>
      <c r="K49" s="390"/>
      <c r="L49" s="390"/>
      <c r="M49" s="390"/>
    </row>
    <row r="50" spans="1:13">
      <c r="A50" s="392" t="s">
        <v>3</v>
      </c>
      <c r="B50" s="393"/>
      <c r="C50" s="394" t="s">
        <v>220</v>
      </c>
      <c r="D50" s="394"/>
      <c r="E50" s="394"/>
      <c r="F50" s="397" t="s">
        <v>408</v>
      </c>
      <c r="G50" s="397"/>
      <c r="H50" s="397"/>
      <c r="I50" s="397"/>
      <c r="J50" s="333" t="s">
        <v>211</v>
      </c>
      <c r="K50" s="390"/>
      <c r="L50" s="390"/>
      <c r="M50" s="390"/>
    </row>
    <row r="51" spans="1:13">
      <c r="A51" s="393" t="s">
        <v>2</v>
      </c>
      <c r="B51" s="393"/>
      <c r="C51" s="411" t="s">
        <v>221</v>
      </c>
      <c r="D51" s="411"/>
      <c r="E51" s="411"/>
      <c r="F51" s="412" t="s">
        <v>1</v>
      </c>
      <c r="G51" s="412"/>
      <c r="H51" s="400" t="s">
        <v>409</v>
      </c>
      <c r="I51" s="400"/>
      <c r="J51" s="333" t="s">
        <v>212</v>
      </c>
      <c r="K51" s="390"/>
      <c r="L51" s="390"/>
      <c r="M51" s="390"/>
    </row>
    <row r="52" spans="1:13">
      <c r="A52" s="155"/>
      <c r="B52" s="155"/>
      <c r="C52" s="320"/>
      <c r="D52" s="399"/>
      <c r="E52" s="399"/>
      <c r="F52" s="391"/>
      <c r="G52" s="391"/>
      <c r="H52" s="400" t="s">
        <v>410</v>
      </c>
      <c r="I52" s="400"/>
      <c r="J52" s="326"/>
      <c r="K52" s="329"/>
      <c r="L52" s="329"/>
      <c r="M52" s="47"/>
    </row>
    <row r="53" spans="1:13" ht="16.5" customHeight="1">
      <c r="A53" s="392" t="s">
        <v>0</v>
      </c>
      <c r="B53" s="392"/>
      <c r="C53" s="407" t="s">
        <v>222</v>
      </c>
      <c r="D53" s="407"/>
      <c r="E53" s="407"/>
      <c r="F53" s="326"/>
      <c r="G53" s="333"/>
      <c r="H53" s="394" t="s">
        <v>411</v>
      </c>
      <c r="I53" s="394"/>
      <c r="J53" s="332"/>
      <c r="K53" s="329"/>
      <c r="L53" s="329"/>
      <c r="M53" s="47"/>
    </row>
    <row r="54" spans="1:13">
      <c r="C54" s="408"/>
      <c r="D54" s="408"/>
      <c r="E54" s="408"/>
      <c r="F54" s="408"/>
      <c r="G54" s="408"/>
      <c r="H54" s="408"/>
      <c r="J54" s="53"/>
      <c r="K54" s="112"/>
      <c r="L54" s="112"/>
    </row>
    <row r="55" spans="1:13" ht="16.5" thickBot="1">
      <c r="A55" s="3"/>
      <c r="B55" s="3"/>
      <c r="C55" s="3"/>
      <c r="D55" s="2"/>
      <c r="E55" s="39"/>
      <c r="F55" s="331"/>
      <c r="G55" s="331"/>
      <c r="I55" s="409"/>
      <c r="J55" s="409"/>
      <c r="K55" s="112"/>
      <c r="L55" s="112"/>
    </row>
    <row r="56" spans="1:13">
      <c r="D56" s="330"/>
      <c r="E56" s="90" t="s">
        <v>133</v>
      </c>
      <c r="F56" s="91" t="s">
        <v>135</v>
      </c>
      <c r="G56" s="91"/>
      <c r="H56" s="92"/>
      <c r="I56" s="330"/>
      <c r="J56" s="330"/>
    </row>
    <row r="57" spans="1:13" ht="16.5" thickBot="1">
      <c r="D57" s="330"/>
      <c r="E57" s="93" t="s">
        <v>134</v>
      </c>
      <c r="F57" s="94" t="s">
        <v>136</v>
      </c>
      <c r="G57" s="94"/>
      <c r="H57" s="95"/>
      <c r="I57" s="330"/>
      <c r="J57" s="330"/>
    </row>
    <row r="58" spans="1:13">
      <c r="D58" s="330"/>
      <c r="E58" s="330"/>
      <c r="F58" s="330"/>
      <c r="G58" s="330"/>
      <c r="H58" s="330"/>
      <c r="I58" s="330"/>
      <c r="J58" s="330"/>
    </row>
    <row r="59" spans="1:13" ht="16.5" thickBot="1">
      <c r="D59" s="85" t="s">
        <v>132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98</v>
      </c>
      <c r="J59" s="330"/>
      <c r="K59" s="96" t="s">
        <v>302</v>
      </c>
      <c r="L59" s="96" t="s">
        <v>303</v>
      </c>
      <c r="M59" s="96"/>
    </row>
    <row r="60" spans="1:13">
      <c r="D60" s="97" t="s">
        <v>86</v>
      </c>
      <c r="E60" s="98" t="str">
        <f>_xlfn.IFNA(VLOOKUP(MOD((($D$1-WEEKDAY($D$1,2)+1)-45523)/7+21,24),Shift!$A$2:$H$25,WEEKDAY($D$1,2)+1),VLOOKUP(24,Shift!$A$2:$H$25,WEEKDAY($D$1,2)+1))</f>
        <v>L</v>
      </c>
      <c r="F60" s="98">
        <f>IF(OR($E60="L",$E60="L#"),0,"?")</f>
        <v>0</v>
      </c>
      <c r="G60" s="98">
        <f>IF(OR($E60="L",$E60="L#"),0,"?")</f>
        <v>0</v>
      </c>
      <c r="H60" s="98">
        <f>IF(OR($E60="L",$E60="L#"),0,"?")</f>
        <v>0</v>
      </c>
      <c r="I60" s="99">
        <f t="shared" ref="I60:I71" si="8">IF(OR($E60="L",$E60="L#"),0,SUM($F60:$H60))</f>
        <v>0</v>
      </c>
      <c r="J60" s="136" t="s">
        <v>86</v>
      </c>
      <c r="K60" s="112" t="str">
        <f>IF(AND($F60&gt;1,$F60&lt;&gt;"?"),$F60-1,"")</f>
        <v/>
      </c>
      <c r="L60" s="112" t="str">
        <f>IF(AND($G60&gt;1,$G60&lt;&gt;"?"),$G60-1,"")</f>
        <v/>
      </c>
      <c r="M60" s="112"/>
    </row>
    <row r="61" spans="1:13">
      <c r="D61" s="100" t="s">
        <v>85</v>
      </c>
      <c r="E61" s="101" t="str">
        <f>_xlfn.IFNA(VLOOKUP(MOD((($D$1-WEEKDAY($D$1,2)+1)-45523)/7+3,24),Shift!$A$2:$H$25,WEEKDAY($D$1,2)+1),VLOOKUP(24,Shift!$A$2:$H$25,WEEKDAY($D$1,2)+1))</f>
        <v>M @</v>
      </c>
      <c r="F61" s="101" t="str">
        <f t="shared" ref="F61:H71" si="9">IF(OR($E61="L",$E61="L#"),0,"?")</f>
        <v>?</v>
      </c>
      <c r="G61" s="101" t="str">
        <f t="shared" si="9"/>
        <v>?</v>
      </c>
      <c r="H61" s="101" t="str">
        <f t="shared" si="9"/>
        <v>?</v>
      </c>
      <c r="I61" s="102">
        <f t="shared" si="8"/>
        <v>0</v>
      </c>
      <c r="J61" s="137" t="s">
        <v>85</v>
      </c>
      <c r="K61" s="112" t="str">
        <f t="shared" ref="K61:K71" si="10">IF(AND($F61&gt;1,$F61&lt;&gt;"?"),$F61-1,"")</f>
        <v/>
      </c>
      <c r="L61" s="112" t="str">
        <f t="shared" ref="L61:L71" si="11">IF(AND($G61&gt;1,$G61&lt;&gt;"?"),$G61-1,"")</f>
        <v/>
      </c>
      <c r="M61" s="112"/>
    </row>
    <row r="62" spans="1:13">
      <c r="D62" s="100" t="s">
        <v>99</v>
      </c>
      <c r="E62" s="101" t="str">
        <f>_xlfn.IFNA(VLOOKUP(MOD((($D$1-WEEKDAY($D$1,2)+1)-45523)/7+9,24),Shift!$A$2:$H$25,WEEKDAY($D$1,2)+1),VLOOKUP(24,Shift!$A$2:$H$25,WEEKDAY($D$1,2)+1))</f>
        <v>M</v>
      </c>
      <c r="F62" s="101" t="str">
        <f t="shared" si="9"/>
        <v>?</v>
      </c>
      <c r="G62" s="101" t="str">
        <f t="shared" si="9"/>
        <v>?</v>
      </c>
      <c r="H62" s="101" t="str">
        <f t="shared" si="9"/>
        <v>?</v>
      </c>
      <c r="I62" s="102">
        <f t="shared" si="8"/>
        <v>0</v>
      </c>
      <c r="J62" s="137" t="s">
        <v>99</v>
      </c>
      <c r="K62" s="112" t="str">
        <f t="shared" si="10"/>
        <v/>
      </c>
      <c r="L62" s="112" t="str">
        <f t="shared" si="11"/>
        <v/>
      </c>
      <c r="M62" s="112"/>
    </row>
    <row r="63" spans="1:13" ht="16.5" thickBot="1">
      <c r="D63" s="103" t="s">
        <v>100</v>
      </c>
      <c r="E63" s="104" t="str">
        <f>_xlfn.IFNA(VLOOKUP(MOD((($D$1-WEEKDAY($D$1,2)+1)-45523)/7+15,24),Shift!$A$2:$H$25,WEEKDAY($D$1,2)+1),VLOOKUP(24,Shift!$A$2:$H$25,WEEKDAY($D$1,2)+1))</f>
        <v>G1</v>
      </c>
      <c r="F63" s="104" t="str">
        <f t="shared" si="9"/>
        <v>?</v>
      </c>
      <c r="G63" s="104" t="str">
        <f t="shared" si="9"/>
        <v>?</v>
      </c>
      <c r="H63" s="104" t="str">
        <f t="shared" si="9"/>
        <v>?</v>
      </c>
      <c r="I63" s="105">
        <f t="shared" si="8"/>
        <v>0</v>
      </c>
      <c r="J63" s="138" t="s">
        <v>100</v>
      </c>
      <c r="K63" s="112" t="str">
        <f t="shared" si="10"/>
        <v/>
      </c>
      <c r="L63" s="112" t="str">
        <f t="shared" si="11"/>
        <v/>
      </c>
      <c r="M63" s="112"/>
    </row>
    <row r="64" spans="1:13">
      <c r="D64" s="97" t="s">
        <v>101</v>
      </c>
      <c r="E64" s="98" t="str">
        <f>_xlfn.IFNA(VLOOKUP(MOD((($D$1-WEEKDAY($D$1,2)+1)-45523)/7+19,24),Shift!$A$2:$H$25,WEEKDAY($D$1,2)+1),VLOOKUP(24,Shift!$A$2:$H$25,WEEKDAY($D$1,2)+1))</f>
        <v>L</v>
      </c>
      <c r="F64" s="98">
        <f t="shared" si="9"/>
        <v>0</v>
      </c>
      <c r="G64" s="98">
        <f t="shared" si="9"/>
        <v>0</v>
      </c>
      <c r="H64" s="98">
        <f t="shared" si="9"/>
        <v>0</v>
      </c>
      <c r="I64" s="99">
        <f t="shared" si="8"/>
        <v>0</v>
      </c>
      <c r="J64" s="136" t="s">
        <v>101</v>
      </c>
      <c r="K64" s="112" t="str">
        <f t="shared" si="10"/>
        <v/>
      </c>
      <c r="L64" s="112" t="str">
        <f t="shared" si="11"/>
        <v/>
      </c>
      <c r="M64" s="112"/>
    </row>
    <row r="65" spans="4:13">
      <c r="D65" s="100" t="s">
        <v>102</v>
      </c>
      <c r="E65" s="101" t="str">
        <f>_xlfn.IFNA(VLOOKUP(MOD((($D$1-WEEKDAY($D$1,2)+1)-45523)/7+1,24),Shift!$A$2:$H$25,WEEKDAY($D$1,2)+1),VLOOKUP(24,Shift!$A$2:$H$25,WEEKDAY($D$1,2)+1))</f>
        <v>M1</v>
      </c>
      <c r="F65" s="101" t="str">
        <f t="shared" si="9"/>
        <v>?</v>
      </c>
      <c r="G65" s="101" t="str">
        <f t="shared" si="9"/>
        <v>?</v>
      </c>
      <c r="H65" s="101" t="str">
        <f t="shared" si="9"/>
        <v>?</v>
      </c>
      <c r="I65" s="102">
        <f t="shared" si="8"/>
        <v>0</v>
      </c>
      <c r="J65" s="137" t="s">
        <v>102</v>
      </c>
      <c r="K65" s="112" t="str">
        <f t="shared" si="10"/>
        <v/>
      </c>
      <c r="L65" s="112" t="str">
        <f t="shared" si="11"/>
        <v/>
      </c>
      <c r="M65" s="112"/>
    </row>
    <row r="66" spans="4:13">
      <c r="D66" s="100" t="s">
        <v>103</v>
      </c>
      <c r="E66" s="101" t="str">
        <f>_xlfn.IFNA(VLOOKUP(MOD((($D$1-WEEKDAY($D$1,2)+1)-45523)/7+7,24),Shift!$A$2:$H$25,WEEKDAY($D$1,2)+1),VLOOKUP(24,Shift!$A$2:$H$25,WEEKDAY($D$1,2)+1))</f>
        <v>L</v>
      </c>
      <c r="F66" s="101">
        <f t="shared" si="9"/>
        <v>0</v>
      </c>
      <c r="G66" s="101">
        <f t="shared" si="9"/>
        <v>0</v>
      </c>
      <c r="H66" s="101">
        <f t="shared" si="9"/>
        <v>0</v>
      </c>
      <c r="I66" s="102">
        <f t="shared" si="8"/>
        <v>0</v>
      </c>
      <c r="J66" s="137" t="s">
        <v>103</v>
      </c>
      <c r="K66" s="112" t="str">
        <f t="shared" si="10"/>
        <v/>
      </c>
      <c r="L66" s="112" t="str">
        <f t="shared" si="11"/>
        <v/>
      </c>
      <c r="M66" s="112"/>
    </row>
    <row r="67" spans="4:13" ht="16.5" thickBot="1">
      <c r="D67" s="103" t="s">
        <v>104</v>
      </c>
      <c r="E67" s="104" t="str">
        <f>_xlfn.IFNA(VLOOKUP(MOD((($D$1-WEEKDAY($D$1,2)+1)-45523)/7+13,24),Shift!$A$2:$H$25,WEEKDAY($D$1,2)+1),VLOOKUP(24,Shift!$A$2:$H$25,WEEKDAY($D$1,2)+1))</f>
        <v>L</v>
      </c>
      <c r="F67" s="104">
        <f t="shared" si="9"/>
        <v>0</v>
      </c>
      <c r="G67" s="104">
        <f t="shared" si="9"/>
        <v>0</v>
      </c>
      <c r="H67" s="104">
        <f t="shared" si="9"/>
        <v>0</v>
      </c>
      <c r="I67" s="105">
        <f t="shared" si="8"/>
        <v>0</v>
      </c>
      <c r="J67" s="138" t="s">
        <v>104</v>
      </c>
      <c r="K67" s="112" t="str">
        <f t="shared" si="10"/>
        <v/>
      </c>
      <c r="L67" s="112" t="str">
        <f t="shared" si="11"/>
        <v/>
      </c>
      <c r="M67" s="112"/>
    </row>
    <row r="68" spans="4:13">
      <c r="D68" s="97" t="s">
        <v>105</v>
      </c>
      <c r="E68" s="98" t="str">
        <f>_xlfn.IFNA(VLOOKUP(MOD((($D$1-WEEKDAY($D$1,2)+1)-45523)/7+17,24),Shift!$A$2:$H$25,WEEKDAY($D$1,2)+1),VLOOKUP(24,Shift!$A$2:$H$25,WEEKDAY($D$1,2)+1))</f>
        <v>P4</v>
      </c>
      <c r="F68" s="98" t="str">
        <f t="shared" si="9"/>
        <v>?</v>
      </c>
      <c r="G68" s="98" t="str">
        <f t="shared" si="9"/>
        <v>?</v>
      </c>
      <c r="H68" s="98" t="str">
        <f t="shared" si="9"/>
        <v>?</v>
      </c>
      <c r="I68" s="99">
        <f t="shared" si="8"/>
        <v>0</v>
      </c>
      <c r="J68" s="136" t="s">
        <v>105</v>
      </c>
      <c r="K68" s="112" t="str">
        <f t="shared" si="10"/>
        <v/>
      </c>
      <c r="L68" s="112" t="str">
        <f t="shared" si="11"/>
        <v/>
      </c>
      <c r="M68" s="112"/>
    </row>
    <row r="69" spans="4:13">
      <c r="D69" s="100" t="s">
        <v>106</v>
      </c>
      <c r="E69" s="101" t="str">
        <f>_xlfn.IFNA(VLOOKUP(MOD((($D$1-WEEKDAY($D$1,2)+1)-45523)/7+23,24),Shift!$A$2:$H$25,WEEKDAY($D$1,2)+1),VLOOKUP(24,Shift!$A$2:$H$25,WEEKDAY($D$1,2)+1))</f>
        <v>P1</v>
      </c>
      <c r="F69" s="101" t="str">
        <f t="shared" si="9"/>
        <v>?</v>
      </c>
      <c r="G69" s="101" t="str">
        <f t="shared" si="9"/>
        <v>?</v>
      </c>
      <c r="H69" s="101" t="str">
        <f t="shared" si="9"/>
        <v>?</v>
      </c>
      <c r="I69" s="102">
        <f t="shared" si="8"/>
        <v>0</v>
      </c>
      <c r="J69" s="137" t="s">
        <v>106</v>
      </c>
      <c r="K69" s="112" t="str">
        <f t="shared" si="10"/>
        <v/>
      </c>
      <c r="L69" s="112" t="str">
        <f t="shared" si="11"/>
        <v/>
      </c>
      <c r="M69" s="112"/>
    </row>
    <row r="70" spans="4:13">
      <c r="D70" s="100" t="s">
        <v>107</v>
      </c>
      <c r="E70" s="101" t="str">
        <f>_xlfn.IFNA(VLOOKUP(MOD((($D$1-WEEKDAY($D$1,2)+1)-45523)/7+5,24),Shift!$A$2:$H$25,WEEKDAY($D$1,2)+1),VLOOKUP(24,Shift!$A$2:$H$25,WEEKDAY($D$1,2)+1))</f>
        <v>P1 @</v>
      </c>
      <c r="F70" s="101" t="str">
        <f t="shared" si="9"/>
        <v>?</v>
      </c>
      <c r="G70" s="101" t="str">
        <f t="shared" si="9"/>
        <v>?</v>
      </c>
      <c r="H70" s="101" t="str">
        <f t="shared" si="9"/>
        <v>?</v>
      </c>
      <c r="I70" s="102">
        <f t="shared" si="8"/>
        <v>0</v>
      </c>
      <c r="J70" s="137" t="s">
        <v>107</v>
      </c>
      <c r="K70" s="112" t="str">
        <f t="shared" si="10"/>
        <v/>
      </c>
      <c r="L70" s="112" t="str">
        <f t="shared" si="11"/>
        <v/>
      </c>
      <c r="M70" s="112"/>
    </row>
    <row r="71" spans="4:13" ht="16.5" thickBot="1">
      <c r="D71" s="103" t="s">
        <v>108</v>
      </c>
      <c r="E71" s="104" t="str">
        <f>_xlfn.IFNA(VLOOKUP(MOD((($D$1-WEEKDAY($D$1,2)+1)-45523)/7+11,24),Shift!$A$2:$H$25,WEEKDAY($D$1,2)+1),VLOOKUP(24,Shift!$A$2:$H$25,WEEKDAY($D$1,2)+1))</f>
        <v>A</v>
      </c>
      <c r="F71" s="104" t="str">
        <f t="shared" si="9"/>
        <v>?</v>
      </c>
      <c r="G71" s="104" t="str">
        <f t="shared" si="9"/>
        <v>?</v>
      </c>
      <c r="H71" s="104" t="str">
        <f t="shared" si="9"/>
        <v>?</v>
      </c>
      <c r="I71" s="105">
        <f t="shared" si="8"/>
        <v>0</v>
      </c>
      <c r="J71" s="138" t="s">
        <v>108</v>
      </c>
      <c r="K71" s="112" t="str">
        <f t="shared" si="10"/>
        <v/>
      </c>
      <c r="L71" s="112" t="str">
        <f t="shared" si="11"/>
        <v/>
      </c>
      <c r="M71" s="112"/>
    </row>
    <row r="72" spans="4:13">
      <c r="D72" s="144" t="s">
        <v>86</v>
      </c>
      <c r="E72" s="98" t="s">
        <v>127</v>
      </c>
      <c r="F72" s="98"/>
      <c r="G72" s="98"/>
      <c r="H72" s="98"/>
      <c r="I72" s="99">
        <f>IF(OR($E72="L",$E72="L#",$E72="?"),0,SUM($F72:$H72))</f>
        <v>0</v>
      </c>
      <c r="J72" s="330"/>
    </row>
    <row r="73" spans="4:13">
      <c r="D73" s="145" t="s">
        <v>137</v>
      </c>
      <c r="E73" s="101" t="s">
        <v>127</v>
      </c>
      <c r="F73" s="101"/>
      <c r="G73" s="101"/>
      <c r="H73" s="101"/>
      <c r="I73" s="102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 ht="16.5" thickBot="1">
      <c r="D75" s="146" t="s">
        <v>137</v>
      </c>
      <c r="E75" s="104" t="s">
        <v>127</v>
      </c>
      <c r="F75" s="106"/>
      <c r="G75" s="106"/>
      <c r="H75" s="106"/>
      <c r="I75" s="105">
        <f>IF(OR($E75="L",$E75="L#",$E75="?"),0,SUM($F75:$H75))</f>
        <v>0</v>
      </c>
      <c r="J75" s="330"/>
    </row>
    <row r="76" spans="4:13">
      <c r="D76" s="330"/>
      <c r="E76" s="96" t="s">
        <v>98</v>
      </c>
      <c r="F76" s="96" t="str">
        <f>SUM($F$60:$F$75)&amp;IF(SUM($F$60:$H$75)&gt;$I$76,"?","")</f>
        <v>0</v>
      </c>
      <c r="G76" s="96" t="str">
        <f>SUM($G$60:$G$75)&amp;IF(SUM($F$60:$H$75)&gt;$I$76,"?","")</f>
        <v>0</v>
      </c>
      <c r="H76" s="96" t="str">
        <f>SUM($H$60:$H$75)&amp;IF(SUM($F$60:$H$75)&gt;$I$76,"?","")</f>
        <v>0</v>
      </c>
      <c r="I76" s="96">
        <f>SUM(I60:I75)</f>
        <v>0</v>
      </c>
      <c r="J76" s="330"/>
    </row>
    <row r="77" spans="4:13">
      <c r="D77" s="330"/>
      <c r="E77" s="330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330"/>
      <c r="J77" s="330"/>
    </row>
    <row r="79" spans="4:13">
      <c r="D79" s="410" t="s">
        <v>281</v>
      </c>
      <c r="E79" s="410"/>
      <c r="F79" s="410"/>
    </row>
    <row r="80" spans="4:13">
      <c r="D80" s="49" t="str">
        <f>IF(Flight!$A$68=0,"",Flight!$A$68)</f>
        <v/>
      </c>
      <c r="E80" s="163"/>
      <c r="F80" s="164" t="str">
        <f>IF(D80="","",VLOOKUP(D80,Flight!$A$68:$C$91,3,FALSE))</f>
        <v/>
      </c>
    </row>
    <row r="81" spans="4:6">
      <c r="D81" s="49" t="str">
        <f>IF(Flight!$A69=0,"",Flight!$A69)</f>
        <v/>
      </c>
      <c r="F81" s="164" t="str">
        <f>IF(D81="","",VLOOKUP(D81,Flight!$A$68:$C$91,3,FALSE))</f>
        <v/>
      </c>
    </row>
    <row r="82" spans="4:6">
      <c r="D82" s="49" t="str">
        <f>IF(Flight!$A71=0,"",Flight!$A71)</f>
        <v>3A031</v>
      </c>
      <c r="F82" s="164" t="str">
        <f>IF(D82="","",VLOOKUP(D82,Flight!$A$68:$C$91,3,FALSE))</f>
        <v>ZTI</v>
      </c>
    </row>
    <row r="83" spans="4:6">
      <c r="D83" s="49" t="str">
        <f>IF(Flight!$A72=0,"",Flight!$A72)</f>
        <v>3A003</v>
      </c>
      <c r="F83" s="164" t="str">
        <f>IF(D83="","",VLOOKUP(D83,Flight!$A$68:$C$91,3,FALSE))</f>
        <v>ZYK</v>
      </c>
    </row>
    <row r="84" spans="4:6">
      <c r="D84" s="49" t="str">
        <f>IF(Flight!$A73=0,"",Flight!$A73)</f>
        <v>3A005</v>
      </c>
      <c r="F84" s="164" t="str">
        <f>IF(D84="","",VLOOKUP(D84,Flight!$A$68:$C$91,3,FALSE))</f>
        <v>HKM</v>
      </c>
    </row>
    <row r="85" spans="4:6">
      <c r="D85" s="49" t="str">
        <f>IF(Flight!$A74=0,"",Flight!$A74)</f>
        <v>3A007</v>
      </c>
      <c r="F85" s="164" t="str">
        <f>IF(D85="","",VLOOKUP(D85,Flight!$A$68:$C$91,3,FALSE))</f>
        <v>ZYK</v>
      </c>
    </row>
    <row r="86" spans="4:6">
      <c r="D86" s="49" t="str">
        <f>IF(Flight!$A75=0,"",Flight!$A75)</f>
        <v>3A008</v>
      </c>
      <c r="F86" s="164" t="str">
        <f>IF(D86="","",VLOOKUP(D86,Flight!$A$68:$C$91,3,FALSE))</f>
        <v>ZYK</v>
      </c>
    </row>
    <row r="87" spans="4:6">
      <c r="D87" s="49" t="str">
        <f>IF(Flight!$A76=0,"",Flight!$A76)</f>
        <v>3A009</v>
      </c>
      <c r="F87" s="164" t="str">
        <f>IF(D87="","",VLOOKUP(D87,Flight!$A$68:$C$91,3,FALSE))</f>
        <v>ZYK</v>
      </c>
    </row>
    <row r="88" spans="4:6">
      <c r="D88" s="49" t="str">
        <f>IF(Flight!$A77=0,"",Flight!$A77)</f>
        <v>3A010</v>
      </c>
      <c r="F88" s="164" t="str">
        <f>IF(D88="","",VLOOKUP(D88,Flight!$A$68:$C$91,3,FALSE))</f>
        <v>ZYK</v>
      </c>
    </row>
    <row r="89" spans="4:6">
      <c r="D89" s="49" t="str">
        <f>IF(Flight!$A78=0,"",Flight!$A78)</f>
        <v/>
      </c>
      <c r="F89" s="164" t="str">
        <f>IF(D89="","",VLOOKUP(D89,Flight!$A$68:$C$91,3,FALSE))</f>
        <v/>
      </c>
    </row>
    <row r="90" spans="4:6">
      <c r="D90" s="49" t="str">
        <f>IF(Flight!$A80=0,"",Flight!$A80)</f>
        <v>8S7121</v>
      </c>
      <c r="F90" s="164" t="str">
        <f>IF(D90="","",VLOOKUP(D90,Flight!$A$68:$C$91,3,FALSE))</f>
        <v>HKM</v>
      </c>
    </row>
    <row r="91" spans="4:6">
      <c r="D91" s="49" t="str">
        <f>IF(Flight!$A81=0,"",Flight!$A81)</f>
        <v>8S7108</v>
      </c>
      <c r="F91" s="164" t="str">
        <f>IF(D91="","",VLOOKUP(D91,Flight!$A$68:$C$91,3,FALSE))</f>
        <v>ZYK</v>
      </c>
    </row>
    <row r="92" spans="4:6">
      <c r="D92" s="49" t="str">
        <f>IF(Flight!$A82=0,"",Flight!$A82)</f>
        <v>8S7111</v>
      </c>
      <c r="F92" s="164" t="str">
        <f>IF(D92="","",VLOOKUP(D92,Flight!$A$68:$C$91,3,FALSE))</f>
        <v>ZYK</v>
      </c>
    </row>
    <row r="93" spans="4:6">
      <c r="D93" s="49" t="str">
        <f>IF(Flight!$A83=0,"",Flight!$A83)</f>
        <v>8S7131</v>
      </c>
      <c r="F93" s="164" t="str">
        <f>IF(D93="","",VLOOKUP(D93,Flight!$A$68:$C$91,3,FALSE))</f>
        <v>?</v>
      </c>
    </row>
    <row r="94" spans="4:6">
      <c r="D94" s="49" t="str">
        <f>IF(Flight!$A84=0,"",Flight!$A84)</f>
        <v>8S7119</v>
      </c>
      <c r="F94" s="164" t="str">
        <f>IF(D94="","",VLOOKUP(D94,Flight!$A$68:$C$91,3,FALSE))</f>
        <v>HKM</v>
      </c>
    </row>
    <row r="95" spans="4:6">
      <c r="D95" s="49" t="str">
        <f>IF(Flight!$A85=0,"",Flight!$A85)</f>
        <v>8S7126</v>
      </c>
      <c r="F95" s="164" t="str">
        <f>IF(D95="","",VLOOKUP(D95,Flight!$A$68:$C$91,3,FALSE))</f>
        <v>HKM</v>
      </c>
    </row>
    <row r="96" spans="4:6">
      <c r="D96" s="49" t="str">
        <f>IF(Flight!$A86=0,"",Flight!$A86)</f>
        <v>8S7128</v>
      </c>
      <c r="F96" s="164" t="str">
        <f>IF(D96="","",VLOOKUP(D96,Flight!$A$68:$C$91,3,FALSE))</f>
        <v>HKM</v>
      </c>
    </row>
    <row r="97" spans="4:6">
      <c r="D97" s="49" t="str">
        <f>IF(Flight!$A87=0,"",Flight!$A87)</f>
        <v>3A8010</v>
      </c>
      <c r="F97" s="164" t="str">
        <f>IF(D97="","",VLOOKUP(D97,Flight!$A$68:$C$91,3,FALSE))</f>
        <v>HZI</v>
      </c>
    </row>
    <row r="98" spans="4:6">
      <c r="D98" s="49" t="str">
        <f>IF(Flight!$A88=0,"",Flight!$A88)</f>
        <v>3A8015</v>
      </c>
      <c r="F98" s="164" t="str">
        <f>IF(D98="","",VLOOKUP(D98,Flight!$A$68:$C$91,3,FALSE))</f>
        <v>?</v>
      </c>
    </row>
    <row r="99" spans="4:6">
      <c r="D99" s="49" t="str">
        <f>IF(Flight!$A89=0,"",Flight!$A89)</f>
        <v>3A8016</v>
      </c>
      <c r="F99" s="164" t="str">
        <f>IF(D99="","",VLOOKUP(D99,Flight!$A$68:$C$91,3,FALSE))</f>
        <v>HZI</v>
      </c>
    </row>
    <row r="100" spans="4:6">
      <c r="D100" s="49" t="str">
        <f>IF(Flight!$A91=0,"",Flight!$A91)</f>
        <v xml:space="preserve">Last </v>
      </c>
      <c r="F100" s="164" t="str">
        <f>IF(D100="","",VLOOKUP(D100,Flight!$A$68:$C$91,3,FALSE))</f>
        <v>↑</v>
      </c>
    </row>
    <row r="101" spans="4:6">
      <c r="D101" s="49" t="str">
        <f>IF(Flight!$A92=0,"",Flight!$A92)</f>
        <v/>
      </c>
      <c r="F101" s="164" t="str">
        <f>IF(D101="","",VLOOKUP(D101,Flight!$A$68:$C$91,3,FALSE))</f>
        <v/>
      </c>
    </row>
    <row r="102" spans="4:6">
      <c r="D102" s="186"/>
      <c r="F102" s="187"/>
    </row>
    <row r="103" spans="4:6">
      <c r="D103" s="406" t="str">
        <f>IF(Flight!$A$93=0,"",Flight!$A$93)</f>
        <v>Target Flight</v>
      </c>
      <c r="E103" s="406"/>
      <c r="F103" s="406"/>
    </row>
    <row r="104" spans="4:6">
      <c r="D104" s="27" t="s">
        <v>59</v>
      </c>
      <c r="E104" s="158"/>
      <c r="F104" s="10" t="s">
        <v>38</v>
      </c>
    </row>
    <row r="105" spans="4:6">
      <c r="D105" s="27" t="s">
        <v>89</v>
      </c>
      <c r="E105" s="158"/>
      <c r="F105" s="10" t="s">
        <v>38</v>
      </c>
    </row>
    <row r="106" spans="4:6">
      <c r="D106" s="27" t="s">
        <v>254</v>
      </c>
      <c r="E106" s="158"/>
      <c r="F106" s="10" t="s">
        <v>38</v>
      </c>
    </row>
    <row r="107" spans="4:6">
      <c r="D107" s="27" t="s">
        <v>57</v>
      </c>
      <c r="E107" s="158"/>
      <c r="F107" s="10" t="s">
        <v>58</v>
      </c>
    </row>
    <row r="108" spans="4:6">
      <c r="D108" s="27" t="s">
        <v>198</v>
      </c>
      <c r="E108" s="158"/>
      <c r="F108" s="10" t="s">
        <v>199</v>
      </c>
    </row>
    <row r="109" spans="4:6">
      <c r="D109" s="27" t="s">
        <v>55</v>
      </c>
      <c r="E109" s="158"/>
      <c r="F109" s="10" t="s">
        <v>54</v>
      </c>
    </row>
    <row r="110" spans="4:6">
      <c r="D110" s="27" t="s">
        <v>39</v>
      </c>
      <c r="E110" s="158"/>
      <c r="F110" s="10" t="s">
        <v>38</v>
      </c>
    </row>
    <row r="111" spans="4:6">
      <c r="D111" s="27" t="s">
        <v>200</v>
      </c>
      <c r="E111" s="158"/>
      <c r="F111" s="10" t="s">
        <v>54</v>
      </c>
    </row>
    <row r="112" spans="4:6">
      <c r="D112" s="27" t="s">
        <v>201</v>
      </c>
      <c r="E112" s="158"/>
      <c r="F112" s="10" t="s">
        <v>38</v>
      </c>
    </row>
    <row r="113" spans="4:6">
      <c r="D113" s="161"/>
      <c r="E113" s="158"/>
      <c r="F113" s="159"/>
    </row>
    <row r="114" spans="4:6">
      <c r="D114" s="161"/>
      <c r="E114" s="158"/>
      <c r="F114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5:E45"/>
    <mergeCell ref="G45:H45"/>
    <mergeCell ref="I45:J45"/>
    <mergeCell ref="K44:M44"/>
    <mergeCell ref="H6:H7"/>
    <mergeCell ref="I6:I7"/>
    <mergeCell ref="J6:J7"/>
    <mergeCell ref="K6:M6"/>
    <mergeCell ref="A41:F41"/>
    <mergeCell ref="I41:M42"/>
    <mergeCell ref="A42:H42"/>
    <mergeCell ref="A6:A7"/>
    <mergeCell ref="B6:C6"/>
    <mergeCell ref="D6:D7"/>
    <mergeCell ref="E6:E7"/>
    <mergeCell ref="F6:F7"/>
    <mergeCell ref="A43:H43"/>
    <mergeCell ref="A44:B44"/>
    <mergeCell ref="D44:E44"/>
    <mergeCell ref="G44:H44"/>
    <mergeCell ref="I44:J44"/>
    <mergeCell ref="K45:M45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G46:H46"/>
    <mergeCell ref="I46:J46"/>
    <mergeCell ref="A45:B45"/>
    <mergeCell ref="D52:E52"/>
    <mergeCell ref="F52:G52"/>
    <mergeCell ref="H52:I52"/>
    <mergeCell ref="D49:I49"/>
    <mergeCell ref="K49:M49"/>
    <mergeCell ref="A51:B51"/>
    <mergeCell ref="C51:E51"/>
    <mergeCell ref="F51:G51"/>
    <mergeCell ref="H51:I51"/>
    <mergeCell ref="K51:M51"/>
    <mergeCell ref="D103:F103"/>
    <mergeCell ref="A53:B53"/>
    <mergeCell ref="C53:E53"/>
    <mergeCell ref="H53:I53"/>
    <mergeCell ref="C54:H54"/>
    <mergeCell ref="I55:J55"/>
    <mergeCell ref="D79:F79"/>
  </mergeCells>
  <phoneticPr fontId="2" type="noConversion"/>
  <conditionalFormatting sqref="H8:H40 E8:E40">
    <cfRule type="cellIs" dxfId="74" priority="9" operator="equal">
      <formula>""</formula>
    </cfRule>
  </conditionalFormatting>
  <conditionalFormatting sqref="F60:H77">
    <cfRule type="cellIs" dxfId="73" priority="8" operator="equal">
      <formula>"?"</formula>
    </cfRule>
  </conditionalFormatting>
  <conditionalFormatting sqref="D40:D997">
    <cfRule type="duplicateValues" dxfId="72" priority="7"/>
  </conditionalFormatting>
  <conditionalFormatting sqref="D9:D39">
    <cfRule type="duplicateValues" dxfId="71" priority="169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Staff!$G$2:$G$9</xm:f>
          </x14:formula1>
          <xm:sqref>K44:M45</xm:sqref>
        </x14:dataValidation>
        <x14:dataValidation type="list" allowBlank="1" showInputMessage="1">
          <x14:formula1>
            <xm:f>Staff!$G$12:$G$52</xm:f>
          </x14:formula1>
          <xm:sqref>G47:I48</xm:sqref>
        </x14:dataValidation>
        <x14:dataValidation type="list" allowBlank="1" showInputMessage="1">
          <x14:formula1>
            <xm:f>Staff!$G$23:$G$52</xm:f>
          </x14:formula1>
          <xm:sqref>K47:M51</xm:sqref>
        </x14:dataValidation>
        <x14:dataValidation type="list" allowBlank="1" showInputMessage="1">
          <x14:formula1>
            <xm:f>Staff!$B$15:$B$39</xm:f>
          </x14:formula1>
          <xm:sqref>D44:E44</xm:sqref>
        </x14:dataValidation>
        <x14:dataValidation type="list" errorStyle="warning" allowBlank="1" showInputMessage="1">
          <x14:formula1>
            <xm:f>Staff!$B$15:$B$39</xm:f>
          </x14:formula1>
          <xm:sqref>D45:E45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5"/>
  <sheetViews>
    <sheetView view="pageBreakPreview" zoomScale="90" zoomScaleNormal="100" zoomScaleSheetLayoutView="90" workbookViewId="0">
      <selection activeCell="C32" sqref="C32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45762</v>
      </c>
      <c r="E1" s="355"/>
      <c r="F1" s="333" t="s">
        <v>23</v>
      </c>
      <c r="G1" s="110">
        <f>D1</f>
        <v>45762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S9(0) </v>
      </c>
      <c r="C4" s="367"/>
      <c r="D4" s="366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 &lt;S7(0)&gt;  S8(0) </v>
      </c>
      <c r="E4" s="367"/>
      <c r="F4" s="366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 xml:space="preserve">S5(0) </v>
      </c>
      <c r="G4" s="367"/>
      <c r="H4" s="366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S6(0) </v>
      </c>
      <c r="I4" s="367"/>
      <c r="J4" s="366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 &lt;S1(0)&gt;  S3(0) S4(0) </v>
      </c>
      <c r="K4" s="367"/>
      <c r="L4" s="366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S2(0)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26" si="0">IF($E8&lt;&gt;"",IF($E8-715&lt;0,VLOOKUP($B$3,$E$61:$J$72,6,FALSE),IF(AND($E8-2130&gt;0,_xlfn.IFNA(MATCH($D8,$D$105:$D$115,0)&lt;20,"")=TRUE),VLOOKUP($L$3,$E$61:$J$72,6,FALSE),"-")),"")</f>
        <v>S9</v>
      </c>
      <c r="C8" s="9" t="str">
        <f t="shared" ref="C8:C26" si="1">IF($E8&lt;&gt;"",IF(ISNUMBER(SEARCH("Hall Operation",$K8)),"-",IF($E8-715&lt;0,VLOOKUP($B$3,$E$61:$J$72,6,FALSE),IF($E8-2129&gt;0,VLOOKUP($L$3,$E$61:$J$72,6,FALSE),""))),"")</f>
        <v>-</v>
      </c>
      <c r="D8" s="165" t="s">
        <v>396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26" si="2">IF($D8=0,"",IF(OR(ISNUMBER(SEARCH("S",$B8)),_xlfn.IFNA(MATCH($D8,$D$105:$D$115,0)&lt;20,"")=TRUE),"&lt;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S9</v>
      </c>
      <c r="C9" s="9" t="str">
        <f t="shared" si="1"/>
        <v>-</v>
      </c>
      <c r="D9" s="27" t="s">
        <v>367</v>
      </c>
      <c r="E9" s="172" t="str">
        <f>IF($D9&gt;0,VLOOKUP($D9,Flight!$A$1:$E$91,2,FALSE),"")</f>
        <v>0545</v>
      </c>
      <c r="F9" s="45"/>
      <c r="G9" s="43" t="str">
        <f t="shared" ref="G9:G41" si="3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>IF($A8="S/N",1,IF($F10="Wavied","-",IF($D10=0,"",ROW($A10)-ROW($A$7)-COUNTIF($A$7:$A$8,"@")-COUNTIF($A$7:$A$8,"-"))))</f>
        <v>3</v>
      </c>
      <c r="B10" s="9" t="str">
        <f t="shared" si="0"/>
        <v>S9</v>
      </c>
      <c r="C10" s="9" t="str">
        <f t="shared" si="1"/>
        <v>-</v>
      </c>
      <c r="D10" s="27" t="s">
        <v>368</v>
      </c>
      <c r="E10" s="172" t="str">
        <f>IF($D10&gt;0,VLOOKUP($D10,Flight!$A$1:$E$91,2,FALSE),"")</f>
        <v>0555</v>
      </c>
      <c r="F10" s="45"/>
      <c r="G10" s="43" t="str">
        <f t="shared" si="3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 t="shared" ref="A11:A26" si="4">IF($A9="S/N",1,IF($F11="Wavied","-",IF($D11=0,"",ROW($A11)-ROW($A$7)-COUNTIF($A$7:$A$8,"@")-COUNTIF($A$7:$A$8,"-"))))</f>
        <v>4</v>
      </c>
      <c r="B11" s="9" t="str">
        <f t="shared" si="0"/>
        <v>S9</v>
      </c>
      <c r="C11" s="9" t="str">
        <f t="shared" si="1"/>
        <v>-</v>
      </c>
      <c r="D11" s="27" t="s">
        <v>899</v>
      </c>
      <c r="E11" s="172" t="str">
        <f>IF($D11&gt;0,VLOOKUP($D11,Flight!$A$1:$E$91,2,FALSE),"")</f>
        <v>0615</v>
      </c>
      <c r="F11" s="43"/>
      <c r="G11" s="43" t="str">
        <f t="shared" si="3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>IF($A10="S/N",1,IF($F12="Wavied","-",IF($D12=0,"",ROW($A12)-ROW($A$7)-COUNTIF($A$7:$A$8,"@")-COUNTIF($A$7:$A$8,"-"))))</f>
        <v>5</v>
      </c>
      <c r="B12" s="9" t="str">
        <f t="shared" si="0"/>
        <v>S9</v>
      </c>
      <c r="C12" s="9" t="str">
        <f t="shared" si="1"/>
        <v>-</v>
      </c>
      <c r="D12" s="27" t="s">
        <v>365</v>
      </c>
      <c r="E12" s="172" t="str">
        <f>IF($D12&gt;0,VLOOKUP($D12,Flight!$A$1:$E$91,2,FALSE),"")</f>
        <v>0640</v>
      </c>
      <c r="F12" s="45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>IF($A11="S/N",1,IF($F13="Wavied","-",IF($D13=0,"",ROW($A13)-ROW($A$7)-COUNTIF($A$7:$A$8,"@")-COUNTIF($A$7:$A$8,"-"))))</f>
        <v>6</v>
      </c>
      <c r="B13" s="9" t="str">
        <f t="shared" si="0"/>
        <v>-</v>
      </c>
      <c r="C13" s="9" t="str">
        <f t="shared" si="1"/>
        <v>-</v>
      </c>
      <c r="D13" s="27" t="s">
        <v>369</v>
      </c>
      <c r="E13" s="172" t="str">
        <f>IF($D13&gt;0,VLOOKUP($D13,Flight!$A$1:$E$91,2,FALSE),"")</f>
        <v>0905</v>
      </c>
      <c r="F13" s="46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f t="shared" si="4"/>
        <v>7</v>
      </c>
      <c r="B14" s="9" t="str">
        <f t="shared" si="0"/>
        <v>-</v>
      </c>
      <c r="C14" s="9" t="str">
        <f t="shared" si="1"/>
        <v>-</v>
      </c>
      <c r="D14" s="27" t="s">
        <v>370</v>
      </c>
      <c r="E14" s="172" t="str">
        <f>IF($D14&gt;0,VLOOKUP($D14,Flight!$A$1:$E$91,2,FALSE),"")</f>
        <v>0935</v>
      </c>
      <c r="F14" s="46"/>
      <c r="G14" s="43" t="str">
        <f t="shared" si="3"/>
        <v/>
      </c>
      <c r="H14" s="44" t="str">
        <f>IF($D14&gt;0,VLOOKUP($D14,Flight!$A$1:$E$91,3,FALSE),"")</f>
        <v>BLR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 t="shared" si="4"/>
        <v>8</v>
      </c>
      <c r="B15" s="9" t="str">
        <f t="shared" si="0"/>
        <v>-</v>
      </c>
      <c r="C15" s="9" t="str">
        <f t="shared" si="1"/>
        <v>-</v>
      </c>
      <c r="D15" s="27" t="s">
        <v>371</v>
      </c>
      <c r="E15" s="172" t="str">
        <f>IF($D15&gt;0,VLOOKUP($D15,Flight!$A$1:$E$91,2,FALSE),"")</f>
        <v>0955</v>
      </c>
      <c r="F15" s="46"/>
      <c r="G15" s="43" t="str">
        <f t="shared" si="3"/>
        <v/>
      </c>
      <c r="H15" s="44" t="str">
        <f>IF($D15&gt;0,VLOOKUP($D15,Flight!$A$1:$E$91,3,FALSE),"")</f>
        <v>BOM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/>
      </c>
      <c r="D16" s="27" t="s">
        <v>372</v>
      </c>
      <c r="E16" s="172" t="str">
        <f>IF($D16&gt;0,VLOOKUP($D16,Flight!$A$1:$E$91,2,FALSE),"")</f>
        <v>1000</v>
      </c>
      <c r="F16" s="45"/>
      <c r="G16" s="43" t="str">
        <f t="shared" si="3"/>
        <v/>
      </c>
      <c r="H16" s="44" t="str">
        <f>IF($D16&gt;0,VLOOKUP($D16,Flight!$A$1:$E$91,3,FALSE),"")</f>
        <v>DMK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/>
      </c>
      <c r="L16" s="166"/>
      <c r="M16" s="166"/>
      <c r="O16" s="114"/>
    </row>
    <row r="17" spans="1:15" ht="16.5" customHeight="1">
      <c r="A17" s="9">
        <f t="shared" si="4"/>
        <v>10</v>
      </c>
      <c r="B17" s="9" t="str">
        <f t="shared" si="0"/>
        <v>-</v>
      </c>
      <c r="C17" s="9" t="str">
        <f t="shared" si="1"/>
        <v/>
      </c>
      <c r="D17" s="27" t="s">
        <v>373</v>
      </c>
      <c r="E17" s="172" t="str">
        <f>IF($D17&gt;0,VLOOKUP($D17,Flight!$A$1:$E$91,2,FALSE),"")</f>
        <v>1010</v>
      </c>
      <c r="F17" s="45"/>
      <c r="G17" s="43" t="str">
        <f t="shared" si="3"/>
        <v/>
      </c>
      <c r="H17" s="44" t="str">
        <f>IF($D17&gt;0,VLOOKUP($D17,Flight!$A$1:$E$91,3,FALSE),"")</f>
        <v>MNL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/>
      </c>
      <c r="L17" s="166"/>
      <c r="M17" s="166"/>
      <c r="O17" s="114"/>
    </row>
    <row r="18" spans="1:15">
      <c r="A18" s="9">
        <f t="shared" si="4"/>
        <v>11</v>
      </c>
      <c r="B18" s="9" t="str">
        <f t="shared" si="0"/>
        <v>-</v>
      </c>
      <c r="C18" s="9" t="str">
        <f t="shared" si="1"/>
        <v/>
      </c>
      <c r="D18" s="27" t="s">
        <v>374</v>
      </c>
      <c r="E18" s="172" t="str">
        <f>IF($D18&gt;0,VLOOKUP($D18,Flight!$A$1:$E$91,2,FALSE),"")</f>
        <v>1115</v>
      </c>
      <c r="F18" s="45"/>
      <c r="G18" s="43" t="str">
        <f t="shared" si="3"/>
        <v/>
      </c>
      <c r="H18" s="44" t="str">
        <f>IF($D18&gt;0,VLOOKUP($D18,Flight!$A$1:$E$91,3,FALSE),"")</f>
        <v>KUL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>
        <f t="shared" si="4"/>
        <v>12</v>
      </c>
      <c r="B19" s="9" t="str">
        <f t="shared" si="0"/>
        <v>-</v>
      </c>
      <c r="C19" s="9" t="str">
        <f t="shared" si="1"/>
        <v/>
      </c>
      <c r="D19" s="27" t="s">
        <v>375</v>
      </c>
      <c r="E19" s="172" t="str">
        <f>IF($D19&gt;0,VLOOKUP($D19,Flight!$A$1:$E$91,2,FALSE),"")</f>
        <v>1145</v>
      </c>
      <c r="F19" s="45"/>
      <c r="G19" s="43" t="str">
        <f t="shared" si="3"/>
        <v/>
      </c>
      <c r="H19" s="44" t="str">
        <f>IF($D19&gt;0,VLOOKUP($D19,Flight!$A$1:$E$91,3,FALSE),"")</f>
        <v>BKK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27" t="s">
        <v>900</v>
      </c>
      <c r="E20" s="172" t="str">
        <f>IF($D20&gt;0,VLOOKUP($D20,Flight!$A$1:$E$91,2,FALSE),"")</f>
        <v>1210</v>
      </c>
      <c r="F20" s="45"/>
      <c r="G20" s="43" t="str">
        <f t="shared" si="3"/>
        <v/>
      </c>
      <c r="H20" s="44" t="str">
        <f>IF($D20&gt;0,VLOOKUP($D20,Flight!$A$1:$E$91,3,FALSE),"")</f>
        <v>BKK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 ht="15.75" customHeight="1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9" t="s">
        <v>376</v>
      </c>
      <c r="E21" s="172" t="str">
        <f>IF($D21&gt;0,VLOOKUP($D21,Flight!$A$1:$E$91,2,FALSE),"")</f>
        <v>1305</v>
      </c>
      <c r="F21" s="44"/>
      <c r="G21" s="43" t="str">
        <f t="shared" si="3"/>
        <v/>
      </c>
      <c r="H21" s="44" t="str">
        <f>IF($D21&gt;0,VLOOKUP($D21,Flight!$A$1:$E$91,3,FALSE),"")</f>
        <v>DMK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4"/>
        <v>15</v>
      </c>
      <c r="B22" s="9" t="str">
        <f t="shared" si="0"/>
        <v>-</v>
      </c>
      <c r="C22" s="9" t="str">
        <f t="shared" si="1"/>
        <v>-</v>
      </c>
      <c r="D22" s="9" t="s">
        <v>377</v>
      </c>
      <c r="E22" s="172" t="str">
        <f>IF($D22&gt;0,VLOOKUP($D22,Flight!$A$1:$E$91,2,FALSE),"")</f>
        <v>1310</v>
      </c>
      <c r="F22" s="44"/>
      <c r="G22" s="43" t="str">
        <f t="shared" si="3"/>
        <v/>
      </c>
      <c r="H22" s="44" t="str">
        <f>IF($D22&gt;0,VLOOKUP($D22,Flight!$A$1:$E$91,3,FALSE),"")</f>
        <v>DEL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>&lt;   Hall Operation   &gt;</v>
      </c>
      <c r="L22" s="166"/>
      <c r="M22" s="166"/>
      <c r="O22" s="114"/>
    </row>
    <row r="23" spans="1:15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9" t="s">
        <v>378</v>
      </c>
      <c r="E23" s="172" t="str">
        <f>IF($D23&gt;0,VLOOKUP($D23,Flight!$A$1:$E$91,2,FALSE),"")</f>
        <v>1415</v>
      </c>
      <c r="F23" s="44"/>
      <c r="G23" s="43" t="str">
        <f t="shared" si="3"/>
        <v/>
      </c>
      <c r="H23" s="44" t="str">
        <f>IF($D23&gt;0,VLOOKUP($D23,Flight!$A$1:$E$91,3,FALSE),"")</f>
        <v>KUL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/>
      </c>
      <c r="D24" s="27" t="s">
        <v>379</v>
      </c>
      <c r="E24" s="172" t="str">
        <f>IF($D24&gt;0,VLOOKUP($D24,Flight!$A$1:$E$91,2,FALSE),"")</f>
        <v>1420</v>
      </c>
      <c r="F24" s="45"/>
      <c r="G24" s="43" t="str">
        <f t="shared" si="3"/>
        <v/>
      </c>
      <c r="H24" s="44" t="str">
        <f>IF($D24&gt;0,VLOOKUP($D24,Flight!$A$1:$E$91,3,FALSE),"")</f>
        <v>BKK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>
        <f>IF($A24="S/N",1,IF($F25="Wavied","-",IF($D25=0,"",ROW($A25)-ROW($A$7)-COUNTIF($A$7:$A$8,"@")-COUNTIF($A$7:$A$8,"-"))))</f>
        <v>18</v>
      </c>
      <c r="B25" s="9" t="str">
        <f t="shared" si="0"/>
        <v>-</v>
      </c>
      <c r="C25" s="9" t="str">
        <f t="shared" si="1"/>
        <v/>
      </c>
      <c r="D25" s="27" t="s">
        <v>380</v>
      </c>
      <c r="E25" s="172" t="str">
        <f>IF($D25&gt;0,VLOOKUP($D25,Flight!$A$1:$E$91,2,FALSE),"")</f>
        <v>1455</v>
      </c>
      <c r="F25" s="44"/>
      <c r="G25" s="43" t="str">
        <f t="shared" si="3"/>
        <v/>
      </c>
      <c r="H25" s="44" t="str">
        <f>IF($D25&gt;0,VLOOKUP($D25,Flight!$A$1:$E$91,3,FALSE),"")</f>
        <v>ADD</v>
      </c>
      <c r="I25" s="44" t="str">
        <f>IF($D25&gt;0,IF(VLOOKUP($D25,Flight!$A$1:$E$91,4,FALSE)&gt;1,VLOOKUP($D25,Flight!$A$1:$E109,4,FALSE),""),"")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/>
      </c>
      <c r="D26" s="27" t="s">
        <v>381</v>
      </c>
      <c r="E26" s="172" t="str">
        <f>IF($D26&gt;0,VLOOKUP($D26,Flight!$A$1:$E$91,2,FALSE),"")</f>
        <v>1510</v>
      </c>
      <c r="F26" s="45"/>
      <c r="G26" s="43" t="str">
        <f t="shared" si="3"/>
        <v/>
      </c>
      <c r="H26" s="44" t="str">
        <f>IF($D26&gt;0,VLOOKUP($D26,Flight!$A$1:$E$91,3,FALSE),"")</f>
        <v>DOH</v>
      </c>
      <c r="I26" s="44" t="str">
        <f>IF($D26&gt;0,IF(VLOOKUP($D26,Flight!$A$1:$E$91,4,FALSE)&gt;1,VLOOKUP($D26,Flight!$A$1:$E110,4,FALSE),""),"")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 s="337" customFormat="1">
      <c r="A27" s="263" t="s">
        <v>898</v>
      </c>
      <c r="B27" s="338" t="s">
        <v>464</v>
      </c>
      <c r="C27" s="263" t="s">
        <v>87</v>
      </c>
      <c r="D27" s="264" t="s">
        <v>935</v>
      </c>
      <c r="E27" s="265">
        <v>1630</v>
      </c>
      <c r="F27" s="268"/>
      <c r="G27" s="267"/>
      <c r="H27" s="266" t="s">
        <v>244</v>
      </c>
      <c r="I27" s="266"/>
      <c r="J27" s="266"/>
      <c r="K27" s="278"/>
      <c r="L27" s="278"/>
      <c r="M27" s="278"/>
      <c r="O27" s="114"/>
    </row>
    <row r="28" spans="1:15" s="337" customFormat="1">
      <c r="A28" s="263" t="s">
        <v>898</v>
      </c>
      <c r="B28" s="338" t="s">
        <v>464</v>
      </c>
      <c r="C28" s="263" t="s">
        <v>87</v>
      </c>
      <c r="D28" s="264" t="s">
        <v>272</v>
      </c>
      <c r="E28" s="265">
        <v>1630</v>
      </c>
      <c r="F28" s="268"/>
      <c r="G28" s="267"/>
      <c r="H28" s="266" t="s">
        <v>270</v>
      </c>
      <c r="I28" s="266"/>
      <c r="J28" s="266"/>
      <c r="K28" s="278"/>
      <c r="L28" s="278"/>
      <c r="M28" s="278"/>
      <c r="O28" s="112"/>
    </row>
    <row r="29" spans="1:15">
      <c r="A29" s="9">
        <v>22</v>
      </c>
      <c r="B29" s="9" t="str">
        <f t="shared" ref="B29:B41" si="5">IF($E29&lt;&gt;"",IF($E29-715&lt;0,VLOOKUP($B$3,$E$61:$J$72,6,FALSE),IF(AND($E29-2130&gt;0,_xlfn.IFNA(MATCH($D29,$D$105:$D$115,0)&lt;20,"")=TRUE),VLOOKUP($L$3,$E$61:$J$72,6,FALSE),"-")),"")</f>
        <v>-</v>
      </c>
      <c r="C29" s="9" t="str">
        <f t="shared" ref="C29:C41" si="6">IF($E29&lt;&gt;"",IF(ISNUMBER(SEARCH("Hall Operation",$K29)),"-",IF($E29-715&lt;0,VLOOKUP($B$3,$E$61:$J$72,6,FALSE),IF($E29-2129&gt;0,VLOOKUP($L$3,$E$61:$J$72,6,FALSE),""))),"")</f>
        <v/>
      </c>
      <c r="D29" s="27" t="s">
        <v>382</v>
      </c>
      <c r="E29" s="172" t="str">
        <f>IF($D29&gt;0,VLOOKUP($D29,Flight!$A$1:$E$91,2,FALSE),"")</f>
        <v>1715</v>
      </c>
      <c r="F29" s="45"/>
      <c r="G29" s="43" t="str">
        <f t="shared" ref="G29:G39" si="7">IF(A30="@",IF(H29="ZYK","Berth 3",IF(H29="HKM","Bay 7","")),"")</f>
        <v/>
      </c>
      <c r="H29" s="44" t="str">
        <f>IF($D29&gt;0,VLOOKUP($D29,Flight!$A$1:$E$91,3,FALSE),"")</f>
        <v>IST</v>
      </c>
      <c r="I29" s="44" t="str">
        <f>IF($D29&gt;0,IF(VLOOKUP($D29,Flight!$A$1:$E$91,4,FALSE)&gt;1,VLOOKUP($D29,Flight!$A$1:$E111,4,FALSE),""),"")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ref="K29:K41" si="8">IF($D29=0,"",IF(OR(ISNUMBER(SEARCH("S",$B29)),_xlfn.IFNA(MATCH($D29,$D$105:$D$115,0)&lt;20,"")=TRUE),"&lt;   Hall Operation   &gt;",""))</f>
        <v/>
      </c>
      <c r="L29" s="166"/>
      <c r="M29" s="166"/>
    </row>
    <row r="30" spans="1:15">
      <c r="A30" s="9">
        <v>23</v>
      </c>
      <c r="B30" s="9" t="str">
        <f t="shared" si="5"/>
        <v>-</v>
      </c>
      <c r="C30" s="9" t="str">
        <f t="shared" si="6"/>
        <v/>
      </c>
      <c r="D30" s="27" t="s">
        <v>391</v>
      </c>
      <c r="E30" s="172" t="str">
        <f>IF($D30&gt;0,VLOOKUP($D30,Flight!$A$1:$E$91,2,FALSE),"")</f>
        <v>1720</v>
      </c>
      <c r="F30" s="49"/>
      <c r="G30" s="43" t="str">
        <f>IF(A32="@",IF(H30="ZYK","Berth 3",IF(H30="HKM","Bay 7","")),"")</f>
        <v/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IF($D30&gt;0,IF(VLOOKUP($D30,Flight!$A$1:$E$91,4,FALSE)&gt;1,VLOOKUP($D30,Flight!$A$1:$E112,4,FALSE),""),"")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8"/>
        <v/>
      </c>
      <c r="L30" s="166"/>
      <c r="M30" s="166"/>
    </row>
    <row r="31" spans="1:15" s="349" customFormat="1">
      <c r="A31" s="9">
        <v>24</v>
      </c>
      <c r="B31" s="9" t="str">
        <f t="shared" si="5"/>
        <v>-</v>
      </c>
      <c r="C31" s="9" t="str">
        <f t="shared" si="6"/>
        <v/>
      </c>
      <c r="D31" s="27" t="s">
        <v>1005</v>
      </c>
      <c r="E31" s="172" t="str">
        <f>IF($D31&gt;0,VLOOKUP($D31,Flight!$A$1:$E$91,2,FALSE),"")</f>
        <v>1745</v>
      </c>
      <c r="F31" s="49"/>
      <c r="G31" s="43" t="str">
        <f>IF(A33="@",IF(H31="ZYK","Berth 3",IF(H31="HKM","Bay 7","")),"")</f>
        <v/>
      </c>
      <c r="H31" s="44" t="str">
        <f>IF($D31&gt;0,VLOOKUP($D31,Flight!$A$1:$E$91,3,FALSE),"")</f>
        <v>BKK</v>
      </c>
      <c r="I31" s="44"/>
      <c r="J31" s="44"/>
      <c r="K31" s="166"/>
      <c r="L31" s="166"/>
      <c r="M31" s="166"/>
      <c r="O31" s="112"/>
    </row>
    <row r="32" spans="1:15">
      <c r="A32" s="9">
        <v>24</v>
      </c>
      <c r="B32" s="9" t="str">
        <f t="shared" si="5"/>
        <v>-</v>
      </c>
      <c r="C32" s="9" t="str">
        <f t="shared" si="6"/>
        <v/>
      </c>
      <c r="D32" s="27" t="s">
        <v>383</v>
      </c>
      <c r="E32" s="172" t="str">
        <f>IF($D32&gt;0,VLOOKUP($D32,Flight!$A$1:$E$91,2,FALSE),"")</f>
        <v>1755</v>
      </c>
      <c r="F32" s="45"/>
      <c r="G32" s="43" t="str">
        <f t="shared" si="7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IF($D32&gt;0,IF(VLOOKUP($D32,Flight!$A$1:$E$91,4,FALSE)&gt;1,VLOOKUP($D32,Flight!$A$1:$E113,4,FALSE),""),"")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8"/>
        <v/>
      </c>
      <c r="L32" s="166"/>
      <c r="M32" s="166"/>
    </row>
    <row r="33" spans="1:18">
      <c r="A33" s="9">
        <v>25</v>
      </c>
      <c r="B33" s="9" t="str">
        <f t="shared" si="5"/>
        <v>-</v>
      </c>
      <c r="C33" s="9" t="str">
        <f t="shared" si="6"/>
        <v/>
      </c>
      <c r="D33" s="27" t="s">
        <v>384</v>
      </c>
      <c r="E33" s="172" t="str">
        <f>IF($D33&gt;0,VLOOKUP($D33,Flight!$A$1:$E$91,2,FALSE),"")</f>
        <v>1805</v>
      </c>
      <c r="F33" s="45"/>
      <c r="G33" s="43" t="str">
        <f t="shared" si="7"/>
        <v/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IF($D33&gt;0,IF(VLOOKUP($D33,Flight!$A$1:$E$91,4,FALSE)&gt;1,VLOOKUP($D33,Flight!$A$1:$E114,4,FALSE),""),"")</f>
        <v>BKK</v>
      </c>
      <c r="J33" s="44" t="str">
        <f>IF($D33&gt;0,IF(VLOOKUP($D33,Flight!$A$1:$E$91,5,FALSE)&gt;1,VLOOKUP($D33,Flight!$A$1:$E$91,5,FALSE),""),"")</f>
        <v/>
      </c>
      <c r="K33" s="166" t="str">
        <f t="shared" si="8"/>
        <v/>
      </c>
      <c r="L33" s="166"/>
      <c r="M33" s="166"/>
    </row>
    <row r="34" spans="1:18">
      <c r="A34" s="9">
        <v>26</v>
      </c>
      <c r="B34" s="9" t="str">
        <f t="shared" si="5"/>
        <v>-</v>
      </c>
      <c r="C34" s="9" t="str">
        <f t="shared" si="6"/>
        <v/>
      </c>
      <c r="D34" s="27" t="s">
        <v>385</v>
      </c>
      <c r="E34" s="172" t="str">
        <f>IF($D34&gt;0,VLOOKUP($D34,Flight!$A$1:$E$91,2,FALSE),"")</f>
        <v>1810</v>
      </c>
      <c r="F34" s="46"/>
      <c r="G34" s="43" t="str">
        <f t="shared" si="7"/>
        <v/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IF($D34&gt;0,IF(VLOOKUP($D34,Flight!$A$1:$E$91,4,FALSE)&gt;1,VLOOKUP($D34,Flight!$A$1:$E115,4,FALSE),""),"")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8"/>
        <v/>
      </c>
      <c r="L34" s="166"/>
      <c r="M34" s="166"/>
    </row>
    <row r="35" spans="1:18">
      <c r="A35" s="9">
        <v>27</v>
      </c>
      <c r="B35" s="9" t="str">
        <f t="shared" si="5"/>
        <v>-</v>
      </c>
      <c r="C35" s="9" t="str">
        <f t="shared" si="6"/>
        <v/>
      </c>
      <c r="D35" s="27" t="s">
        <v>901</v>
      </c>
      <c r="E35" s="172" t="str">
        <f>IF($D35&gt;0,VLOOKUP($D35,Flight!$A$1:$E$91,2,FALSE),"")</f>
        <v>1820</v>
      </c>
      <c r="F35" s="45"/>
      <c r="G35" s="43" t="str">
        <f t="shared" si="7"/>
        <v/>
      </c>
      <c r="H35" s="44" t="str">
        <f>IF($D35&gt;0,VLOOKUP($D35,Flight!$A$1:$E$91,3,FALSE),"")</f>
        <v>SIN</v>
      </c>
      <c r="I35" s="44" t="str">
        <f>IF($D35&gt;0,IF(VLOOKUP($D35,Flight!$A$1:$E$91,4,FALSE)&gt;1,VLOOKUP($D35,Flight!$A$1:$E116,4,FALSE),""),"")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8"/>
        <v/>
      </c>
      <c r="L35" s="166"/>
      <c r="M35" s="166"/>
    </row>
    <row r="36" spans="1:18">
      <c r="A36" s="9">
        <v>28</v>
      </c>
      <c r="B36" s="9" t="str">
        <f t="shared" si="5"/>
        <v>-</v>
      </c>
      <c r="C36" s="9" t="str">
        <f t="shared" si="6"/>
        <v/>
      </c>
      <c r="D36" s="27" t="s">
        <v>387</v>
      </c>
      <c r="E36" s="172" t="str">
        <f>IF($D36&gt;0,VLOOKUP($D36,Flight!$A$1:$E$91,2,FALSE),"")</f>
        <v>1920</v>
      </c>
      <c r="F36" s="45"/>
      <c r="G36" s="43" t="str">
        <f t="shared" si="7"/>
        <v/>
      </c>
      <c r="H36" s="44" t="str">
        <f>IF($D36&gt;0,VLOOKUP($D36,Flight!$A$1:$E$91,3,FALSE),"")</f>
        <v>DMK</v>
      </c>
      <c r="I36" s="44" t="str">
        <f>IF($D36&gt;0,IF(VLOOKUP($D36,Flight!$A$1:$E$91,4,FALSE)&gt;1,VLOOKUP($D36,Flight!$A$1:$E117,4,FALSE),""),"")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8"/>
        <v/>
      </c>
      <c r="L36" s="166"/>
      <c r="M36" s="167"/>
      <c r="P36" s="84"/>
    </row>
    <row r="37" spans="1:18">
      <c r="A37" s="9">
        <v>29</v>
      </c>
      <c r="B37" s="9" t="str">
        <f t="shared" si="5"/>
        <v>-</v>
      </c>
      <c r="C37" s="9" t="str">
        <f t="shared" si="6"/>
        <v/>
      </c>
      <c r="D37" s="27" t="s">
        <v>388</v>
      </c>
      <c r="E37" s="172" t="str">
        <f>IF($D37&gt;0,VLOOKUP($D37,Flight!$A$1:$E$91,2,FALSE),"")</f>
        <v>1950</v>
      </c>
      <c r="F37" s="45"/>
      <c r="G37" s="43" t="str">
        <f t="shared" si="7"/>
        <v/>
      </c>
      <c r="H37" s="44" t="str">
        <f>IF($D37&gt;0,VLOOKUP($D37,Flight!$A$1:$E$91,3,FALSE),"")</f>
        <v>BKK</v>
      </c>
      <c r="I37" s="44" t="str">
        <f>IF($D37&gt;0,IF(VLOOKUP($D37,Flight!$A$1:$E$91,4,FALSE)&gt;1,VLOOKUP($D37,Flight!$A$1:$E118,4,FALSE),""),"")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8"/>
        <v/>
      </c>
      <c r="L37" s="166"/>
      <c r="M37" s="167"/>
      <c r="O37" s="115"/>
      <c r="P37" s="87"/>
    </row>
    <row r="38" spans="1:18" ht="16.5">
      <c r="A38" s="9">
        <v>30</v>
      </c>
      <c r="B38" s="9" t="str">
        <f t="shared" si="5"/>
        <v>-</v>
      </c>
      <c r="C38" s="9" t="str">
        <f t="shared" si="6"/>
        <v/>
      </c>
      <c r="D38" s="27" t="s">
        <v>389</v>
      </c>
      <c r="E38" s="172" t="str">
        <f>IF($D38&gt;0,VLOOKUP($D38,Flight!$A$1:$E$91,2,FALSE),"")</f>
        <v>2030</v>
      </c>
      <c r="F38" s="45"/>
      <c r="G38" s="43" t="str">
        <f t="shared" si="7"/>
        <v/>
      </c>
      <c r="H38" s="44" t="str">
        <f>IF($D38&gt;0,VLOOKUP($D38,Flight!$A$1:$E$91,3,FALSE),"")</f>
        <v>CGK</v>
      </c>
      <c r="I38" s="44" t="str">
        <f>IF($D38&gt;0,IF(VLOOKUP($D38,Flight!$A$1:$E$91,4,FALSE)&gt;1,VLOOKUP($D38,Flight!$A$1:$E119,4,FALSE),""),"")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8"/>
        <v/>
      </c>
      <c r="L38" s="166"/>
      <c r="M38" s="167"/>
      <c r="O38" s="4"/>
      <c r="P38" s="88"/>
      <c r="Q38" s="4"/>
      <c r="R38" s="4"/>
    </row>
    <row r="39" spans="1:18" ht="16.5">
      <c r="A39" s="9">
        <v>31</v>
      </c>
      <c r="B39" s="9" t="str">
        <f t="shared" si="5"/>
        <v>-</v>
      </c>
      <c r="C39" s="9" t="str">
        <f t="shared" si="6"/>
        <v>S2</v>
      </c>
      <c r="D39" s="27" t="s">
        <v>390</v>
      </c>
      <c r="E39" s="172" t="str">
        <f>IF($D39&gt;0,VLOOKUP($D39,Flight!$A$1:$E$91,2,FALSE),"")</f>
        <v>2155</v>
      </c>
      <c r="F39" s="45"/>
      <c r="G39" s="43" t="str">
        <f t="shared" si="7"/>
        <v/>
      </c>
      <c r="H39" s="44" t="str">
        <f>IF($D39&gt;0,VLOOKUP($D39,Flight!$A$1:$E$91,3,FALSE),"")</f>
        <v>DOH</v>
      </c>
      <c r="I39" s="44" t="str">
        <f>IF($D39&gt;0,IF(VLOOKUP($D39,Flight!$A$1:$E$91,4,FALSE)&gt;1,VLOOKUP($D39,Flight!$A$1:$E121,4,FALSE),""),"")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8"/>
        <v/>
      </c>
      <c r="L39" s="166"/>
      <c r="M39" s="166"/>
      <c r="O39" s="4"/>
      <c r="P39" s="89"/>
      <c r="Q39" s="4"/>
      <c r="R39" s="4"/>
    </row>
    <row r="40" spans="1:18" ht="16.5">
      <c r="A40" s="9">
        <v>32</v>
      </c>
      <c r="B40" s="9" t="str">
        <f t="shared" si="5"/>
        <v>-</v>
      </c>
      <c r="C40" s="9" t="str">
        <f t="shared" si="6"/>
        <v>S2</v>
      </c>
      <c r="D40" s="27" t="s">
        <v>392</v>
      </c>
      <c r="E40" s="172" t="str">
        <f>IF($D40&gt;0,VLOOKUP($D40,Flight!$A$1:$E$91,2,FALSE),"")</f>
        <v>2320</v>
      </c>
      <c r="F40" s="45"/>
      <c r="G40" s="43"/>
      <c r="H40" s="44" t="str">
        <f>IF($D40&gt;0,VLOOKUP($D40,Flight!$A$1:$E$91,3,FALSE),"")</f>
        <v>BKK</v>
      </c>
      <c r="I40" s="44" t="str">
        <f>IF($D40&gt;0,IF(VLOOKUP($D40,Flight!$A$1:$E$91,4,FALSE)&gt;1,VLOOKUP($D40,Flight!$A$1:$E122,4,FALSE),""),"")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8"/>
        <v/>
      </c>
      <c r="L40" s="166"/>
      <c r="M40" s="166"/>
      <c r="O40" s="4"/>
      <c r="P40" s="89"/>
      <c r="Q40" s="4"/>
      <c r="R40" s="4"/>
    </row>
    <row r="41" spans="1:18" ht="16.5">
      <c r="A41" s="9" t="str">
        <f>IF($A40="S/N",1,IF($F41="Wavied","-",IF($D41=0,"",ROW($A41)-ROW($A$7)-COUNTIF($A$7:$A$8,"@")-COUNTIF($A$7:$A$8,"-"))))</f>
        <v/>
      </c>
      <c r="B41" s="9" t="str">
        <f t="shared" si="5"/>
        <v/>
      </c>
      <c r="C41" s="9" t="str">
        <f t="shared" si="6"/>
        <v/>
      </c>
      <c r="D41" s="27"/>
      <c r="E41" s="172" t="str">
        <f>IF($D41&gt;0,VLOOKUP($D41,Flight!$A$1:$E$91,2,FALSE),"")</f>
        <v/>
      </c>
      <c r="F41" s="45"/>
      <c r="G41" s="43" t="str">
        <f t="shared" si="3"/>
        <v/>
      </c>
      <c r="H41" s="44" t="str">
        <f>IF($D41&gt;0,VLOOKUP($D41,Flight!$A$1:$E$91,3,FALSE),"")</f>
        <v/>
      </c>
      <c r="I41" s="44" t="str">
        <f>IF($D41&gt;0,IF(VLOOKUP($D41,Flight!$A$1:$E$91,4,FALSE)&gt;1,VLOOKUP($D41,Flight!$A$1:$E123,4,FALSE),""),"")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8"/>
        <v/>
      </c>
      <c r="L41" s="166"/>
      <c r="M41" s="166"/>
      <c r="O41" s="4"/>
      <c r="P41" s="89"/>
      <c r="Q41" s="4"/>
      <c r="R41" s="4"/>
    </row>
    <row r="42" spans="1:18">
      <c r="A42" s="376" t="s">
        <v>5</v>
      </c>
      <c r="B42" s="376"/>
      <c r="C42" s="376"/>
      <c r="D42" s="376"/>
      <c r="E42" s="376"/>
      <c r="F42" s="376"/>
      <c r="G42" s="50"/>
      <c r="H42" s="321" t="s">
        <v>40</v>
      </c>
      <c r="I42" s="377"/>
      <c r="J42" s="377"/>
      <c r="K42" s="377"/>
      <c r="L42" s="377"/>
      <c r="M42" s="377"/>
      <c r="N42" s="5"/>
    </row>
    <row r="43" spans="1:18">
      <c r="A43" s="379" t="s">
        <v>35</v>
      </c>
      <c r="B43" s="379"/>
      <c r="C43" s="379" t="s">
        <v>31</v>
      </c>
      <c r="D43" s="379"/>
      <c r="E43" s="379"/>
      <c r="F43" s="379"/>
      <c r="G43" s="379"/>
      <c r="H43" s="379"/>
      <c r="I43" s="378"/>
      <c r="J43" s="378"/>
      <c r="K43" s="378"/>
      <c r="L43" s="378"/>
      <c r="M43" s="378"/>
    </row>
    <row r="44" spans="1:18">
      <c r="A44" s="420" t="s">
        <v>941</v>
      </c>
      <c r="B44" s="379"/>
      <c r="C44" s="379"/>
      <c r="D44" s="379"/>
      <c r="E44" s="379"/>
      <c r="F44" s="379"/>
      <c r="G44" s="379"/>
      <c r="H44" s="379"/>
      <c r="I44" s="51"/>
      <c r="J44" s="51"/>
      <c r="K44" s="6"/>
      <c r="L44" s="6"/>
      <c r="M44" s="6"/>
    </row>
    <row r="45" spans="1:18">
      <c r="A45" s="389" t="s">
        <v>216</v>
      </c>
      <c r="B45" s="389"/>
      <c r="C45" s="323" t="str">
        <f>VLOOKUP($D$45,Staff!$B$2:$D$41,2,FALSE)</f>
        <v>CIA</v>
      </c>
      <c r="D45" s="375" t="str">
        <f>VLOOKUP(VLOOKUP($E$57,$E$61:$J$72,6,FALSE),Staff!$A$2:$D$13,2,FALSE)</f>
        <v>YM KWOK</v>
      </c>
      <c r="E45" s="375"/>
      <c r="F45" s="325" t="s">
        <v>215</v>
      </c>
      <c r="G45" s="390" t="str">
        <f>VLOOKUP($D$45,Staff!$B$2:$D$39,3,FALSE)</f>
        <v>9786 1247</v>
      </c>
      <c r="H45" s="390"/>
      <c r="I45" s="391" t="s">
        <v>223</v>
      </c>
      <c r="J45" s="391"/>
      <c r="K45" s="375" t="str">
        <f>IF(COUNTIF($E$61:$E$64,$E$57)&gt;0,Staff!$G$2,"")&amp;IF(COUNTIF($E$65:$E$68,$E$57)&gt;0,Staff!$G$3,"")&amp;IF(COUNTIF($E$69:$E$72,$E$57)&gt;0,Staff!$G$4,"")</f>
        <v>HO, KING KAI</v>
      </c>
      <c r="L45" s="375"/>
      <c r="M45" s="375"/>
    </row>
    <row r="46" spans="1:18">
      <c r="A46" s="389" t="s">
        <v>217</v>
      </c>
      <c r="B46" s="389"/>
      <c r="C46" s="323" t="str">
        <f>VLOOKUP($D$46,Staff!$B$2:$D$41,2,FALSE)</f>
        <v>CIA</v>
      </c>
      <c r="D46" s="375" t="str">
        <f>VLOOKUP(VLOOKUP($E$58,$E$61:$J$72,6,FALSE),Staff!$A$2:$D$13,2,FALSE)</f>
        <v>CN NG</v>
      </c>
      <c r="E46" s="375"/>
      <c r="F46" s="325" t="s">
        <v>215</v>
      </c>
      <c r="G46" s="390" t="str">
        <f>VLOOKUP($D$46,Staff!$B$2:$D$39,3,FALSE)</f>
        <v>6685 0265</v>
      </c>
      <c r="H46" s="390"/>
      <c r="I46" s="391" t="s">
        <v>224</v>
      </c>
      <c r="J46" s="391"/>
      <c r="K46" s="375" t="str">
        <f>IF(COUNTIF($E$61:$E$64,$E$58)&gt;0,Staff!$G$2,"")&amp;IF(COUNTIF($E$65:$E$68,$E$58)&gt;0,Staff!$G$3,"")&amp;IF(COUNTIF($E$69:$E$72,$E$58)&gt;0,Staff!$G$4,"")</f>
        <v>LIU, WAI FUN (F)</v>
      </c>
      <c r="L46" s="375"/>
      <c r="M46" s="375"/>
    </row>
    <row r="47" spans="1:18">
      <c r="A47" s="329"/>
      <c r="B47" s="329"/>
      <c r="C47" s="327"/>
      <c r="D47" s="395"/>
      <c r="E47" s="395"/>
      <c r="F47" s="324"/>
      <c r="G47" s="396"/>
      <c r="H47" s="396"/>
      <c r="I47" s="390"/>
      <c r="J47" s="390"/>
      <c r="K47" s="143"/>
      <c r="L47" s="143"/>
      <c r="M47" s="143"/>
    </row>
    <row r="48" spans="1:18" s="112" customFormat="1">
      <c r="A48" s="397" t="s">
        <v>4</v>
      </c>
      <c r="B48" s="397"/>
      <c r="C48" s="396" t="s">
        <v>218</v>
      </c>
      <c r="D48" s="396"/>
      <c r="E48" s="396"/>
      <c r="F48" s="154" t="s">
        <v>213</v>
      </c>
      <c r="G48" s="398" t="str">
        <f>IF(COUNTIF($E$61:$E$64,$E$57)&gt;0,Staff!$G$14,"")&amp;IF(COUNTIF($E$65:$E$68,$E$57)&gt;0,Staff!$G$13,"")&amp;IF(COUNTIF($E$69:$E$72,$E$57)&gt;0,Staff!$G$12,"")</f>
        <v>CHIU, OI YU (F)</v>
      </c>
      <c r="H48" s="398"/>
      <c r="I48" s="398"/>
      <c r="J48" s="333" t="s">
        <v>209</v>
      </c>
      <c r="K48" s="390" t="str">
        <f>VLOOKUP(VLOOKUP($B$3,$E$61:$J$72,6,FALSE),Staff!$F$22:$G$47,2,FALSE)</f>
        <v>AU, ANTHONY WEN YANG</v>
      </c>
      <c r="L48" s="390"/>
      <c r="M48" s="390"/>
      <c r="N48" s="12"/>
      <c r="P48" s="330"/>
      <c r="Q48" s="330"/>
      <c r="R48" s="330"/>
    </row>
    <row r="49" spans="1:18" s="112" customFormat="1">
      <c r="A49" s="155"/>
      <c r="B49" s="155"/>
      <c r="C49" s="396" t="s">
        <v>219</v>
      </c>
      <c r="D49" s="396"/>
      <c r="E49" s="396"/>
      <c r="F49" s="154" t="s">
        <v>214</v>
      </c>
      <c r="G49" s="375" t="str">
        <f>IF(COUNTIF($E$61:$E$64,$E$58)&gt;0,Staff!$G$14,"")&amp;IF(COUNTIF($E$65:$E$68,$E$58)&gt;0,Staff!$G$13,"")&amp;IF(COUNTIF($E$69:$E$72,$E$58)&gt;0,Staff!$G$12,"")</f>
        <v>HO, KWOK WUN D</v>
      </c>
      <c r="H49" s="375"/>
      <c r="I49" s="375"/>
      <c r="J49" s="333" t="s">
        <v>208</v>
      </c>
      <c r="K49" s="390"/>
      <c r="L49" s="390"/>
      <c r="M49" s="390"/>
      <c r="N49" s="330"/>
      <c r="P49" s="330"/>
      <c r="Q49" s="330"/>
      <c r="R49" s="330"/>
    </row>
    <row r="50" spans="1:18" s="112" customFormat="1">
      <c r="A50" s="320"/>
      <c r="B50" s="320"/>
      <c r="C50" s="327"/>
      <c r="D50" s="401"/>
      <c r="E50" s="401"/>
      <c r="F50" s="401"/>
      <c r="G50" s="401"/>
      <c r="H50" s="401"/>
      <c r="I50" s="401"/>
      <c r="J50" s="333" t="s">
        <v>210</v>
      </c>
      <c r="K50" s="390"/>
      <c r="L50" s="390"/>
      <c r="M50" s="390"/>
      <c r="N50" s="330"/>
      <c r="P50" s="330"/>
      <c r="Q50" s="330"/>
      <c r="R50" s="330"/>
    </row>
    <row r="51" spans="1:18" s="112" customFormat="1">
      <c r="A51" s="392" t="s">
        <v>3</v>
      </c>
      <c r="B51" s="393"/>
      <c r="C51" s="394" t="s">
        <v>220</v>
      </c>
      <c r="D51" s="394"/>
      <c r="E51" s="394"/>
      <c r="F51" s="397" t="s">
        <v>408</v>
      </c>
      <c r="G51" s="397"/>
      <c r="H51" s="397"/>
      <c r="I51" s="397"/>
      <c r="J51" s="333" t="s">
        <v>211</v>
      </c>
      <c r="K51" s="390"/>
      <c r="L51" s="390"/>
      <c r="M51" s="390"/>
      <c r="N51" s="330"/>
      <c r="P51" s="330"/>
      <c r="Q51" s="330"/>
      <c r="R51" s="330"/>
    </row>
    <row r="52" spans="1:18" s="112" customFormat="1">
      <c r="A52" s="393" t="s">
        <v>2</v>
      </c>
      <c r="B52" s="393"/>
      <c r="C52" s="411" t="s">
        <v>221</v>
      </c>
      <c r="D52" s="411"/>
      <c r="E52" s="411"/>
      <c r="F52" s="412" t="s">
        <v>1</v>
      </c>
      <c r="G52" s="412"/>
      <c r="H52" s="400" t="s">
        <v>409</v>
      </c>
      <c r="I52" s="400"/>
      <c r="J52" s="333" t="s">
        <v>212</v>
      </c>
      <c r="K52" s="390"/>
      <c r="L52" s="390"/>
      <c r="M52" s="390"/>
      <c r="N52" s="330"/>
      <c r="P52" s="330"/>
      <c r="Q52" s="330"/>
      <c r="R52" s="330"/>
    </row>
    <row r="53" spans="1:18" s="112" customFormat="1">
      <c r="A53" s="155"/>
      <c r="B53" s="155"/>
      <c r="C53" s="320"/>
      <c r="D53" s="399"/>
      <c r="E53" s="399"/>
      <c r="F53" s="391"/>
      <c r="G53" s="391"/>
      <c r="H53" s="400" t="s">
        <v>410</v>
      </c>
      <c r="I53" s="400"/>
      <c r="J53" s="326"/>
      <c r="K53" s="329"/>
      <c r="L53" s="329"/>
      <c r="M53" s="47"/>
      <c r="N53" s="330"/>
      <c r="P53" s="330"/>
      <c r="Q53" s="330"/>
      <c r="R53" s="330"/>
    </row>
    <row r="54" spans="1:18" s="112" customFormat="1" ht="16.5" customHeight="1">
      <c r="A54" s="392" t="s">
        <v>0</v>
      </c>
      <c r="B54" s="392"/>
      <c r="C54" s="407" t="s">
        <v>222</v>
      </c>
      <c r="D54" s="407"/>
      <c r="E54" s="407"/>
      <c r="F54" s="326"/>
      <c r="G54" s="333"/>
      <c r="H54" s="394" t="s">
        <v>411</v>
      </c>
      <c r="I54" s="394"/>
      <c r="J54" s="332"/>
      <c r="K54" s="329"/>
      <c r="L54" s="329"/>
      <c r="M54" s="47"/>
      <c r="N54" s="330"/>
      <c r="P54" s="330"/>
      <c r="Q54" s="330"/>
      <c r="R54" s="330"/>
    </row>
    <row r="55" spans="1:18" s="112" customFormat="1">
      <c r="A55" s="330"/>
      <c r="B55" s="330"/>
      <c r="C55" s="408"/>
      <c r="D55" s="408"/>
      <c r="E55" s="408"/>
      <c r="F55" s="408"/>
      <c r="G55" s="408"/>
      <c r="H55" s="408"/>
      <c r="I55" s="54"/>
      <c r="J55" s="53"/>
      <c r="M55" s="330"/>
      <c r="N55" s="330"/>
      <c r="P55" s="330"/>
      <c r="Q55" s="330"/>
      <c r="R55" s="330"/>
    </row>
    <row r="56" spans="1:18" s="112" customFormat="1" ht="16.5" thickBot="1">
      <c r="A56" s="3"/>
      <c r="B56" s="3"/>
      <c r="C56" s="3"/>
      <c r="D56" s="2"/>
      <c r="E56" s="39"/>
      <c r="F56" s="331"/>
      <c r="G56" s="331"/>
      <c r="H56" s="331"/>
      <c r="I56" s="409"/>
      <c r="J56" s="409"/>
      <c r="M56" s="330"/>
      <c r="N56" s="330"/>
      <c r="P56" s="330"/>
      <c r="Q56" s="330"/>
      <c r="R56" s="330"/>
    </row>
    <row r="57" spans="1:18" s="112" customFormat="1">
      <c r="A57" s="330"/>
      <c r="B57" s="330"/>
      <c r="C57" s="330"/>
      <c r="D57" s="330"/>
      <c r="E57" s="90" t="s">
        <v>133</v>
      </c>
      <c r="F57" s="91" t="s">
        <v>135</v>
      </c>
      <c r="G57" s="91"/>
      <c r="H57" s="92"/>
      <c r="I57" s="330"/>
      <c r="J57" s="330"/>
      <c r="K57" s="330"/>
      <c r="L57" s="330"/>
      <c r="M57" s="330"/>
      <c r="N57" s="330"/>
      <c r="P57" s="330"/>
      <c r="Q57" s="330"/>
      <c r="R57" s="330"/>
    </row>
    <row r="58" spans="1:18" s="112" customFormat="1" ht="16.5" thickBot="1">
      <c r="A58" s="330"/>
      <c r="B58" s="330"/>
      <c r="C58" s="330"/>
      <c r="D58" s="330"/>
      <c r="E58" s="93" t="s">
        <v>134</v>
      </c>
      <c r="F58" s="94" t="s">
        <v>136</v>
      </c>
      <c r="G58" s="94"/>
      <c r="H58" s="95"/>
      <c r="I58" s="330"/>
      <c r="J58" s="330"/>
      <c r="K58" s="330"/>
      <c r="L58" s="330"/>
      <c r="M58" s="330"/>
      <c r="N58" s="330"/>
      <c r="P58" s="330"/>
      <c r="Q58" s="330"/>
      <c r="R58" s="330"/>
    </row>
    <row r="59" spans="1:18" s="112" customFormat="1">
      <c r="A59" s="330"/>
      <c r="B59" s="330"/>
      <c r="C59" s="330"/>
      <c r="D59" s="330"/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P59" s="330"/>
      <c r="Q59" s="330"/>
      <c r="R59" s="330"/>
    </row>
    <row r="60" spans="1:18" s="112" customFormat="1" ht="16.5" thickBot="1">
      <c r="A60" s="330"/>
      <c r="B60" s="330"/>
      <c r="C60" s="330"/>
      <c r="D60" s="85" t="s">
        <v>132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98</v>
      </c>
      <c r="J60" s="330"/>
      <c r="K60" s="96" t="s">
        <v>302</v>
      </c>
      <c r="L60" s="96" t="s">
        <v>303</v>
      </c>
      <c r="M60" s="96"/>
      <c r="N60" s="330"/>
      <c r="P60" s="330"/>
      <c r="Q60" s="330"/>
      <c r="R60" s="330"/>
    </row>
    <row r="61" spans="1:18" s="112" customFormat="1">
      <c r="A61" s="330"/>
      <c r="B61" s="330"/>
      <c r="C61" s="330"/>
      <c r="D61" s="97" t="s">
        <v>86</v>
      </c>
      <c r="E61" s="98" t="str">
        <f>_xlfn.IFNA(VLOOKUP(MOD((($D$1-WEEKDAY($D$1,2)+1)-45523)/7+21,24),Shift!$A$2:$H$25,WEEKDAY($D$1,2)+1),VLOOKUP(24,Shift!$A$2:$H$25,WEEKDAY($D$1,2)+1))</f>
        <v>P1 @</v>
      </c>
      <c r="F61" s="98" t="str">
        <f>IF(OR($E61="L",$E61="L#"),0,"?")</f>
        <v>?</v>
      </c>
      <c r="G61" s="98" t="str">
        <f>IF(OR($E61="L",$E61="L#"),0,"?")</f>
        <v>?</v>
      </c>
      <c r="H61" s="98" t="str">
        <f>IF(OR($E61="L",$E61="L#"),0,"?")</f>
        <v>?</v>
      </c>
      <c r="I61" s="99">
        <f t="shared" ref="I61:I72" si="9">IF(OR($E61="L",$E61="L#"),0,SUM($F61:$H61))</f>
        <v>0</v>
      </c>
      <c r="J61" s="136" t="s">
        <v>86</v>
      </c>
      <c r="K61" s="112" t="str">
        <f>IF(AND($F61&gt;1,$F61&lt;&gt;"?"),$F61-1,"")</f>
        <v/>
      </c>
      <c r="L61" s="112" t="str">
        <f>IF(AND($G61&gt;1,$G61&lt;&gt;"?"),$G61-1,"")</f>
        <v/>
      </c>
      <c r="N61" s="330"/>
      <c r="P61" s="330"/>
      <c r="Q61" s="330"/>
      <c r="R61" s="330"/>
    </row>
    <row r="62" spans="1:18" s="112" customFormat="1">
      <c r="A62" s="330"/>
      <c r="B62" s="330"/>
      <c r="C62" s="330"/>
      <c r="D62" s="100" t="s">
        <v>85</v>
      </c>
      <c r="E62" s="101" t="str">
        <f>_xlfn.IFNA(VLOOKUP(MOD((($D$1-WEEKDAY($D$1,2)+1)-45523)/7+3,24),Shift!$A$2:$H$25,WEEKDAY($D$1,2)+1),VLOOKUP(24,Shift!$A$2:$H$25,WEEKDAY($D$1,2)+1))</f>
        <v>P4</v>
      </c>
      <c r="F62" s="101" t="str">
        <f t="shared" ref="F62:H72" si="10">IF(OR($E62="L",$E62="L#"),0,"?")</f>
        <v>?</v>
      </c>
      <c r="G62" s="101" t="str">
        <f t="shared" si="10"/>
        <v>?</v>
      </c>
      <c r="H62" s="101" t="str">
        <f t="shared" si="10"/>
        <v>?</v>
      </c>
      <c r="I62" s="102">
        <f t="shared" si="9"/>
        <v>0</v>
      </c>
      <c r="J62" s="137" t="s">
        <v>85</v>
      </c>
      <c r="K62" s="112" t="str">
        <f t="shared" ref="K62:K72" si="11">IF(AND($F62&gt;1,$F62&lt;&gt;"?"),$F62-1,"")</f>
        <v/>
      </c>
      <c r="L62" s="112" t="str">
        <f t="shared" ref="L62:L72" si="12">IF(AND($G62&gt;1,$G62&lt;&gt;"?"),$G62-1,"")</f>
        <v/>
      </c>
      <c r="N62" s="330"/>
      <c r="P62" s="330"/>
      <c r="Q62" s="330"/>
      <c r="R62" s="330"/>
    </row>
    <row r="63" spans="1:18" s="112" customFormat="1">
      <c r="A63" s="330"/>
      <c r="B63" s="330"/>
      <c r="C63" s="330"/>
      <c r="D63" s="100" t="s">
        <v>99</v>
      </c>
      <c r="E63" s="101" t="str">
        <f>_xlfn.IFNA(VLOOKUP(MOD((($D$1-WEEKDAY($D$1,2)+1)-45523)/7+9,24),Shift!$A$2:$H$25,WEEKDAY($D$1,2)+1),VLOOKUP(24,Shift!$A$2:$H$25,WEEKDAY($D$1,2)+1))</f>
        <v>P1</v>
      </c>
      <c r="F63" s="101" t="str">
        <f t="shared" si="10"/>
        <v>?</v>
      </c>
      <c r="G63" s="101" t="str">
        <f t="shared" si="10"/>
        <v>?</v>
      </c>
      <c r="H63" s="101" t="str">
        <f t="shared" si="10"/>
        <v>?</v>
      </c>
      <c r="I63" s="102">
        <f t="shared" si="9"/>
        <v>0</v>
      </c>
      <c r="J63" s="137" t="s">
        <v>99</v>
      </c>
      <c r="K63" s="112" t="str">
        <f t="shared" si="11"/>
        <v/>
      </c>
      <c r="L63" s="112" t="str">
        <f t="shared" si="12"/>
        <v/>
      </c>
      <c r="N63" s="330"/>
      <c r="P63" s="330"/>
      <c r="Q63" s="330"/>
      <c r="R63" s="330"/>
    </row>
    <row r="64" spans="1:18" ht="16.5" thickBot="1">
      <c r="D64" s="103" t="s">
        <v>100</v>
      </c>
      <c r="E64" s="104" t="str">
        <f>_xlfn.IFNA(VLOOKUP(MOD((($D$1-WEEKDAY($D$1,2)+1)-45523)/7+15,24),Shift!$A$2:$H$25,WEEKDAY($D$1,2)+1),VLOOKUP(24,Shift!$A$2:$H$25,WEEKDAY($D$1,2)+1))</f>
        <v>P1</v>
      </c>
      <c r="F64" s="104" t="str">
        <f t="shared" si="10"/>
        <v>?</v>
      </c>
      <c r="G64" s="104" t="str">
        <f t="shared" si="10"/>
        <v>?</v>
      </c>
      <c r="H64" s="104" t="str">
        <f t="shared" si="10"/>
        <v>?</v>
      </c>
      <c r="I64" s="105">
        <f t="shared" si="9"/>
        <v>0</v>
      </c>
      <c r="J64" s="138" t="s">
        <v>100</v>
      </c>
      <c r="K64" s="112" t="str">
        <f t="shared" si="11"/>
        <v/>
      </c>
      <c r="L64" s="112" t="str">
        <f t="shared" si="12"/>
        <v/>
      </c>
      <c r="M64" s="112"/>
    </row>
    <row r="65" spans="4:13">
      <c r="D65" s="97" t="s">
        <v>101</v>
      </c>
      <c r="E65" s="98" t="str">
        <f>_xlfn.IFNA(VLOOKUP(MOD((($D$1-WEEKDAY($D$1,2)+1)-45523)/7+19,24),Shift!$A$2:$H$25,WEEKDAY($D$1,2)+1),VLOOKUP(24,Shift!$A$2:$H$25,WEEKDAY($D$1,2)+1))</f>
        <v>M1</v>
      </c>
      <c r="F65" s="98" t="str">
        <f t="shared" si="10"/>
        <v>?</v>
      </c>
      <c r="G65" s="98" t="str">
        <f t="shared" si="10"/>
        <v>?</v>
      </c>
      <c r="H65" s="98" t="str">
        <f t="shared" si="10"/>
        <v>?</v>
      </c>
      <c r="I65" s="99">
        <f t="shared" si="9"/>
        <v>0</v>
      </c>
      <c r="J65" s="136" t="s">
        <v>101</v>
      </c>
      <c r="K65" s="112" t="str">
        <f t="shared" si="11"/>
        <v/>
      </c>
      <c r="L65" s="112" t="str">
        <f t="shared" si="12"/>
        <v/>
      </c>
      <c r="M65" s="112"/>
    </row>
    <row r="66" spans="4:13">
      <c r="D66" s="100" t="s">
        <v>102</v>
      </c>
      <c r="E66" s="101" t="str">
        <f>_xlfn.IFNA(VLOOKUP(MOD((($D$1-WEEKDAY($D$1,2)+1)-45523)/7+1,24),Shift!$A$2:$H$25,WEEKDAY($D$1,2)+1),VLOOKUP(24,Shift!$A$2:$H$25,WEEKDAY($D$1,2)+1))</f>
        <v>G1</v>
      </c>
      <c r="F66" s="101" t="str">
        <f t="shared" si="10"/>
        <v>?</v>
      </c>
      <c r="G66" s="101" t="str">
        <f t="shared" si="10"/>
        <v>?</v>
      </c>
      <c r="H66" s="101" t="str">
        <f t="shared" si="10"/>
        <v>?</v>
      </c>
      <c r="I66" s="102">
        <f t="shared" si="9"/>
        <v>0</v>
      </c>
      <c r="J66" s="137" t="s">
        <v>102</v>
      </c>
      <c r="K66" s="112" t="str">
        <f t="shared" si="11"/>
        <v/>
      </c>
      <c r="L66" s="112" t="str">
        <f t="shared" si="12"/>
        <v/>
      </c>
      <c r="M66" s="112"/>
    </row>
    <row r="67" spans="4:13">
      <c r="D67" s="100" t="s">
        <v>103</v>
      </c>
      <c r="E67" s="101" t="str">
        <f>_xlfn.IFNA(VLOOKUP(MOD((($D$1-WEEKDAY($D$1,2)+1)-45523)/7+7,24),Shift!$A$2:$H$25,WEEKDAY($D$1,2)+1),VLOOKUP(24,Shift!$A$2:$H$25,WEEKDAY($D$1,2)+1))</f>
        <v>M @</v>
      </c>
      <c r="F67" s="101" t="str">
        <f t="shared" si="10"/>
        <v>?</v>
      </c>
      <c r="G67" s="101" t="str">
        <f t="shared" si="10"/>
        <v>?</v>
      </c>
      <c r="H67" s="101" t="str">
        <f t="shared" si="10"/>
        <v>?</v>
      </c>
      <c r="I67" s="102">
        <f t="shared" si="9"/>
        <v>0</v>
      </c>
      <c r="J67" s="137" t="s">
        <v>103</v>
      </c>
      <c r="K67" s="112" t="str">
        <f t="shared" si="11"/>
        <v/>
      </c>
      <c r="L67" s="112" t="str">
        <f t="shared" si="12"/>
        <v/>
      </c>
      <c r="M67" s="112"/>
    </row>
    <row r="68" spans="4:13" ht="16.5" thickBot="1">
      <c r="D68" s="103" t="s">
        <v>104</v>
      </c>
      <c r="E68" s="104" t="str">
        <f>_xlfn.IFNA(VLOOKUP(MOD((($D$1-WEEKDAY($D$1,2)+1)-45523)/7+13,24),Shift!$A$2:$H$25,WEEKDAY($D$1,2)+1),VLOOKUP(24,Shift!$A$2:$H$25,WEEKDAY($D$1,2)+1))</f>
        <v>M</v>
      </c>
      <c r="F68" s="104" t="str">
        <f t="shared" si="10"/>
        <v>?</v>
      </c>
      <c r="G68" s="104" t="str">
        <f t="shared" si="10"/>
        <v>?</v>
      </c>
      <c r="H68" s="104" t="str">
        <f t="shared" si="10"/>
        <v>?</v>
      </c>
      <c r="I68" s="105">
        <f t="shared" si="9"/>
        <v>0</v>
      </c>
      <c r="J68" s="138" t="s">
        <v>104</v>
      </c>
      <c r="K68" s="112" t="str">
        <f t="shared" si="11"/>
        <v/>
      </c>
      <c r="L68" s="112" t="str">
        <f t="shared" si="12"/>
        <v/>
      </c>
      <c r="M68" s="112"/>
    </row>
    <row r="69" spans="4:13">
      <c r="D69" s="97" t="s">
        <v>105</v>
      </c>
      <c r="E69" s="98" t="str">
        <f>_xlfn.IFNA(VLOOKUP(MOD((($D$1-WEEKDAY($D$1,2)+1)-45523)/7+17,24),Shift!$A$2:$H$25,WEEKDAY($D$1,2)+1),VLOOKUP(24,Shift!$A$2:$H$25,WEEKDAY($D$1,2)+1))</f>
        <v>A</v>
      </c>
      <c r="F69" s="98" t="str">
        <f t="shared" si="10"/>
        <v>?</v>
      </c>
      <c r="G69" s="98" t="str">
        <f t="shared" si="10"/>
        <v>?</v>
      </c>
      <c r="H69" s="98" t="str">
        <f t="shared" si="10"/>
        <v>?</v>
      </c>
      <c r="I69" s="99">
        <f t="shared" si="9"/>
        <v>0</v>
      </c>
      <c r="J69" s="136" t="s">
        <v>105</v>
      </c>
      <c r="K69" s="112" t="str">
        <f t="shared" si="11"/>
        <v/>
      </c>
      <c r="L69" s="112" t="str">
        <f t="shared" si="12"/>
        <v/>
      </c>
      <c r="M69" s="112"/>
    </row>
    <row r="70" spans="4:13">
      <c r="D70" s="100" t="s">
        <v>106</v>
      </c>
      <c r="E70" s="101" t="str">
        <f>_xlfn.IFNA(VLOOKUP(MOD((($D$1-WEEKDAY($D$1,2)+1)-45523)/7+23,24),Shift!$A$2:$H$25,WEEKDAY($D$1,2)+1),VLOOKUP(24,Shift!$A$2:$H$25,WEEKDAY($D$1,2)+1))</f>
        <v>L</v>
      </c>
      <c r="F70" s="101">
        <f t="shared" si="10"/>
        <v>0</v>
      </c>
      <c r="G70" s="101">
        <f t="shared" si="10"/>
        <v>0</v>
      </c>
      <c r="H70" s="101">
        <f t="shared" si="10"/>
        <v>0</v>
      </c>
      <c r="I70" s="102">
        <f t="shared" si="9"/>
        <v>0</v>
      </c>
      <c r="J70" s="137" t="s">
        <v>106</v>
      </c>
      <c r="K70" s="112" t="str">
        <f t="shared" si="11"/>
        <v/>
      </c>
      <c r="L70" s="112" t="str">
        <f t="shared" si="12"/>
        <v/>
      </c>
      <c r="M70" s="112"/>
    </row>
    <row r="71" spans="4:13">
      <c r="D71" s="100" t="s">
        <v>107</v>
      </c>
      <c r="E71" s="101" t="str">
        <f>_xlfn.IFNA(VLOOKUP(MOD((($D$1-WEEKDAY($D$1,2)+1)-45523)/7+5,24),Shift!$A$2:$H$25,WEEKDAY($D$1,2)+1),VLOOKUP(24,Shift!$A$2:$H$25,WEEKDAY($D$1,2)+1))</f>
        <v>L</v>
      </c>
      <c r="F71" s="101">
        <f t="shared" si="10"/>
        <v>0</v>
      </c>
      <c r="G71" s="101">
        <f t="shared" si="10"/>
        <v>0</v>
      </c>
      <c r="H71" s="101">
        <f t="shared" si="10"/>
        <v>0</v>
      </c>
      <c r="I71" s="102">
        <f t="shared" si="9"/>
        <v>0</v>
      </c>
      <c r="J71" s="137" t="s">
        <v>107</v>
      </c>
      <c r="K71" s="112" t="str">
        <f t="shared" si="11"/>
        <v/>
      </c>
      <c r="L71" s="112" t="str">
        <f t="shared" si="12"/>
        <v/>
      </c>
      <c r="M71" s="112"/>
    </row>
    <row r="72" spans="4:13" ht="16.5" thickBot="1">
      <c r="D72" s="103" t="s">
        <v>108</v>
      </c>
      <c r="E72" s="104" t="str">
        <f>_xlfn.IFNA(VLOOKUP(MOD((($D$1-WEEKDAY($D$1,2)+1)-45523)/7+11,24),Shift!$A$2:$H$25,WEEKDAY($D$1,2)+1),VLOOKUP(24,Shift!$A$2:$H$25,WEEKDAY($D$1,2)+1))</f>
        <v>L</v>
      </c>
      <c r="F72" s="104">
        <f t="shared" si="10"/>
        <v>0</v>
      </c>
      <c r="G72" s="104">
        <f t="shared" si="10"/>
        <v>0</v>
      </c>
      <c r="H72" s="104">
        <f t="shared" si="10"/>
        <v>0</v>
      </c>
      <c r="I72" s="105">
        <f t="shared" si="9"/>
        <v>0</v>
      </c>
      <c r="J72" s="138" t="s">
        <v>108</v>
      </c>
      <c r="K72" s="112" t="str">
        <f t="shared" si="11"/>
        <v/>
      </c>
      <c r="L72" s="112" t="str">
        <f t="shared" si="12"/>
        <v/>
      </c>
      <c r="M72" s="112"/>
    </row>
    <row r="73" spans="4:13">
      <c r="D73" s="144" t="s">
        <v>86</v>
      </c>
      <c r="E73" s="98" t="s">
        <v>127</v>
      </c>
      <c r="F73" s="98"/>
      <c r="G73" s="98"/>
      <c r="H73" s="98"/>
      <c r="I73" s="99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330"/>
    </row>
    <row r="76" spans="4:13" ht="16.5" thickBot="1">
      <c r="D76" s="146" t="s">
        <v>137</v>
      </c>
      <c r="E76" s="104" t="s">
        <v>127</v>
      </c>
      <c r="F76" s="106"/>
      <c r="G76" s="106"/>
      <c r="H76" s="106"/>
      <c r="I76" s="105">
        <f>IF(OR($E76="L",$E76="L#",$E76="?"),0,SUM($F76:$H76))</f>
        <v>0</v>
      </c>
      <c r="J76" s="330"/>
    </row>
    <row r="77" spans="4:13">
      <c r="D77" s="330"/>
      <c r="E77" s="96" t="s">
        <v>98</v>
      </c>
      <c r="F77" s="96" t="str">
        <f>SUM($F$61:$F$76)&amp;IF(SUM($F$61:$H$76)&gt;$I$77,"?","")</f>
        <v>0</v>
      </c>
      <c r="G77" s="96" t="str">
        <f>SUM($G$61:$G$76)&amp;IF(SUM($F$61:$H$76)&gt;$I$77,"?","")</f>
        <v>0</v>
      </c>
      <c r="H77" s="96" t="str">
        <f>SUM($H$61:$H$76)&amp;IF(SUM($F$61:$H$76)&gt;$I$77,"?","")</f>
        <v>0</v>
      </c>
      <c r="I77" s="96">
        <f>SUM(I61:I76)</f>
        <v>0</v>
      </c>
      <c r="J77" s="330"/>
    </row>
    <row r="78" spans="4:13">
      <c r="D78" s="330"/>
      <c r="E78" s="330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330"/>
      <c r="J78" s="330"/>
    </row>
    <row r="80" spans="4:13">
      <c r="D80" s="410" t="s">
        <v>281</v>
      </c>
      <c r="E80" s="410"/>
      <c r="F80" s="410"/>
    </row>
    <row r="81" spans="4:6">
      <c r="D81" s="49" t="str">
        <f>IF(Flight!$A$68=0,"",Flight!$A$68)</f>
        <v/>
      </c>
      <c r="E81" s="163"/>
      <c r="F81" s="164" t="str">
        <f>IF(D81="","",VLOOKUP(D81,Flight!$A$68:$C$91,3,FALSE))</f>
        <v/>
      </c>
    </row>
    <row r="82" spans="4:6">
      <c r="D82" s="49" t="str">
        <f>IF(Flight!$A69=0,"",Flight!$A69)</f>
        <v/>
      </c>
      <c r="F82" s="164" t="str">
        <f>IF(D82="","",VLOOKUP(D82,Flight!$A$68:$C$91,3,FALSE))</f>
        <v/>
      </c>
    </row>
    <row r="83" spans="4:6">
      <c r="D83" s="49" t="str">
        <f>IF(Flight!$A71=0,"",Flight!$A71)</f>
        <v>3A031</v>
      </c>
      <c r="F83" s="164" t="str">
        <f>IF(D83="","",VLOOKUP(D83,Flight!$A$68:$C$91,3,FALSE))</f>
        <v>ZTI</v>
      </c>
    </row>
    <row r="84" spans="4:6">
      <c r="D84" s="49" t="str">
        <f>IF(Flight!$A72=0,"",Flight!$A72)</f>
        <v>3A003</v>
      </c>
      <c r="F84" s="164" t="str">
        <f>IF(D84="","",VLOOKUP(D84,Flight!$A$68:$C$91,3,FALSE))</f>
        <v>ZYK</v>
      </c>
    </row>
    <row r="85" spans="4:6">
      <c r="D85" s="49" t="str">
        <f>IF(Flight!$A73=0,"",Flight!$A73)</f>
        <v>3A005</v>
      </c>
      <c r="F85" s="164" t="str">
        <f>IF(D85="","",VLOOKUP(D85,Flight!$A$68:$C$91,3,FALSE))</f>
        <v>HKM</v>
      </c>
    </row>
    <row r="86" spans="4:6">
      <c r="D86" s="49" t="str">
        <f>IF(Flight!$A74=0,"",Flight!$A74)</f>
        <v>3A007</v>
      </c>
      <c r="F86" s="164" t="str">
        <f>IF(D86="","",VLOOKUP(D86,Flight!$A$68:$C$91,3,FALSE))</f>
        <v>ZYK</v>
      </c>
    </row>
    <row r="87" spans="4:6">
      <c r="D87" s="49" t="str">
        <f>IF(Flight!$A75=0,"",Flight!$A75)</f>
        <v>3A008</v>
      </c>
      <c r="F87" s="164" t="str">
        <f>IF(D87="","",VLOOKUP(D87,Flight!$A$68:$C$91,3,FALSE))</f>
        <v>ZYK</v>
      </c>
    </row>
    <row r="88" spans="4:6">
      <c r="D88" s="49" t="str">
        <f>IF(Flight!$A76=0,"",Flight!$A76)</f>
        <v>3A009</v>
      </c>
      <c r="F88" s="164" t="str">
        <f>IF(D88="","",VLOOKUP(D88,Flight!$A$68:$C$91,3,FALSE))</f>
        <v>ZYK</v>
      </c>
    </row>
    <row r="89" spans="4:6">
      <c r="D89" s="49" t="str">
        <f>IF(Flight!$A77=0,"",Flight!$A77)</f>
        <v>3A010</v>
      </c>
      <c r="F89" s="164" t="str">
        <f>IF(D89="","",VLOOKUP(D89,Flight!$A$68:$C$91,3,FALSE))</f>
        <v>ZYK</v>
      </c>
    </row>
    <row r="90" spans="4:6">
      <c r="D90" s="49" t="str">
        <f>IF(Flight!$A78=0,"",Flight!$A78)</f>
        <v/>
      </c>
      <c r="F90" s="164" t="str">
        <f>IF(D90="","",VLOOKUP(D90,Flight!$A$68:$C$91,3,FALSE))</f>
        <v/>
      </c>
    </row>
    <row r="91" spans="4:6">
      <c r="D91" s="49" t="str">
        <f>IF(Flight!$A80=0,"",Flight!$A80)</f>
        <v>8S7121</v>
      </c>
      <c r="F91" s="164" t="str">
        <f>IF(D91="","",VLOOKUP(D91,Flight!$A$68:$C$91,3,FALSE))</f>
        <v>HKM</v>
      </c>
    </row>
    <row r="92" spans="4:6">
      <c r="D92" s="49" t="str">
        <f>IF(Flight!$A81=0,"",Flight!$A81)</f>
        <v>8S7108</v>
      </c>
      <c r="F92" s="164" t="str">
        <f>IF(D92="","",VLOOKUP(D92,Flight!$A$68:$C$91,3,FALSE))</f>
        <v>ZYK</v>
      </c>
    </row>
    <row r="93" spans="4:6">
      <c r="D93" s="49" t="str">
        <f>IF(Flight!$A82=0,"",Flight!$A82)</f>
        <v>8S7111</v>
      </c>
      <c r="F93" s="164" t="str">
        <f>IF(D93="","",VLOOKUP(D93,Flight!$A$68:$C$91,3,FALSE))</f>
        <v>ZYK</v>
      </c>
    </row>
    <row r="94" spans="4:6">
      <c r="D94" s="49" t="str">
        <f>IF(Flight!$A83=0,"",Flight!$A83)</f>
        <v>8S7131</v>
      </c>
      <c r="F94" s="164" t="str">
        <f>IF(D94="","",VLOOKUP(D94,Flight!$A$68:$C$91,3,FALSE))</f>
        <v>?</v>
      </c>
    </row>
    <row r="95" spans="4:6">
      <c r="D95" s="49" t="str">
        <f>IF(Flight!$A84=0,"",Flight!$A84)</f>
        <v>8S7119</v>
      </c>
      <c r="F95" s="164" t="str">
        <f>IF(D95="","",VLOOKUP(D95,Flight!$A$68:$C$91,3,FALSE))</f>
        <v>HKM</v>
      </c>
    </row>
    <row r="96" spans="4:6">
      <c r="D96" s="49" t="str">
        <f>IF(Flight!$A85=0,"",Flight!$A85)</f>
        <v>8S7126</v>
      </c>
      <c r="F96" s="164" t="str">
        <f>IF(D96="","",VLOOKUP(D96,Flight!$A$68:$C$91,3,FALSE))</f>
        <v>HKM</v>
      </c>
    </row>
    <row r="97" spans="4:6">
      <c r="D97" s="49" t="str">
        <f>IF(Flight!$A86=0,"",Flight!$A86)</f>
        <v>8S7128</v>
      </c>
      <c r="F97" s="164" t="str">
        <f>IF(D97="","",VLOOKUP(D97,Flight!$A$68:$C$91,3,FALSE))</f>
        <v>HKM</v>
      </c>
    </row>
    <row r="98" spans="4:6">
      <c r="D98" s="49" t="str">
        <f>IF(Flight!$A87=0,"",Flight!$A87)</f>
        <v>3A8010</v>
      </c>
      <c r="F98" s="164" t="str">
        <f>IF(D98="","",VLOOKUP(D98,Flight!$A$68:$C$91,3,FALSE))</f>
        <v>HZI</v>
      </c>
    </row>
    <row r="99" spans="4:6">
      <c r="D99" s="49" t="str">
        <f>IF(Flight!$A88=0,"",Flight!$A88)</f>
        <v>3A8015</v>
      </c>
      <c r="F99" s="164" t="str">
        <f>IF(D99="","",VLOOKUP(D99,Flight!$A$68:$C$91,3,FALSE))</f>
        <v>?</v>
      </c>
    </row>
    <row r="100" spans="4:6">
      <c r="D100" s="49" t="str">
        <f>IF(Flight!$A89=0,"",Flight!$A89)</f>
        <v>3A8016</v>
      </c>
      <c r="F100" s="164" t="str">
        <f>IF(D100="","",VLOOKUP(D100,Flight!$A$68:$C$91,3,FALSE))</f>
        <v>HZI</v>
      </c>
    </row>
    <row r="101" spans="4:6">
      <c r="D101" s="49" t="str">
        <f>IF(Flight!$A91=0,"",Flight!$A91)</f>
        <v xml:space="preserve">Last </v>
      </c>
      <c r="F101" s="164" t="str">
        <f>IF(D101="","",VLOOKUP(D101,Flight!$A$68:$C$91,3,FALSE))</f>
        <v>↑</v>
      </c>
    </row>
    <row r="102" spans="4:6">
      <c r="D102" s="49" t="str">
        <f>IF(Flight!$A92=0,"",Flight!$A92)</f>
        <v/>
      </c>
      <c r="F102" s="164" t="str">
        <f>IF(D102="","",VLOOKUP(D102,Flight!$A$68:$C$91,3,FALSE))</f>
        <v/>
      </c>
    </row>
    <row r="103" spans="4:6">
      <c r="D103" s="186"/>
      <c r="F103" s="187"/>
    </row>
    <row r="104" spans="4:6">
      <c r="D104" s="406" t="str">
        <f>IF(Flight!$A$93=0,"",Flight!$A$93)</f>
        <v>Target Flight</v>
      </c>
      <c r="E104" s="406"/>
      <c r="F104" s="406"/>
    </row>
    <row r="105" spans="4:6">
      <c r="D105" s="27" t="s">
        <v>59</v>
      </c>
      <c r="E105" s="158"/>
      <c r="F105" s="10" t="s">
        <v>38</v>
      </c>
    </row>
    <row r="106" spans="4:6">
      <c r="D106" s="27" t="s">
        <v>89</v>
      </c>
      <c r="E106" s="158"/>
      <c r="F106" s="10" t="s">
        <v>38</v>
      </c>
    </row>
    <row r="107" spans="4:6">
      <c r="D107" s="27" t="s">
        <v>254</v>
      </c>
      <c r="E107" s="158"/>
      <c r="F107" s="10" t="s">
        <v>38</v>
      </c>
    </row>
    <row r="108" spans="4:6">
      <c r="D108" s="27" t="s">
        <v>57</v>
      </c>
      <c r="E108" s="158"/>
      <c r="F108" s="10" t="s">
        <v>58</v>
      </c>
    </row>
    <row r="109" spans="4:6">
      <c r="D109" s="27" t="s">
        <v>198</v>
      </c>
      <c r="E109" s="158"/>
      <c r="F109" s="10" t="s">
        <v>199</v>
      </c>
    </row>
    <row r="110" spans="4:6">
      <c r="D110" s="27" t="s">
        <v>55</v>
      </c>
      <c r="E110" s="158"/>
      <c r="F110" s="10" t="s">
        <v>54</v>
      </c>
    </row>
    <row r="111" spans="4:6">
      <c r="D111" s="27" t="s">
        <v>39</v>
      </c>
      <c r="E111" s="158"/>
      <c r="F111" s="10" t="s">
        <v>38</v>
      </c>
    </row>
    <row r="112" spans="4:6">
      <c r="D112" s="27" t="s">
        <v>200</v>
      </c>
      <c r="E112" s="158"/>
      <c r="F112" s="10" t="s">
        <v>54</v>
      </c>
    </row>
    <row r="113" spans="4:6">
      <c r="D113" s="27" t="s">
        <v>201</v>
      </c>
      <c r="E113" s="158"/>
      <c r="F113" s="10" t="s">
        <v>38</v>
      </c>
    </row>
    <row r="114" spans="4:6">
      <c r="D114" s="161"/>
      <c r="E114" s="158"/>
      <c r="F114" s="159"/>
    </row>
    <row r="115" spans="4:6">
      <c r="D115" s="161"/>
      <c r="E115" s="158"/>
      <c r="F115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6:E46"/>
    <mergeCell ref="G46:H46"/>
    <mergeCell ref="I46:J46"/>
    <mergeCell ref="K45:M45"/>
    <mergeCell ref="H6:H7"/>
    <mergeCell ref="I6:I7"/>
    <mergeCell ref="J6:J7"/>
    <mergeCell ref="K6:M6"/>
    <mergeCell ref="A42:F42"/>
    <mergeCell ref="I42:M43"/>
    <mergeCell ref="A43:H43"/>
    <mergeCell ref="A6:A7"/>
    <mergeCell ref="B6:C6"/>
    <mergeCell ref="D6:D7"/>
    <mergeCell ref="E6:E7"/>
    <mergeCell ref="F6:F7"/>
    <mergeCell ref="A44:H44"/>
    <mergeCell ref="A45:B45"/>
    <mergeCell ref="D45:E45"/>
    <mergeCell ref="G45:H45"/>
    <mergeCell ref="I45:J45"/>
    <mergeCell ref="K46:M46"/>
    <mergeCell ref="A51:B51"/>
    <mergeCell ref="C51:E51"/>
    <mergeCell ref="F51:I51"/>
    <mergeCell ref="K51:M51"/>
    <mergeCell ref="A48:B48"/>
    <mergeCell ref="C48:E48"/>
    <mergeCell ref="G48:I48"/>
    <mergeCell ref="K48:M48"/>
    <mergeCell ref="C49:E49"/>
    <mergeCell ref="G49:I49"/>
    <mergeCell ref="K49:M49"/>
    <mergeCell ref="D47:E47"/>
    <mergeCell ref="G47:H47"/>
    <mergeCell ref="I47:J47"/>
    <mergeCell ref="A46:B46"/>
    <mergeCell ref="D53:E53"/>
    <mergeCell ref="F53:G53"/>
    <mergeCell ref="H53:I53"/>
    <mergeCell ref="D50:I50"/>
    <mergeCell ref="K50:M50"/>
    <mergeCell ref="A52:B52"/>
    <mergeCell ref="C52:E52"/>
    <mergeCell ref="F52:G52"/>
    <mergeCell ref="H52:I52"/>
    <mergeCell ref="K52:M52"/>
    <mergeCell ref="D104:F104"/>
    <mergeCell ref="A54:B54"/>
    <mergeCell ref="C54:E54"/>
    <mergeCell ref="H54:I54"/>
    <mergeCell ref="C55:H55"/>
    <mergeCell ref="I56:J56"/>
    <mergeCell ref="D80:F80"/>
  </mergeCells>
  <phoneticPr fontId="2" type="noConversion"/>
  <conditionalFormatting sqref="H8:H26 E8:E26 E29:E41 H29:H41">
    <cfRule type="cellIs" dxfId="70" priority="5" operator="equal">
      <formula>""</formula>
    </cfRule>
  </conditionalFormatting>
  <conditionalFormatting sqref="F61:H78">
    <cfRule type="cellIs" dxfId="69" priority="4" operator="equal">
      <formula>"?"</formula>
    </cfRule>
  </conditionalFormatting>
  <conditionalFormatting sqref="H27:H28 E27:E28">
    <cfRule type="cellIs" dxfId="68" priority="2" operator="equal">
      <formula>""</formula>
    </cfRule>
  </conditionalFormatting>
  <conditionalFormatting sqref="D27:D28">
    <cfRule type="duplicateValues" dxfId="67" priority="1"/>
  </conditionalFormatting>
  <conditionalFormatting sqref="D8:D26 D29:D998">
    <cfRule type="duplicateValues" dxfId="66" priority="174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Staff!$G$2:$G$9</xm:f>
          </x14:formula1>
          <xm:sqref>K45:M46</xm:sqref>
        </x14:dataValidation>
        <x14:dataValidation type="list" allowBlank="1" showInputMessage="1">
          <x14:formula1>
            <xm:f>Staff!$G$12:$G$52</xm:f>
          </x14:formula1>
          <xm:sqref>G48:I49</xm:sqref>
        </x14:dataValidation>
        <x14:dataValidation type="list" allowBlank="1" showInputMessage="1">
          <x14:formula1>
            <xm:f>Staff!$G$23:$G$52</xm:f>
          </x14:formula1>
          <xm:sqref>K48:M52</xm:sqref>
        </x14:dataValidation>
        <x14:dataValidation type="list" allowBlank="1" showInputMessage="1">
          <x14:formula1>
            <xm:f>Staff!$B$15:$B$39</xm:f>
          </x14:formula1>
          <xm:sqref>D45:E45</xm:sqref>
        </x14:dataValidation>
        <x14:dataValidation type="list" errorStyle="warning" allowBlank="1" showInputMessage="1">
          <x14:formula1>
            <xm:f>Staff!$B$15:$B$39</xm:f>
          </x14:formula1>
          <xm:sqref>D46:E46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topLeftCell="A4" zoomScale="90" zoomScaleNormal="100" zoomScaleSheetLayoutView="90" workbookViewId="0">
      <selection activeCell="D33" sqref="D33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45763</v>
      </c>
      <c r="E1" s="355"/>
      <c r="F1" s="333" t="s">
        <v>23</v>
      </c>
      <c r="G1" s="110">
        <f>D1</f>
        <v>45763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S2(0)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S7(0)  &lt;S8(0)&gt; 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 xml:space="preserve">S6(0) 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S5(0)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S11(0)  &lt;S12(0)&gt; 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S10(0)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1" si="0">IF($E8&lt;&gt;"",IF($E8-715&lt;0,VLOOKUP($B$3,$E$62:$J$73,6,FALSE),IF(AND($E8-2130&gt;0,_xlfn.IFNA(MATCH($D8,$D$106:$D$116,0)&lt;20,"")=TRUE),VLOOKUP($L$3,$E$62:$J$73,6,FALSE),"-")),"")</f>
        <v>S2</v>
      </c>
      <c r="C8" s="9" t="str">
        <f t="shared" ref="C8:C41" si="1">IF($E8&lt;&gt;"",IF(ISNUMBER(SEARCH("Hall Operation",$K8)),"-",IF($E8-715&lt;0,VLOOKUP($B$3,$E$62:$J$73,6,FALSE),IF($E8-2129&gt;0,VLOOKUP($L$3,$E$62:$J$73,6,FALSE),""))),"")</f>
        <v>-</v>
      </c>
      <c r="D8" s="165" t="s">
        <v>396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1" si="2">IF($D8=0,"",IF(OR(ISNUMBER(SEARCH("S",$B8)),_xlfn.IFNA(MATCH($D8,$D$106:$D$116,0)&lt;20,"")=TRUE),"&lt;   Hall Operation   &gt;",""))</f>
        <v>&lt;   Hall Operation   &gt;</v>
      </c>
      <c r="L8" s="166"/>
      <c r="M8" s="166"/>
      <c r="N8" s="173"/>
    </row>
    <row r="9" spans="1:16" s="346" customFormat="1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S2</v>
      </c>
      <c r="C9" s="9" t="str">
        <f t="shared" si="1"/>
        <v>-</v>
      </c>
      <c r="D9" s="165" t="s">
        <v>961</v>
      </c>
      <c r="E9" s="172" t="s">
        <v>962</v>
      </c>
      <c r="F9" s="43"/>
      <c r="G9" s="43" t="str">
        <f>IF(A9="@",IF(H9="ZYK","Berth 3",IF(H9="HKM","Bay 7","")),"")</f>
        <v/>
      </c>
      <c r="H9" s="44" t="s">
        <v>963</v>
      </c>
      <c r="I9" s="44"/>
      <c r="J9" s="44"/>
      <c r="K9" s="166" t="str">
        <f t="shared" si="2"/>
        <v>&lt;   Hall Operation   &gt;</v>
      </c>
      <c r="L9" s="166"/>
      <c r="M9" s="166"/>
      <c r="N9" s="173"/>
      <c r="O9" s="112"/>
    </row>
    <row r="10" spans="1:16" ht="16.5" customHeight="1">
      <c r="A10" s="9">
        <f>IF($A7="S/N",1,IF($F10="Wavied","-",IF($D10=0,"",ROW($A10)-ROW($A$7)-COUNTIF($A$7:$A$8,"@")-COUNTIF($A$7:$A$8,"-"))))</f>
        <v>3</v>
      </c>
      <c r="B10" s="9" t="str">
        <f t="shared" si="0"/>
        <v>S2</v>
      </c>
      <c r="C10" s="9" t="str">
        <f t="shared" si="1"/>
        <v>-</v>
      </c>
      <c r="D10" s="27" t="s">
        <v>367</v>
      </c>
      <c r="E10" s="172" t="str">
        <f>IF($D10&gt;0,VLOOKUP($D10,Flight!$A$1:$E$91,2,FALSE),"")</f>
        <v>0545</v>
      </c>
      <c r="F10" s="45"/>
      <c r="G10" s="43" t="str">
        <f t="shared" ref="G10:G42" si="3">IF(A10="@",IF(H10="ZYK","Berth 3",IF(H10="HKM","Bay 7","")),"")</f>
        <v/>
      </c>
      <c r="H10" s="44" t="str">
        <f>IF($D10&gt;0,VLOOKUP($D10,Flight!$A$1:$E$91,3,FALSE),"")</f>
        <v>CGK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IF($A8="S/N",1,IF($F11="Wavied","-",IF($D11=0,"",ROW($A11)-ROW($A$7)-COUNTIF($A$7:$A$8,"@")-COUNTIF($A$7:$A$8,"-"))))</f>
        <v>4</v>
      </c>
      <c r="B11" s="9" t="str">
        <f t="shared" si="0"/>
        <v>S2</v>
      </c>
      <c r="C11" s="9" t="str">
        <f t="shared" si="1"/>
        <v>-</v>
      </c>
      <c r="D11" s="27" t="s">
        <v>368</v>
      </c>
      <c r="E11" s="172" t="str">
        <f>IF($D11&gt;0,VLOOKUP($D11,Flight!$A$1:$E$91,2,FALSE),"")</f>
        <v>0555</v>
      </c>
      <c r="F11" s="45"/>
      <c r="G11" s="43" t="str">
        <f t="shared" si="3"/>
        <v/>
      </c>
      <c r="H11" s="44" t="str">
        <f>IF($D11&gt;0,VLOOKUP($D11,Flight!$A$1:$E$91,3,FALSE),"")</f>
        <v>BKK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ref="A12:A42" si="4">IF($A10="S/N",1,IF($F12="Wavied","-",IF($D12=0,"",ROW($A12)-ROW($A$7)-COUNTIF($A$7:$A$8,"@")-COUNTIF($A$7:$A$8,"-"))))</f>
        <v>5</v>
      </c>
      <c r="B12" s="9" t="str">
        <f t="shared" si="0"/>
        <v>S2</v>
      </c>
      <c r="C12" s="9" t="str">
        <f t="shared" si="1"/>
        <v>-</v>
      </c>
      <c r="D12" s="27" t="s">
        <v>899</v>
      </c>
      <c r="E12" s="172" t="str">
        <f>IF($D12&gt;0,VLOOKUP($D12,Flight!$A$1:$E$91,2,FALSE),"")</f>
        <v>0615</v>
      </c>
      <c r="F12" s="43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 s="346" customFormat="1">
      <c r="A13" s="9">
        <f t="shared" si="4"/>
        <v>6</v>
      </c>
      <c r="B13" s="9" t="str">
        <f t="shared" si="0"/>
        <v>S2</v>
      </c>
      <c r="C13" s="9" t="str">
        <f t="shared" si="1"/>
        <v>-</v>
      </c>
      <c r="D13" s="27" t="s">
        <v>964</v>
      </c>
      <c r="E13" s="172" t="s">
        <v>965</v>
      </c>
      <c r="F13" s="43"/>
      <c r="G13" s="43"/>
      <c r="H13" s="44" t="s">
        <v>963</v>
      </c>
      <c r="I13" s="44"/>
      <c r="J13" s="44"/>
      <c r="K13" s="166" t="str">
        <f t="shared" si="2"/>
        <v>&lt;   Hall Operation   &gt;</v>
      </c>
      <c r="L13" s="166"/>
      <c r="M13" s="166"/>
      <c r="O13" s="112"/>
    </row>
    <row r="14" spans="1:16">
      <c r="A14" s="9">
        <f>IF($A11="S/N",1,IF($F14="Wavied","-",IF($D14=0,"",ROW($A14)-ROW($A$7)-COUNTIF($A$7:$A$8,"@")-COUNTIF($A$7:$A$8,"-"))))</f>
        <v>7</v>
      </c>
      <c r="B14" s="9" t="str">
        <f t="shared" si="0"/>
        <v>S2</v>
      </c>
      <c r="C14" s="9" t="str">
        <f t="shared" si="1"/>
        <v>-</v>
      </c>
      <c r="D14" s="27" t="s">
        <v>365</v>
      </c>
      <c r="E14" s="172" t="str">
        <f>IF($D14&gt;0,VLOOKUP($D14,Flight!$A$1:$E$91,2,FALSE),"")</f>
        <v>0640</v>
      </c>
      <c r="F14" s="45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IF($D14&gt;0,IF(VLOOKUP($D14,Flight!$A$1:$E$91,4,FALSE)&gt;1,VLOOKUP($D14,Flight!$A$1:$E95,4,FALSE),""),"")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>IF($A12="S/N",1,IF($F15="Wavied","-",IF($D15=0,"",ROW($A15)-ROW($A$7)-COUNTIF($A$7:$A$8,"@")-COUNTIF($A$7:$A$8,"-"))))</f>
        <v>8</v>
      </c>
      <c r="B15" s="9" t="str">
        <f t="shared" si="0"/>
        <v>S2</v>
      </c>
      <c r="C15" s="9" t="str">
        <f t="shared" si="1"/>
        <v>-</v>
      </c>
      <c r="D15" s="27" t="s">
        <v>393</v>
      </c>
      <c r="E15" s="172" t="str">
        <f>IF($D15&gt;0,VLOOKUP($D15,Flight!$A$1:$E$91,2,FALSE),"")</f>
        <v>0700</v>
      </c>
      <c r="F15" s="46"/>
      <c r="G15" s="43" t="str">
        <f t="shared" si="3"/>
        <v/>
      </c>
      <c r="H15" s="44" t="str">
        <f>IF($D15&gt;0,VLOOKUP($D15,Flight!$A$1:$E$91,3,FALSE),"")</f>
        <v>BOM</v>
      </c>
      <c r="I15" s="44" t="str">
        <f>IF($D15&gt;0,IF(VLOOKUP($D15,Flight!$A$1:$E$91,4,FALSE)&gt;1,VLOOKUP($D15,Flight!$A$1:$E96,4,FALSE),""),"")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P15" s="87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>-</v>
      </c>
      <c r="D16" s="27" t="s">
        <v>369</v>
      </c>
      <c r="E16" s="172" t="str">
        <f>IF($D16&gt;0,VLOOKUP($D16,Flight!$A$1:$E$91,2,FALSE),"")</f>
        <v>0905</v>
      </c>
      <c r="F16" s="46"/>
      <c r="G16" s="43" t="str">
        <f t="shared" si="3"/>
        <v/>
      </c>
      <c r="H16" s="44" t="str">
        <f>IF($D16&gt;0,VLOOKUP($D16,Flight!$A$1:$E$91,3,FALSE),"")</f>
        <v>DEL</v>
      </c>
      <c r="I16" s="44" t="str">
        <f>IF($D16&gt;0,IF(VLOOKUP($D16,Flight!$A$1:$E$91,4,FALSE)&gt;1,VLOOKUP($D16,Flight!$A$1:$E97,4,FALSE),""),"")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</row>
    <row r="17" spans="1:15">
      <c r="A17" s="9">
        <f t="shared" si="4"/>
        <v>10</v>
      </c>
      <c r="B17" s="9" t="str">
        <f t="shared" si="0"/>
        <v>-</v>
      </c>
      <c r="C17" s="9" t="str">
        <f t="shared" si="1"/>
        <v>-</v>
      </c>
      <c r="D17" s="27" t="s">
        <v>370</v>
      </c>
      <c r="E17" s="172" t="str">
        <f>IF($D17&gt;0,VLOOKUP($D17,Flight!$A$1:$E$91,2,FALSE),"")</f>
        <v>0935</v>
      </c>
      <c r="F17" s="46"/>
      <c r="G17" s="43" t="str">
        <f t="shared" si="3"/>
        <v/>
      </c>
      <c r="H17" s="44" t="str">
        <f>IF($D17&gt;0,VLOOKUP($D17,Flight!$A$1:$E$91,3,FALSE),"")</f>
        <v>BLR</v>
      </c>
      <c r="I17" s="44" t="str">
        <f>IF($D17&gt;0,IF(VLOOKUP($D17,Flight!$A$1:$E$91,4,FALSE)&gt;1,VLOOKUP($D17,Flight!$A$1:$E98,4,FALSE),""),"")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 t="shared" si="4"/>
        <v>11</v>
      </c>
      <c r="B18" s="9" t="str">
        <f t="shared" si="0"/>
        <v>-</v>
      </c>
      <c r="C18" s="9" t="str">
        <f t="shared" si="1"/>
        <v>-</v>
      </c>
      <c r="D18" s="27" t="s">
        <v>394</v>
      </c>
      <c r="E18" s="172" t="str">
        <f>IF($D18&gt;0,VLOOKUP($D18,Flight!$A$1:$E$91,2,FALSE),"")</f>
        <v>0950</v>
      </c>
      <c r="F18" s="45"/>
      <c r="G18" s="43" t="str">
        <f t="shared" si="3"/>
        <v/>
      </c>
      <c r="H18" s="44" t="str">
        <f>IF($D18&gt;0,VLOOKUP($D18,Flight!$A$1:$E$91,3,FALSE),"")</f>
        <v>MAA</v>
      </c>
      <c r="I18" s="44" t="str">
        <f>IF($D18&gt;0,IF(VLOOKUP($D18,Flight!$A$1:$E$91,4,FALSE)&gt;1,VLOOKUP($D18,Flight!$A$1:$E99,4,FALSE),""),"")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>&lt;   Hall Operation   &gt;</v>
      </c>
      <c r="L18" s="166"/>
      <c r="M18" s="166"/>
      <c r="O18" s="114"/>
    </row>
    <row r="19" spans="1:15" ht="16.5" customHeight="1">
      <c r="A19" s="9">
        <f t="shared" si="4"/>
        <v>12</v>
      </c>
      <c r="B19" s="9" t="str">
        <f t="shared" si="0"/>
        <v>-</v>
      </c>
      <c r="C19" s="9" t="str">
        <f t="shared" si="1"/>
        <v>-</v>
      </c>
      <c r="D19" s="27" t="s">
        <v>371</v>
      </c>
      <c r="E19" s="172" t="str">
        <f>IF($D19&gt;0,VLOOKUP($D19,Flight!$A$1:$E$91,2,FALSE),"")</f>
        <v>0955</v>
      </c>
      <c r="F19" s="45"/>
      <c r="G19" s="43" t="str">
        <f t="shared" si="3"/>
        <v/>
      </c>
      <c r="H19" s="44" t="str">
        <f>IF($D19&gt;0,VLOOKUP($D19,Flight!$A$1:$E$91,3,FALSE),"")</f>
        <v>BOM</v>
      </c>
      <c r="I19" s="44" t="str">
        <f>IF($D19&gt;0,IF(VLOOKUP($D19,Flight!$A$1:$E$91,4,FALSE)&gt;1,VLOOKUP($D19,Flight!$A$1:$E100,4,FALSE),""),"")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>&lt;   Hall Operation   &gt;</v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27" t="s">
        <v>372</v>
      </c>
      <c r="E20" s="172" t="str">
        <f>IF($D20&gt;0,VLOOKUP($D20,Flight!$A$1:$E$91,2,FALSE),"")</f>
        <v>1000</v>
      </c>
      <c r="F20" s="45"/>
      <c r="G20" s="43" t="str">
        <f t="shared" si="3"/>
        <v/>
      </c>
      <c r="H20" s="44" t="str">
        <f>IF($D20&gt;0,VLOOKUP($D20,Flight!$A$1:$E$91,3,FALSE),"")</f>
        <v>DMK</v>
      </c>
      <c r="I20" s="44" t="str">
        <f>IF($D20&gt;0,IF(VLOOKUP($D20,Flight!$A$1:$E$91,4,FALSE)&gt;1,VLOOKUP($D20,Flight!$A$1:$E101,4,FALSE),""),"")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27" t="s">
        <v>373</v>
      </c>
      <c r="E21" s="172" t="str">
        <f>IF($D21&gt;0,VLOOKUP($D21,Flight!$A$1:$E$91,2,FALSE),"")</f>
        <v>1010</v>
      </c>
      <c r="F21" s="45"/>
      <c r="G21" s="43" t="str">
        <f t="shared" si="3"/>
        <v/>
      </c>
      <c r="H21" s="44" t="str">
        <f>IF($D21&gt;0,VLOOKUP($D21,Flight!$A$1:$E$91,3,FALSE),"")</f>
        <v>MNL</v>
      </c>
      <c r="I21" s="44" t="str">
        <f>IF($D21&gt;0,IF(VLOOKUP($D21,Flight!$A$1:$E$91,4,FALSE)&gt;1,VLOOKUP($D21,Flight!$A$1:$E102,4,FALSE),""),"")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4"/>
        <v>15</v>
      </c>
      <c r="B22" s="9" t="str">
        <f t="shared" si="0"/>
        <v>-</v>
      </c>
      <c r="C22" s="9" t="str">
        <f t="shared" si="1"/>
        <v/>
      </c>
      <c r="D22" s="27" t="s">
        <v>374</v>
      </c>
      <c r="E22" s="172" t="str">
        <f>IF($D22&gt;0,VLOOKUP($D22,Flight!$A$1:$E$91,2,FALSE),"")</f>
        <v>1115</v>
      </c>
      <c r="F22" s="45"/>
      <c r="G22" s="43" t="str">
        <f t="shared" si="3"/>
        <v/>
      </c>
      <c r="H22" s="44" t="str">
        <f>IF($D22&gt;0,VLOOKUP($D22,Flight!$A$1:$E$91,3,FALSE),"")</f>
        <v>KUL</v>
      </c>
      <c r="I22" s="44" t="str">
        <f>IF($D22&gt;0,IF(VLOOKUP($D22,Flight!$A$1:$E$91,4,FALSE)&gt;1,VLOOKUP($D22,Flight!$A$1:$E103,4,FALSE),""),"")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 ht="15.75" customHeight="1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9" t="s">
        <v>375</v>
      </c>
      <c r="E23" s="172" t="str">
        <f>IF($D23&gt;0,VLOOKUP($D23,Flight!$A$1:$E$91,2,FALSE),"")</f>
        <v>1145</v>
      </c>
      <c r="F23" s="44"/>
      <c r="G23" s="43" t="str">
        <f t="shared" si="3"/>
        <v/>
      </c>
      <c r="H23" s="44" t="str">
        <f>IF($D23&gt;0,VLOOKUP($D23,Flight!$A$1:$E$91,3,FALSE),"")</f>
        <v>BKK</v>
      </c>
      <c r="I23" s="44" t="str">
        <f>IF($D23&gt;0,IF(VLOOKUP($D23,Flight!$A$1:$E$91,4,FALSE)&gt;1,VLOOKUP($D23,Flight!$A$1:$E104,4,FALSE),""),"")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/>
      </c>
      <c r="D24" s="9" t="s">
        <v>900</v>
      </c>
      <c r="E24" s="172">
        <v>1210</v>
      </c>
      <c r="F24" s="44"/>
      <c r="G24" s="43" t="str">
        <f t="shared" si="3"/>
        <v/>
      </c>
      <c r="H24" s="44" t="str">
        <f>IF($D24&gt;0,VLOOKUP($D24,Flight!$A$1:$E$91,3,FALSE),"")</f>
        <v>BKK</v>
      </c>
      <c r="I24" s="44" t="str">
        <f>IF($D24&gt;0,IF(VLOOKUP($D24,Flight!$A$1:$E$91,4,FALSE)&gt;1,VLOOKUP($D24,Flight!$A$1:$E105,4,FALSE),""),"")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1"/>
        <v/>
      </c>
      <c r="D25" s="9" t="s">
        <v>376</v>
      </c>
      <c r="E25" s="172" t="str">
        <f>IF($D25&gt;0,VLOOKUP($D25,Flight!$A$1:$E$91,2,FALSE),"")</f>
        <v>1305</v>
      </c>
      <c r="F25" s="44"/>
      <c r="G25" s="43" t="str">
        <f t="shared" si="3"/>
        <v/>
      </c>
      <c r="H25" s="44" t="str">
        <f>IF($D25&gt;0,VLOOKUP($D25,Flight!$A$1:$E$91,3,FALSE),"")</f>
        <v>DMK</v>
      </c>
      <c r="I25" s="44" t="str">
        <f>IF($D25&gt;0,IF(VLOOKUP($D25,Flight!$A$1:$E$91,4,FALSE)&gt;1,VLOOKUP($D25,Flight!$A$1:$E106,4,FALSE),""),"")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>-</v>
      </c>
      <c r="D26" s="27" t="s">
        <v>377</v>
      </c>
      <c r="E26" s="172" t="str">
        <f>IF($D26&gt;0,VLOOKUP($D26,Flight!$A$1:$E$91,2,FALSE),"")</f>
        <v>1310</v>
      </c>
      <c r="F26" s="45"/>
      <c r="G26" s="43" t="str">
        <f t="shared" si="3"/>
        <v/>
      </c>
      <c r="H26" s="44" t="str">
        <f>IF($D26&gt;0,VLOOKUP($D26,Flight!$A$1:$E$91,3,FALSE),"")</f>
        <v>DEL</v>
      </c>
      <c r="I26" s="44" t="str">
        <f>IF($D26&gt;0,IF(VLOOKUP($D26,Flight!$A$1:$E$91,4,FALSE)&gt;1,VLOOKUP($D26,Flight!$A$1:$E107,4,FALSE),""),"")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>&lt;   Hall Operation   &gt;</v>
      </c>
      <c r="L26" s="166"/>
      <c r="M26" s="166"/>
      <c r="O26" s="114"/>
    </row>
    <row r="27" spans="1:15">
      <c r="A27" s="9">
        <f t="shared" si="4"/>
        <v>20</v>
      </c>
      <c r="B27" s="9" t="str">
        <f t="shared" si="0"/>
        <v>-</v>
      </c>
      <c r="C27" s="9" t="str">
        <f t="shared" si="1"/>
        <v/>
      </c>
      <c r="D27" s="27" t="s">
        <v>378</v>
      </c>
      <c r="E27" s="172" t="str">
        <f>IF($D27&gt;0,VLOOKUP($D27,Flight!$A$1:$E$91,2,FALSE),"")</f>
        <v>1415</v>
      </c>
      <c r="F27" s="45"/>
      <c r="G27" s="43" t="str">
        <f t="shared" si="3"/>
        <v/>
      </c>
      <c r="H27" s="44" t="str">
        <f>IF($D27&gt;0,VLOOKUP($D27,Flight!$A$1:$E$91,3,FALSE),"")</f>
        <v>KUL</v>
      </c>
      <c r="I27" s="44" t="str">
        <f>IF($D27&gt;0,IF(VLOOKUP($D27,Flight!$A$1:$E$91,4,FALSE)&gt;1,VLOOKUP($D27,Flight!$A$1:$E108,4,FALSE),""),"")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 t="shared" si="4"/>
        <v>21</v>
      </c>
      <c r="B28" s="9" t="str">
        <f t="shared" si="0"/>
        <v>-</v>
      </c>
      <c r="C28" s="9" t="str">
        <f t="shared" si="1"/>
        <v/>
      </c>
      <c r="D28" s="27" t="s">
        <v>379</v>
      </c>
      <c r="E28" s="172" t="str">
        <f>IF($D28&gt;0,VLOOKUP($D28,Flight!$A$1:$E$91,2,FALSE),"")</f>
        <v>1420</v>
      </c>
      <c r="F28" s="44"/>
      <c r="G28" s="43" t="str">
        <f t="shared" si="3"/>
        <v/>
      </c>
      <c r="H28" s="44" t="str">
        <f>IF($D28&gt;0,VLOOKUP($D28,Flight!$A$1:$E$91,3,FALSE),"")</f>
        <v>BKK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  <c r="O28" s="114"/>
    </row>
    <row r="29" spans="1:15">
      <c r="A29" s="9">
        <f t="shared" si="4"/>
        <v>22</v>
      </c>
      <c r="B29" s="9" t="str">
        <f t="shared" si="0"/>
        <v>-</v>
      </c>
      <c r="C29" s="9" t="str">
        <f t="shared" si="1"/>
        <v/>
      </c>
      <c r="D29" s="27" t="s">
        <v>381</v>
      </c>
      <c r="E29" s="172" t="str">
        <f>IF($D29&gt;0,VLOOKUP($D29,Flight!$A$1:$E$91,2,FALSE),"")</f>
        <v>1510</v>
      </c>
      <c r="F29" s="45"/>
      <c r="G29" s="43" t="str">
        <f t="shared" si="3"/>
        <v/>
      </c>
      <c r="H29" s="44" t="str">
        <f>IF($D29&gt;0,VLOOKUP($D29,Flight!$A$1:$E$91,3,FALSE),"")</f>
        <v>DOH</v>
      </c>
      <c r="I29" s="44" t="str">
        <f>IF($D29&gt;0,IF(VLOOKUP($D29,Flight!$A$1:$E$91,4,FALSE)&gt;1,VLOOKUP($D29,Flight!$A$1:$E111,4,FALSE),""),"")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4"/>
        <v>23</v>
      </c>
      <c r="B30" s="9" t="str">
        <f t="shared" si="0"/>
        <v>-</v>
      </c>
      <c r="C30" s="9" t="str">
        <f t="shared" si="1"/>
        <v/>
      </c>
      <c r="D30" s="27" t="s">
        <v>395</v>
      </c>
      <c r="E30" s="172" t="str">
        <f>IF($D30&gt;0,VLOOKUP($D30,Flight!$A$1:$E$91,2,FALSE),"")</f>
        <v>1645</v>
      </c>
      <c r="F30" s="45"/>
      <c r="G30" s="43" t="str">
        <f t="shared" si="3"/>
        <v/>
      </c>
      <c r="H30" s="44" t="str">
        <f>IF($D30&gt;0,VLOOKUP($D30,Flight!$A$1:$E$91,3,FALSE),"")</f>
        <v>ADD</v>
      </c>
      <c r="I30" s="44" t="str">
        <f>IF($D30&gt;0,IF(VLOOKUP($D30,Flight!$A$1:$E$91,4,FALSE)&gt;1,VLOOKUP($D30,Flight!$A$1:$E114,4,FALSE),""),"")</f>
        <v>BKK</v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>
      <c r="A31" s="9">
        <f t="shared" si="4"/>
        <v>24</v>
      </c>
      <c r="B31" s="9" t="str">
        <f t="shared" si="0"/>
        <v>-</v>
      </c>
      <c r="C31" s="9" t="str">
        <f t="shared" si="1"/>
        <v/>
      </c>
      <c r="D31" s="27" t="s">
        <v>391</v>
      </c>
      <c r="E31" s="172" t="str">
        <f>IF($D31&gt;0,VLOOKUP($D31,Flight!$A$1:$E$91,2,FALSE),"")</f>
        <v>1720</v>
      </c>
      <c r="F31" s="46"/>
      <c r="G31" s="43" t="str">
        <f t="shared" si="3"/>
        <v/>
      </c>
      <c r="H31" s="44" t="str">
        <f>IF($D31&gt;0,VLOOKUP($D31,Flight!$A$1:$E$91,3,FALSE),"")</f>
        <v>MNL</v>
      </c>
      <c r="I31" s="44" t="str">
        <f>IF($D31&gt;0,IF(VLOOKUP($D31,Flight!$A$1:$E$91,4,FALSE)&gt;1,VLOOKUP($D31,Flight!$A$1:$E115,4,FALSE),""),"")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2"/>
        <v/>
      </c>
      <c r="L31" s="166"/>
      <c r="M31" s="166"/>
    </row>
    <row r="32" spans="1:15" s="349" customFormat="1">
      <c r="A32" s="9">
        <f t="shared" si="4"/>
        <v>25</v>
      </c>
      <c r="B32" s="9" t="str">
        <f t="shared" si="0"/>
        <v>-</v>
      </c>
      <c r="C32" s="9" t="str">
        <f t="shared" si="1"/>
        <v/>
      </c>
      <c r="D32" s="27" t="s">
        <v>1005</v>
      </c>
      <c r="E32" s="172" t="str">
        <f>IF($D32&gt;0,VLOOKUP($D32,Flight!$A$1:$E$91,2,FALSE),"")</f>
        <v>1745</v>
      </c>
      <c r="F32" s="46"/>
      <c r="G32" s="43" t="str">
        <f t="shared" ref="G32" si="5">IF(A32="@",IF(H32="ZYK","Berth 3",IF(H32="HKM","Bay 7","")),"")</f>
        <v/>
      </c>
      <c r="H32" s="44" t="str">
        <f>IF($D32&gt;0,VLOOKUP($D32,Flight!$A$1:$E$91,3,FALSE),"")</f>
        <v>BKK</v>
      </c>
      <c r="I32" s="44"/>
      <c r="J32" s="44"/>
      <c r="K32" s="166"/>
      <c r="L32" s="166"/>
      <c r="M32" s="166"/>
      <c r="O32" s="112"/>
    </row>
    <row r="33" spans="1:18">
      <c r="A33" s="9">
        <f>IF($A30="S/N",1,IF($F33="Wavied","-",IF($D33=0,"",ROW($A33)-ROW($A$7)-COUNTIF($A$7:$A$8,"@")-COUNTIF($A$7:$A$8,"-"))))</f>
        <v>26</v>
      </c>
      <c r="B33" s="9" t="str">
        <f t="shared" si="0"/>
        <v>-</v>
      </c>
      <c r="C33" s="9" t="str">
        <f t="shared" si="1"/>
        <v/>
      </c>
      <c r="D33" s="27" t="s">
        <v>383</v>
      </c>
      <c r="E33" s="172" t="str">
        <f>IF($D33&gt;0,VLOOKUP($D33,Flight!$A$1:$E$91,2,FALSE),"")</f>
        <v>1755</v>
      </c>
      <c r="F33" s="45"/>
      <c r="G33" s="43" t="str">
        <f t="shared" si="3"/>
        <v/>
      </c>
      <c r="H33" s="44" t="str">
        <f>IF($D33&gt;0,VLOOKUP($D33,Flight!$A$1:$E$91,3,FALSE),"")</f>
        <v>KUL</v>
      </c>
      <c r="I33" s="44" t="str">
        <f>IF($D33&gt;0,IF(VLOOKUP($D33,Flight!$A$1:$E$91,4,FALSE)&gt;1,VLOOKUP($D33,Flight!$A$1:$E116,4,FALSE),""),"")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ref="K33:K41" si="6">IF($D33=0,"",IF(OR(ISNUMBER(SEARCH("S",$B33)),_xlfn.IFNA(MATCH($D33,$D$106:$D$116,0)&lt;20,"")=TRUE),"&lt;   Hall Operation   &gt;",""))</f>
        <v/>
      </c>
      <c r="L33" s="166"/>
      <c r="M33" s="166"/>
    </row>
    <row r="34" spans="1:18">
      <c r="A34" s="9">
        <f>IF($A31="S/N",1,IF($F34="Wavied","-",IF($D34=0,"",ROW($A34)-ROW($A$7)-COUNTIF($A$7:$A$8,"@")-COUNTIF($A$7:$A$8,"-"))))</f>
        <v>27</v>
      </c>
      <c r="B34" s="9" t="str">
        <f t="shared" si="0"/>
        <v>-</v>
      </c>
      <c r="C34" s="9" t="str">
        <f t="shared" si="1"/>
        <v/>
      </c>
      <c r="D34" s="27" t="s">
        <v>384</v>
      </c>
      <c r="E34" s="172" t="str">
        <f>IF($D34&gt;0,VLOOKUP($D34,Flight!$A$1:$E$91,2,FALSE),"")</f>
        <v>1805</v>
      </c>
      <c r="F34" s="45"/>
      <c r="G34" s="43" t="str">
        <f t="shared" si="3"/>
        <v/>
      </c>
      <c r="H34" s="44" t="str">
        <f>IF($D34&gt;0,VLOOKUP($D34,Flight!$A$1:$E$91,3,FALSE),"")</f>
        <v>DXB</v>
      </c>
      <c r="I34" s="44" t="str">
        <f>IF($D34&gt;0,IF(VLOOKUP($D34,Flight!$A$1:$E$91,4,FALSE)&gt;1,VLOOKUP($D34,Flight!$A$1:$E117,4,FALSE),""),"")</f>
        <v>BKK</v>
      </c>
      <c r="J34" s="44" t="str">
        <f>IF($D34&gt;0,IF(VLOOKUP($D34,Flight!$A$1:$E$91,5,FALSE)&gt;1,VLOOKUP($D34,Flight!$A$1:$E$91,5,FALSE),""),"")</f>
        <v/>
      </c>
      <c r="K34" s="166" t="str">
        <f t="shared" si="6"/>
        <v/>
      </c>
      <c r="L34" s="166"/>
      <c r="M34" s="167"/>
      <c r="P34" s="84"/>
    </row>
    <row r="35" spans="1:18">
      <c r="A35" s="9">
        <f t="shared" si="4"/>
        <v>28</v>
      </c>
      <c r="B35" s="9" t="str">
        <f t="shared" si="0"/>
        <v>-</v>
      </c>
      <c r="C35" s="9" t="str">
        <f t="shared" si="1"/>
        <v/>
      </c>
      <c r="D35" s="27" t="s">
        <v>385</v>
      </c>
      <c r="E35" s="172" t="str">
        <f>IF($D35&gt;0,VLOOKUP($D35,Flight!$A$1:$E$91,2,FALSE),"")</f>
        <v>1810</v>
      </c>
      <c r="F35" s="45"/>
      <c r="G35" s="43" t="str">
        <f t="shared" si="3"/>
        <v/>
      </c>
      <c r="H35" s="44" t="str">
        <f>IF($D35&gt;0,VLOOKUP($D35,Flight!$A$1:$E$91,3,FALSE),"")</f>
        <v>MNL</v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O35" s="115"/>
      <c r="P35" s="87"/>
    </row>
    <row r="36" spans="1:18" ht="16.5">
      <c r="A36" s="9">
        <f t="shared" si="4"/>
        <v>29</v>
      </c>
      <c r="B36" s="9" t="str">
        <f t="shared" si="0"/>
        <v>-</v>
      </c>
      <c r="C36" s="9" t="str">
        <f t="shared" si="1"/>
        <v/>
      </c>
      <c r="D36" s="27" t="s">
        <v>901</v>
      </c>
      <c r="E36" s="172" t="str">
        <f>IF($D36&gt;0,VLOOKUP($D36,Flight!$A$1:$E$91,2,FALSE),"")</f>
        <v>1820</v>
      </c>
      <c r="F36" s="45"/>
      <c r="G36" s="43" t="str">
        <f t="shared" si="3"/>
        <v/>
      </c>
      <c r="H36" s="44" t="str">
        <f>IF($D36&gt;0,VLOOKUP($D36,Flight!$A$1:$E$91,3,FALSE),"")</f>
        <v>SIN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4"/>
      <c r="P36" s="88"/>
      <c r="Q36" s="4"/>
      <c r="R36" s="4"/>
    </row>
    <row r="37" spans="1:18">
      <c r="A37" s="9">
        <f t="shared" si="4"/>
        <v>30</v>
      </c>
      <c r="B37" s="9" t="str">
        <f t="shared" si="0"/>
        <v>-</v>
      </c>
      <c r="C37" s="9" t="str">
        <f t="shared" si="1"/>
        <v/>
      </c>
      <c r="D37" s="27" t="s">
        <v>387</v>
      </c>
      <c r="E37" s="172" t="str">
        <f>IF($D37&gt;0,VLOOKUP($D37,Flight!$A$1:$E$91,2,FALSE),"")</f>
        <v>1920</v>
      </c>
      <c r="F37" s="45"/>
      <c r="G37" s="43" t="str">
        <f t="shared" si="3"/>
        <v/>
      </c>
      <c r="H37" s="44" t="str">
        <f>IF($D37&gt;0,VLOOKUP($D37,Flight!$A$1:$E$91,3,FALSE),"")</f>
        <v>DMK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4"/>
      <c r="P37" s="4"/>
      <c r="Q37" s="4"/>
      <c r="R37" s="4"/>
    </row>
    <row r="38" spans="1:18" ht="16.5">
      <c r="A38" s="9">
        <f t="shared" si="4"/>
        <v>31</v>
      </c>
      <c r="B38" s="9" t="str">
        <f t="shared" si="0"/>
        <v>-</v>
      </c>
      <c r="C38" s="9" t="str">
        <f t="shared" si="1"/>
        <v/>
      </c>
      <c r="D38" s="27" t="s">
        <v>388</v>
      </c>
      <c r="E38" s="172" t="str">
        <f>IF($D38&gt;0,VLOOKUP($D38,Flight!$A$1:$E$91,2,FALSE),"")</f>
        <v>1950</v>
      </c>
      <c r="F38" s="45"/>
      <c r="G38" s="43" t="str">
        <f t="shared" si="3"/>
        <v/>
      </c>
      <c r="H38" s="44" t="str">
        <f>IF($D38&gt;0,VLOOKUP($D38,Flight!$A$1:$E$91,3,FALSE),"")</f>
        <v>BKK</v>
      </c>
      <c r="I38" s="44" t="str">
        <f>IF($D38&gt;0,IF(VLOOKUP($D38,Flight!$A$1:$E$91,4,FALSE)&gt;1,VLOOKUP($D38,Flight!$A$1:$E121,4,FALSE),""),"")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6"/>
      <c r="O38" s="4"/>
      <c r="P38" s="89"/>
      <c r="Q38" s="4"/>
      <c r="R38" s="4"/>
    </row>
    <row r="39" spans="1:18" ht="16.5">
      <c r="A39" s="9">
        <f t="shared" si="4"/>
        <v>32</v>
      </c>
      <c r="B39" s="9" t="str">
        <f t="shared" si="0"/>
        <v>-</v>
      </c>
      <c r="C39" s="9" t="str">
        <f t="shared" si="1"/>
        <v/>
      </c>
      <c r="D39" s="27" t="s">
        <v>389</v>
      </c>
      <c r="E39" s="172" t="str">
        <f>IF($D39&gt;0,VLOOKUP($D39,Flight!$A$1:$E$91,2,FALSE),"")</f>
        <v>2030</v>
      </c>
      <c r="F39" s="45"/>
      <c r="G39" s="43" t="str">
        <f t="shared" si="3"/>
        <v/>
      </c>
      <c r="H39" s="44" t="str">
        <f>IF($D39&gt;0,VLOOKUP($D39,Flight!$A$1:$E$91,3,FALSE),"")</f>
        <v>CGK</v>
      </c>
      <c r="I39" s="44" t="str">
        <f>IF($D39&gt;0,IF(VLOOKUP($D39,Flight!$A$1:$E$91,4,FALSE)&gt;1,VLOOKUP($D39,Flight!$A$1:$E122,4,FALSE),""),"")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>
        <f t="shared" si="4"/>
        <v>33</v>
      </c>
      <c r="B40" s="9" t="str">
        <f t="shared" si="0"/>
        <v>-</v>
      </c>
      <c r="C40" s="9" t="str">
        <f t="shared" si="1"/>
        <v>S10</v>
      </c>
      <c r="D40" s="27" t="s">
        <v>390</v>
      </c>
      <c r="E40" s="172" t="str">
        <f>IF($D40&gt;0,VLOOKUP($D40,Flight!$A$1:$E$91,2,FALSE),"")</f>
        <v>2155</v>
      </c>
      <c r="F40" s="45"/>
      <c r="G40" s="43" t="str">
        <f t="shared" si="3"/>
        <v/>
      </c>
      <c r="H40" s="44" t="str">
        <f>IF($D40&gt;0,VLOOKUP($D40,Flight!$A$1:$E$91,3,FALSE),"")</f>
        <v>DOH</v>
      </c>
      <c r="I40" s="44" t="str">
        <f>IF($D40&gt;0,IF(VLOOKUP($D40,Flight!$A$1:$E$91,4,FALSE)&gt;1,VLOOKUP($D40,Flight!$A$1:$E124,4,FALSE),""),"")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 ht="16.5">
      <c r="A41" s="9">
        <f t="shared" si="4"/>
        <v>34</v>
      </c>
      <c r="B41" s="9" t="str">
        <f t="shared" si="0"/>
        <v>-</v>
      </c>
      <c r="C41" s="9" t="str">
        <f t="shared" si="1"/>
        <v>S10</v>
      </c>
      <c r="D41" s="27" t="s">
        <v>392</v>
      </c>
      <c r="E41" s="172" t="str">
        <f>IF($D41&gt;0,VLOOKUP($D41,Flight!$A$1:$E$91,2,FALSE),"")</f>
        <v>2320</v>
      </c>
      <c r="F41" s="45"/>
      <c r="G41" s="43" t="str">
        <f t="shared" si="3"/>
        <v/>
      </c>
      <c r="H41" s="44" t="str">
        <f>IF($D41&gt;0,VLOOKUP($D41,Flight!$A$1:$E$91,3,FALSE),"")</f>
        <v>BKK</v>
      </c>
      <c r="I41" s="44" t="str">
        <f>IF($D41&gt;0,IF(VLOOKUP($D41,Flight!$A$1:$E$91,4,FALSE)&gt;1,VLOOKUP($D41,Flight!$A$1:$E125,4,FALSE),""),"")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6"/>
        <v/>
      </c>
      <c r="L41" s="166"/>
      <c r="M41" s="166"/>
      <c r="O41" s="4"/>
      <c r="P41" s="89"/>
      <c r="Q41" s="4"/>
      <c r="R41" s="4"/>
    </row>
    <row r="42" spans="1:18" ht="16.5">
      <c r="A42" s="9" t="str">
        <f t="shared" si="4"/>
        <v/>
      </c>
      <c r="B42" s="9" t="str">
        <f>IF($E42&lt;&gt;"",IF($E42-715&lt;0,VLOOKUP($B$3,$E$61:$J$72,6,FALSE),IF(AND($E42-2130&gt;0,_xlfn.IFNA(MATCH($D42,$D$105:$D$115,0)&lt;20,"")=TRUE),VLOOKUP($L$3,$E$61:$J$72,6,FALSE),"-")),"")</f>
        <v/>
      </c>
      <c r="C42" s="9" t="str">
        <f>IF($E42&lt;&gt;"",IF(ISNUMBER(SEARCH("Hall Operation",$K42)),"-",IF($E42-715&lt;0,VLOOKUP($B$3,$E$61:$J$72,6,FALSE),IF($E42-2129&gt;0,VLOOKUP($L$3,$E$61:$J$72,6,FALSE),""))),"")</f>
        <v/>
      </c>
      <c r="D42" s="27"/>
      <c r="E42" s="172" t="str">
        <f>IF($D42&gt;0,VLOOKUP($D42,Flight!$A$1:$E$91,2,FALSE),"")</f>
        <v/>
      </c>
      <c r="F42" s="45"/>
      <c r="G42" s="43" t="str">
        <f t="shared" si="3"/>
        <v/>
      </c>
      <c r="H42" s="44" t="str">
        <f>IF($D42&gt;0,VLOOKUP($D42,Flight!$A$1:$E$91,3,FALSE),"")</f>
        <v/>
      </c>
      <c r="I42" s="44" t="str">
        <f>IF($D42&gt;0,IF(VLOOKUP($D42,Flight!$A$1:$E$91,4,FALSE)&gt;1,VLOOKUP($D42,Flight!$A$1:$E124,4,FALSE),""),"")</f>
        <v/>
      </c>
      <c r="J42" s="44" t="str">
        <f>IF($D42&gt;0,IF(VLOOKUP($D42,Flight!$A$1:$E$91,5,FALSE)&gt;1,VLOOKUP($D42,Flight!$A$1:$E$91,5,FALSE),""),"")</f>
        <v/>
      </c>
      <c r="K42" s="166" t="str">
        <f>IF($D42=0,"",IF(OR(ISNUMBER(SEARCH("S",$B42)),_xlfn.IFNA(MATCH($D42,$D$105:$D$115,0)&lt;20,"")=TRUE),"&lt;   Hall Operation   &gt;",""))</f>
        <v/>
      </c>
      <c r="L42" s="166"/>
      <c r="M42" s="166"/>
      <c r="O42" s="4"/>
      <c r="P42" s="89"/>
      <c r="Q42" s="4"/>
      <c r="R42" s="4"/>
    </row>
    <row r="43" spans="1:18">
      <c r="A43" s="376" t="s">
        <v>5</v>
      </c>
      <c r="B43" s="376"/>
      <c r="C43" s="376"/>
      <c r="D43" s="376"/>
      <c r="E43" s="376"/>
      <c r="F43" s="376"/>
      <c r="G43" s="50"/>
      <c r="H43" s="321" t="s">
        <v>40</v>
      </c>
      <c r="I43" s="377"/>
      <c r="J43" s="377"/>
      <c r="K43" s="377"/>
      <c r="L43" s="377"/>
      <c r="M43" s="377"/>
      <c r="N43" s="5"/>
    </row>
    <row r="44" spans="1:18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</row>
    <row r="45" spans="1:18">
      <c r="A45" s="379"/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</row>
    <row r="46" spans="1:18">
      <c r="A46" s="389" t="s">
        <v>216</v>
      </c>
      <c r="B46" s="389"/>
      <c r="C46" s="323" t="str">
        <f>VLOOKUP($D$46,Staff!$B$2:$D$41,2,FALSE)</f>
        <v>CIA</v>
      </c>
      <c r="D46" s="375" t="str">
        <f>VLOOKUP(VLOOKUP($E$58,$E$62:$J$73,6,FALSE),Staff!$A$2:$D$13,2,FALSE)</f>
        <v>WW LAW</v>
      </c>
      <c r="E46" s="375"/>
      <c r="F46" s="325" t="s">
        <v>215</v>
      </c>
      <c r="G46" s="390" t="str">
        <f>VLOOKUP($D$46,Staff!$B$2:$D$39,3,FALSE)</f>
        <v>6018 0589</v>
      </c>
      <c r="H46" s="390"/>
      <c r="I46" s="391" t="s">
        <v>223</v>
      </c>
      <c r="J46" s="391"/>
      <c r="K46" s="375" t="str">
        <f>IF(COUNTIF($E$62:$E$65,$E$58)&gt;0,Staff!$G$2,"")&amp;IF(COUNTIF($E$66:$E$69,$E$58)&gt;0,Staff!$G$3,"")&amp;IF(COUNTIF($E$70:$E$73,$E$58)&gt;0,Staff!$G$4,"")</f>
        <v>HO, KING KAI</v>
      </c>
      <c r="L46" s="375"/>
      <c r="M46" s="375"/>
    </row>
    <row r="47" spans="1:18">
      <c r="A47" s="389" t="s">
        <v>217</v>
      </c>
      <c r="B47" s="389"/>
      <c r="C47" s="323" t="str">
        <f>VLOOKUP($D$47,Staff!$B$2:$D$41,2,FALSE)</f>
        <v>CIA</v>
      </c>
      <c r="D47" s="375" t="str">
        <f>VLOOKUP(VLOOKUP($E$59,$E$62:$J$73,6,FALSE),Staff!$A$2:$D$13,2,FALSE)</f>
        <v>KY LAU</v>
      </c>
      <c r="E47" s="375"/>
      <c r="F47" s="325" t="s">
        <v>215</v>
      </c>
      <c r="G47" s="390" t="str">
        <f>VLOOKUP($D$47,Staff!$B$2:$D$39,3,FALSE)</f>
        <v>9861 1888</v>
      </c>
      <c r="H47" s="390"/>
      <c r="I47" s="391" t="s">
        <v>224</v>
      </c>
      <c r="J47" s="391"/>
      <c r="K47" s="375" t="str">
        <f>IF(COUNTIF($E$62:$E$65,$E$59)&gt;0,Staff!$G$2,"")&amp;IF(COUNTIF($E$66:$E$69,$E$59)&gt;0,Staff!$G$3,"")&amp;IF(COUNTIF($E$70:$E$73,$E$59)&gt;0,Staff!$G$4,"")</f>
        <v>WONG, TSZ MING</v>
      </c>
      <c r="L47" s="375"/>
      <c r="M47" s="375"/>
    </row>
    <row r="48" spans="1:18">
      <c r="A48" s="329"/>
      <c r="B48" s="329"/>
      <c r="C48" s="327"/>
      <c r="D48" s="395"/>
      <c r="E48" s="395"/>
      <c r="F48" s="324"/>
      <c r="G48" s="396"/>
      <c r="H48" s="396"/>
      <c r="I48" s="390"/>
      <c r="J48" s="390"/>
      <c r="K48" s="143"/>
      <c r="L48" s="143"/>
      <c r="M48" s="143"/>
    </row>
    <row r="49" spans="1:18" s="112" customFormat="1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tr">
        <f>IF(COUNTIF($E$62:$E$65,$E$58)&gt;0,Staff!$G$14,"")&amp;IF(COUNTIF($E$66:$E$69,$E$58)&gt;0,Staff!$G$13,"")&amp;IF(COUNTIF($E$70:$E$73,$E$58)&gt;0,Staff!$G$12,"")</f>
        <v>CHIU, OI YU (F)</v>
      </c>
      <c r="H49" s="398"/>
      <c r="I49" s="398"/>
      <c r="J49" s="333" t="s">
        <v>209</v>
      </c>
      <c r="K49" s="390" t="str">
        <f>VLOOKUP(VLOOKUP($B$3,$E$62:$J$73,6,FALSE),Staff!$F$22:$G$47,2,FALSE)</f>
        <v>LAM, PUI KWAN (F)</v>
      </c>
      <c r="L49" s="390"/>
      <c r="M49" s="390"/>
      <c r="N49" s="12"/>
      <c r="P49" s="330"/>
      <c r="Q49" s="330"/>
      <c r="R49" s="330"/>
    </row>
    <row r="50" spans="1:18" s="112" customFormat="1">
      <c r="A50" s="155"/>
      <c r="B50" s="155"/>
      <c r="C50" s="396" t="s">
        <v>219</v>
      </c>
      <c r="D50" s="396"/>
      <c r="E50" s="396"/>
      <c r="F50" s="154" t="s">
        <v>214</v>
      </c>
      <c r="G50" s="375" t="str">
        <f>IF(COUNTIF($E$62:$E$65,$E$59)&gt;0,Staff!$G$14,"")&amp;IF(COUNTIF($E$66:$E$69,$E$59)&gt;0,Staff!$G$13,"")&amp;IF(COUNTIF($E$70:$E$73,$E$59)&gt;0,Staff!$G$12,"")</f>
        <v>CHONG, MAN LOK</v>
      </c>
      <c r="H50" s="375"/>
      <c r="I50" s="375"/>
      <c r="J50" s="333" t="s">
        <v>208</v>
      </c>
      <c r="K50" s="390"/>
      <c r="L50" s="390"/>
      <c r="M50" s="390"/>
      <c r="N50" s="330"/>
      <c r="P50" s="330"/>
      <c r="Q50" s="330"/>
      <c r="R50" s="330"/>
    </row>
    <row r="51" spans="1:18" s="112" customFormat="1">
      <c r="A51" s="320"/>
      <c r="B51" s="320"/>
      <c r="C51" s="327"/>
      <c r="D51" s="401"/>
      <c r="E51" s="401"/>
      <c r="F51" s="401"/>
      <c r="G51" s="401"/>
      <c r="H51" s="401"/>
      <c r="I51" s="401"/>
      <c r="J51" s="333" t="s">
        <v>210</v>
      </c>
      <c r="K51" s="390"/>
      <c r="L51" s="390"/>
      <c r="M51" s="390"/>
      <c r="N51" s="330"/>
      <c r="P51" s="330"/>
      <c r="Q51" s="330"/>
      <c r="R51" s="330"/>
    </row>
    <row r="52" spans="1:18" s="112" customFormat="1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333" t="s">
        <v>211</v>
      </c>
      <c r="K52" s="390"/>
      <c r="L52" s="390"/>
      <c r="M52" s="390"/>
      <c r="N52" s="330"/>
      <c r="P52" s="330"/>
      <c r="Q52" s="330"/>
      <c r="R52" s="330"/>
    </row>
    <row r="53" spans="1:18" s="112" customFormat="1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333" t="s">
        <v>212</v>
      </c>
      <c r="K53" s="390"/>
      <c r="L53" s="390"/>
      <c r="M53" s="390"/>
      <c r="N53" s="330"/>
      <c r="P53" s="330"/>
      <c r="Q53" s="330"/>
      <c r="R53" s="330"/>
    </row>
    <row r="54" spans="1:18" s="112" customFormat="1">
      <c r="A54" s="155"/>
      <c r="B54" s="155"/>
      <c r="C54" s="320"/>
      <c r="D54" s="399"/>
      <c r="E54" s="399"/>
      <c r="F54" s="391"/>
      <c r="G54" s="391"/>
      <c r="H54" s="400" t="s">
        <v>410</v>
      </c>
      <c r="I54" s="400"/>
      <c r="J54" s="326"/>
      <c r="K54" s="329"/>
      <c r="L54" s="329"/>
      <c r="M54" s="47"/>
      <c r="N54" s="330"/>
      <c r="P54" s="330"/>
      <c r="Q54" s="330"/>
      <c r="R54" s="330"/>
    </row>
    <row r="55" spans="1:18" s="112" customFormat="1" ht="16.5" customHeight="1">
      <c r="A55" s="392" t="s">
        <v>0</v>
      </c>
      <c r="B55" s="392"/>
      <c r="C55" s="407" t="s">
        <v>222</v>
      </c>
      <c r="D55" s="407"/>
      <c r="E55" s="407"/>
      <c r="F55" s="326"/>
      <c r="G55" s="333"/>
      <c r="H55" s="394" t="s">
        <v>411</v>
      </c>
      <c r="I55" s="394"/>
      <c r="J55" s="332"/>
      <c r="K55" s="329"/>
      <c r="L55" s="329"/>
      <c r="M55" s="47"/>
      <c r="N55" s="330"/>
      <c r="P55" s="330"/>
      <c r="Q55" s="330"/>
      <c r="R55" s="330"/>
    </row>
    <row r="56" spans="1:18" s="112" customFormat="1">
      <c r="A56" s="330"/>
      <c r="B56" s="330"/>
      <c r="C56" s="408"/>
      <c r="D56" s="408"/>
      <c r="E56" s="408"/>
      <c r="F56" s="408"/>
      <c r="G56" s="408"/>
      <c r="H56" s="408"/>
      <c r="I56" s="54"/>
      <c r="J56" s="53"/>
      <c r="M56" s="330"/>
      <c r="N56" s="330"/>
      <c r="P56" s="330"/>
      <c r="Q56" s="330"/>
      <c r="R56" s="330"/>
    </row>
    <row r="57" spans="1:18" s="112" customFormat="1" ht="16.5" thickBot="1">
      <c r="A57" s="3"/>
      <c r="B57" s="3"/>
      <c r="C57" s="3"/>
      <c r="D57" s="2"/>
      <c r="E57" s="39"/>
      <c r="F57" s="331"/>
      <c r="G57" s="331"/>
      <c r="H57" s="331"/>
      <c r="I57" s="409"/>
      <c r="J57" s="409"/>
      <c r="M57" s="330"/>
      <c r="N57" s="330"/>
      <c r="P57" s="330"/>
      <c r="Q57" s="330"/>
      <c r="R57" s="330"/>
    </row>
    <row r="58" spans="1:18" s="112" customFormat="1">
      <c r="A58" s="330"/>
      <c r="B58" s="330"/>
      <c r="C58" s="330"/>
      <c r="D58" s="330"/>
      <c r="E58" s="90" t="s">
        <v>133</v>
      </c>
      <c r="F58" s="91" t="s">
        <v>135</v>
      </c>
      <c r="G58" s="91"/>
      <c r="H58" s="92"/>
      <c r="I58" s="330"/>
      <c r="J58" s="330"/>
      <c r="K58" s="330"/>
      <c r="L58" s="330"/>
      <c r="M58" s="330"/>
      <c r="N58" s="330"/>
      <c r="P58" s="330"/>
      <c r="Q58" s="330"/>
      <c r="R58" s="330"/>
    </row>
    <row r="59" spans="1:18" s="112" customFormat="1" ht="16.5" thickBot="1">
      <c r="A59" s="330"/>
      <c r="B59" s="330"/>
      <c r="C59" s="330"/>
      <c r="D59" s="330"/>
      <c r="E59" s="93" t="s">
        <v>134</v>
      </c>
      <c r="F59" s="94" t="s">
        <v>136</v>
      </c>
      <c r="G59" s="94"/>
      <c r="H59" s="95"/>
      <c r="I59" s="330"/>
      <c r="J59" s="330"/>
      <c r="K59" s="330"/>
      <c r="L59" s="330"/>
      <c r="M59" s="330"/>
      <c r="N59" s="330"/>
      <c r="P59" s="330"/>
      <c r="Q59" s="330"/>
      <c r="R59" s="330"/>
    </row>
    <row r="60" spans="1:18" s="112" customFormat="1">
      <c r="A60" s="330"/>
      <c r="B60" s="330"/>
      <c r="C60" s="330"/>
      <c r="D60" s="330"/>
      <c r="E60" s="330"/>
      <c r="F60" s="330"/>
      <c r="G60" s="330"/>
      <c r="H60" s="330"/>
      <c r="I60" s="330"/>
      <c r="J60" s="330"/>
      <c r="K60" s="330"/>
      <c r="L60" s="330"/>
      <c r="M60" s="330"/>
      <c r="N60" s="330"/>
      <c r="P60" s="330"/>
      <c r="Q60" s="330"/>
      <c r="R60" s="330"/>
    </row>
    <row r="61" spans="1:18" s="112" customFormat="1" ht="16.5" thickBot="1">
      <c r="A61" s="330"/>
      <c r="B61" s="330"/>
      <c r="C61" s="330"/>
      <c r="D61" s="85" t="s">
        <v>132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98</v>
      </c>
      <c r="J61" s="330"/>
      <c r="K61" s="96" t="s">
        <v>302</v>
      </c>
      <c r="L61" s="96" t="s">
        <v>303</v>
      </c>
      <c r="M61" s="96"/>
      <c r="N61" s="330"/>
      <c r="P61" s="330"/>
      <c r="Q61" s="330"/>
      <c r="R61" s="330"/>
    </row>
    <row r="62" spans="1:18" s="112" customFormat="1">
      <c r="A62" s="330"/>
      <c r="B62" s="330"/>
      <c r="C62" s="330"/>
      <c r="D62" s="97" t="s">
        <v>86</v>
      </c>
      <c r="E62" s="98" t="str">
        <f>_xlfn.IFNA(VLOOKUP(MOD((($D$1-WEEKDAY($D$1,2)+1)-45523)/7+21,24),Shift!$A$2:$H$25,WEEKDAY($D$1,2)+1),VLOOKUP(24,Shift!$A$2:$H$25,WEEKDAY($D$1,2)+1))</f>
        <v>L#</v>
      </c>
      <c r="F62" s="98">
        <f>IF(OR($E62="L",$E62="L#"),0,"?")</f>
        <v>0</v>
      </c>
      <c r="G62" s="98">
        <f>IF(OR($E62="L",$E62="L#"),0,"?")</f>
        <v>0</v>
      </c>
      <c r="H62" s="98">
        <f>IF(OR($E62="L",$E62="L#"),0,"?")</f>
        <v>0</v>
      </c>
      <c r="I62" s="99">
        <f t="shared" ref="I62:I73" si="7">IF(OR($E62="L",$E62="L#"),0,SUM($F62:$H62))</f>
        <v>0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N62" s="330"/>
      <c r="P62" s="330"/>
      <c r="Q62" s="330"/>
      <c r="R62" s="330"/>
    </row>
    <row r="63" spans="1:18" s="112" customFormat="1">
      <c r="A63" s="330"/>
      <c r="B63" s="330"/>
      <c r="C63" s="330"/>
      <c r="D63" s="100" t="s">
        <v>85</v>
      </c>
      <c r="E63" s="101" t="str">
        <f>_xlfn.IFNA(VLOOKUP(MOD((($D$1-WEEKDAY($D$1,2)+1)-45523)/7+3,24),Shift!$A$2:$H$25,WEEKDAY($D$1,2)+1),VLOOKUP(24,Shift!$A$2:$H$25,WEEKDAY($D$1,2)+1))</f>
        <v>A</v>
      </c>
      <c r="F63" s="101" t="str">
        <f t="shared" ref="F63:H73" si="8">IF(OR($E63="L",$E63="L#"),0,"?")</f>
        <v>?</v>
      </c>
      <c r="G63" s="101" t="str">
        <f t="shared" si="8"/>
        <v>?</v>
      </c>
      <c r="H63" s="101" t="str">
        <f t="shared" si="8"/>
        <v>?</v>
      </c>
      <c r="I63" s="102">
        <f t="shared" si="7"/>
        <v>0</v>
      </c>
      <c r="J63" s="137" t="s">
        <v>85</v>
      </c>
      <c r="K63" s="112" t="str">
        <f t="shared" ref="K63:K73" si="9">IF(AND($F63&gt;1,$F63&lt;&gt;"?"),$F63-1,"")</f>
        <v/>
      </c>
      <c r="L63" s="112" t="str">
        <f t="shared" ref="L63:L73" si="10">IF(AND($G63&gt;1,$G63&lt;&gt;"?"),$G63-1,"")</f>
        <v/>
      </c>
      <c r="N63" s="330"/>
      <c r="P63" s="330"/>
      <c r="Q63" s="330"/>
      <c r="R63" s="330"/>
    </row>
    <row r="64" spans="1:18" s="112" customFormat="1">
      <c r="A64" s="330"/>
      <c r="B64" s="330"/>
      <c r="C64" s="330"/>
      <c r="D64" s="100" t="s">
        <v>99</v>
      </c>
      <c r="E64" s="101" t="str">
        <f>_xlfn.IFNA(VLOOKUP(MOD((($D$1-WEEKDAY($D$1,2)+1)-45523)/7+9,24),Shift!$A$2:$H$25,WEEKDAY($D$1,2)+1),VLOOKUP(24,Shift!$A$2:$H$25,WEEKDAY($D$1,2)+1))</f>
        <v>L</v>
      </c>
      <c r="F64" s="101">
        <f t="shared" si="8"/>
        <v>0</v>
      </c>
      <c r="G64" s="101">
        <f t="shared" si="8"/>
        <v>0</v>
      </c>
      <c r="H64" s="101">
        <f t="shared" si="8"/>
        <v>0</v>
      </c>
      <c r="I64" s="102">
        <f t="shared" si="7"/>
        <v>0</v>
      </c>
      <c r="J64" s="137" t="s">
        <v>99</v>
      </c>
      <c r="K64" s="112" t="str">
        <f t="shared" si="9"/>
        <v/>
      </c>
      <c r="L64" s="112" t="str">
        <f t="shared" si="10"/>
        <v/>
      </c>
      <c r="N64" s="330"/>
      <c r="P64" s="330"/>
      <c r="Q64" s="330"/>
      <c r="R64" s="330"/>
    </row>
    <row r="65" spans="4:13" ht="16.5" thickBot="1">
      <c r="D65" s="103" t="s">
        <v>100</v>
      </c>
      <c r="E65" s="104" t="str">
        <f>_xlfn.IFNA(VLOOKUP(MOD((($D$1-WEEKDAY($D$1,2)+1)-45523)/7+15,24),Shift!$A$2:$H$25,WEEKDAY($D$1,2)+1),VLOOKUP(24,Shift!$A$2:$H$25,WEEKDAY($D$1,2)+1))</f>
        <v>L</v>
      </c>
      <c r="F65" s="104">
        <f t="shared" si="8"/>
        <v>0</v>
      </c>
      <c r="G65" s="104">
        <f t="shared" si="8"/>
        <v>0</v>
      </c>
      <c r="H65" s="104">
        <f t="shared" si="8"/>
        <v>0</v>
      </c>
      <c r="I65" s="105">
        <f t="shared" si="7"/>
        <v>0</v>
      </c>
      <c r="J65" s="138" t="s">
        <v>100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97" t="s">
        <v>101</v>
      </c>
      <c r="E66" s="98" t="str">
        <f>_xlfn.IFNA(VLOOKUP(MOD((($D$1-WEEKDAY($D$1,2)+1)-45523)/7+19,24),Shift!$A$2:$H$25,WEEKDAY($D$1,2)+1),VLOOKUP(24,Shift!$A$2:$H$25,WEEKDAY($D$1,2)+1))</f>
        <v>G1</v>
      </c>
      <c r="F66" s="98" t="str">
        <f t="shared" si="8"/>
        <v>?</v>
      </c>
      <c r="G66" s="98" t="str">
        <f t="shared" si="8"/>
        <v>?</v>
      </c>
      <c r="H66" s="98" t="str">
        <f t="shared" si="8"/>
        <v>?</v>
      </c>
      <c r="I66" s="99">
        <f t="shared" si="7"/>
        <v>0</v>
      </c>
      <c r="J66" s="136" t="s">
        <v>101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102</v>
      </c>
      <c r="E67" s="101" t="str">
        <f>_xlfn.IFNA(VLOOKUP(MOD((($D$1-WEEKDAY($D$1,2)+1)-45523)/7+1,24),Shift!$A$2:$H$25,WEEKDAY($D$1,2)+1),VLOOKUP(24,Shift!$A$2:$H$25,WEEKDAY($D$1,2)+1))</f>
        <v>M1</v>
      </c>
      <c r="F67" s="101" t="str">
        <f t="shared" si="8"/>
        <v>?</v>
      </c>
      <c r="G67" s="101" t="str">
        <f t="shared" si="8"/>
        <v>?</v>
      </c>
      <c r="H67" s="101" t="str">
        <f t="shared" si="8"/>
        <v>?</v>
      </c>
      <c r="I67" s="102">
        <f t="shared" si="7"/>
        <v>0</v>
      </c>
      <c r="J67" s="137" t="s">
        <v>102</v>
      </c>
      <c r="K67" s="112" t="str">
        <f t="shared" si="9"/>
        <v/>
      </c>
      <c r="L67" s="112" t="str">
        <f t="shared" si="10"/>
        <v/>
      </c>
      <c r="M67" s="112"/>
    </row>
    <row r="68" spans="4:13">
      <c r="D68" s="100" t="s">
        <v>103</v>
      </c>
      <c r="E68" s="101" t="str">
        <f>_xlfn.IFNA(VLOOKUP(MOD((($D$1-WEEKDAY($D$1,2)+1)-45523)/7+7,24),Shift!$A$2:$H$25,WEEKDAY($D$1,2)+1),VLOOKUP(24,Shift!$A$2:$H$25,WEEKDAY($D$1,2)+1))</f>
        <v>M</v>
      </c>
      <c r="F68" s="101" t="str">
        <f t="shared" si="8"/>
        <v>?</v>
      </c>
      <c r="G68" s="101" t="str">
        <f t="shared" si="8"/>
        <v>?</v>
      </c>
      <c r="H68" s="101" t="str">
        <f t="shared" si="8"/>
        <v>?</v>
      </c>
      <c r="I68" s="102">
        <f t="shared" si="7"/>
        <v>0</v>
      </c>
      <c r="J68" s="137" t="s">
        <v>103</v>
      </c>
      <c r="K68" s="112" t="str">
        <f t="shared" si="9"/>
        <v/>
      </c>
      <c r="L68" s="112" t="str">
        <f t="shared" si="10"/>
        <v/>
      </c>
      <c r="M68" s="112"/>
    </row>
    <row r="69" spans="4:13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M @</v>
      </c>
      <c r="F69" s="104" t="str">
        <f t="shared" si="8"/>
        <v>?</v>
      </c>
      <c r="G69" s="104" t="str">
        <f t="shared" si="8"/>
        <v>?</v>
      </c>
      <c r="H69" s="104" t="str">
        <f t="shared" si="8"/>
        <v>?</v>
      </c>
      <c r="I69" s="105">
        <f t="shared" si="7"/>
        <v>0</v>
      </c>
      <c r="J69" s="138" t="s">
        <v>104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97" t="s">
        <v>105</v>
      </c>
      <c r="E70" s="98" t="str">
        <f>_xlfn.IFNA(VLOOKUP(MOD((($D$1-WEEKDAY($D$1,2)+1)-45523)/7+17,24),Shift!$A$2:$H$25,WEEKDAY($D$1,2)+1),VLOOKUP(24,Shift!$A$2:$H$25,WEEKDAY($D$1,2)+1))</f>
        <v>L</v>
      </c>
      <c r="F70" s="98">
        <f t="shared" si="8"/>
        <v>0</v>
      </c>
      <c r="G70" s="98">
        <f t="shared" si="8"/>
        <v>0</v>
      </c>
      <c r="H70" s="98">
        <f t="shared" si="8"/>
        <v>0</v>
      </c>
      <c r="I70" s="99">
        <f t="shared" si="7"/>
        <v>0</v>
      </c>
      <c r="J70" s="136" t="s">
        <v>105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106</v>
      </c>
      <c r="E71" s="101" t="str">
        <f>_xlfn.IFNA(VLOOKUP(MOD((($D$1-WEEKDAY($D$1,2)+1)-45523)/7+23,24),Shift!$A$2:$H$25,WEEKDAY($D$1,2)+1),VLOOKUP(24,Shift!$A$2:$H$25,WEEKDAY($D$1,2)+1))</f>
        <v>P4</v>
      </c>
      <c r="F71" s="101" t="str">
        <f t="shared" si="8"/>
        <v>?</v>
      </c>
      <c r="G71" s="101" t="str">
        <f t="shared" si="8"/>
        <v>?</v>
      </c>
      <c r="H71" s="101" t="str">
        <f t="shared" si="8"/>
        <v>?</v>
      </c>
      <c r="I71" s="102">
        <f t="shared" si="7"/>
        <v>0</v>
      </c>
      <c r="J71" s="137" t="s">
        <v>106</v>
      </c>
      <c r="K71" s="112" t="str">
        <f t="shared" si="9"/>
        <v/>
      </c>
      <c r="L71" s="112" t="str">
        <f t="shared" si="10"/>
        <v/>
      </c>
      <c r="M71" s="112"/>
    </row>
    <row r="72" spans="4:13">
      <c r="D72" s="100" t="s">
        <v>107</v>
      </c>
      <c r="E72" s="101" t="str">
        <f>_xlfn.IFNA(VLOOKUP(MOD((($D$1-WEEKDAY($D$1,2)+1)-45523)/7+5,24),Shift!$A$2:$H$25,WEEKDAY($D$1,2)+1),VLOOKUP(24,Shift!$A$2:$H$25,WEEKDAY($D$1,2)+1))</f>
        <v>P1</v>
      </c>
      <c r="F72" s="101" t="str">
        <f t="shared" si="8"/>
        <v>?</v>
      </c>
      <c r="G72" s="101" t="str">
        <f t="shared" si="8"/>
        <v>?</v>
      </c>
      <c r="H72" s="101" t="str">
        <f t="shared" si="8"/>
        <v>?</v>
      </c>
      <c r="I72" s="102">
        <f t="shared" si="7"/>
        <v>0</v>
      </c>
      <c r="J72" s="137" t="s">
        <v>107</v>
      </c>
      <c r="K72" s="112" t="str">
        <f t="shared" si="9"/>
        <v/>
      </c>
      <c r="L72" s="112" t="str">
        <f t="shared" si="10"/>
        <v/>
      </c>
      <c r="M72" s="112"/>
    </row>
    <row r="73" spans="4:13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P1 @</v>
      </c>
      <c r="F73" s="104" t="str">
        <f t="shared" si="8"/>
        <v>?</v>
      </c>
      <c r="G73" s="104" t="str">
        <f t="shared" si="8"/>
        <v>?</v>
      </c>
      <c r="H73" s="104" t="str">
        <f t="shared" si="8"/>
        <v>?</v>
      </c>
      <c r="I73" s="105">
        <f t="shared" si="7"/>
        <v>0</v>
      </c>
      <c r="J73" s="138" t="s">
        <v>108</v>
      </c>
      <c r="K73" s="112" t="str">
        <f t="shared" si="9"/>
        <v/>
      </c>
      <c r="L73" s="112" t="str">
        <f t="shared" si="10"/>
        <v/>
      </c>
      <c r="M73" s="112"/>
    </row>
    <row r="74" spans="4:13">
      <c r="D74" s="144" t="s">
        <v>86</v>
      </c>
      <c r="E74" s="98" t="s">
        <v>127</v>
      </c>
      <c r="F74" s="98"/>
      <c r="G74" s="98"/>
      <c r="H74" s="98"/>
      <c r="I74" s="99">
        <f>IF(OR($E74="L",$E74="L#",$E74="?"),0,SUM($F74:$H74))</f>
        <v>0</v>
      </c>
      <c r="J74" s="33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330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330"/>
    </row>
    <row r="77" spans="4:13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330"/>
    </row>
    <row r="78" spans="4:13">
      <c r="D78" s="330"/>
      <c r="E78" s="96" t="s">
        <v>98</v>
      </c>
      <c r="F78" s="96" t="str">
        <f>SUM($F$62:$F$77)&amp;IF(SUM($F$62:$H$77)&gt;$I$78,"?","")</f>
        <v>0</v>
      </c>
      <c r="G78" s="96" t="str">
        <f>SUM($G$62:$G$77)&amp;IF(SUM($F$62:$H$77)&gt;$I$78,"?","")</f>
        <v>0</v>
      </c>
      <c r="H78" s="96" t="str">
        <f>SUM($H$62:$H$77)&amp;IF(SUM($F$62:$H$77)&gt;$I$78,"?","")</f>
        <v>0</v>
      </c>
      <c r="I78" s="96">
        <f>SUM(I62:I77)</f>
        <v>0</v>
      </c>
      <c r="J78" s="330"/>
    </row>
    <row r="79" spans="4:13">
      <c r="D79" s="330"/>
      <c r="E79" s="330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330"/>
      <c r="J79" s="330"/>
    </row>
    <row r="81" spans="4:6">
      <c r="D81" s="410" t="s">
        <v>281</v>
      </c>
      <c r="E81" s="410"/>
      <c r="F81" s="410"/>
    </row>
    <row r="82" spans="4:6">
      <c r="D82" s="49" t="str">
        <f>IF(Flight!$A$68=0,"",Flight!$A$68)</f>
        <v/>
      </c>
      <c r="E82" s="163"/>
      <c r="F82" s="164" t="str">
        <f>IF(D82="","",VLOOKUP(D82,Flight!$A$68:$C$91,3,FALSE))</f>
        <v/>
      </c>
    </row>
    <row r="83" spans="4:6">
      <c r="D83" s="49" t="str">
        <f>IF(Flight!$A69=0,"",Flight!$A69)</f>
        <v/>
      </c>
      <c r="F83" s="164" t="str">
        <f>IF(D83="","",VLOOKUP(D83,Flight!$A$68:$C$91,3,FALSE))</f>
        <v/>
      </c>
    </row>
    <row r="84" spans="4:6">
      <c r="D84" s="49" t="str">
        <f>IF(Flight!$A71=0,"",Flight!$A71)</f>
        <v>3A031</v>
      </c>
      <c r="F84" s="164" t="str">
        <f>IF(D84="","",VLOOKUP(D84,Flight!$A$68:$C$91,3,FALSE))</f>
        <v>ZTI</v>
      </c>
    </row>
    <row r="85" spans="4:6">
      <c r="D85" s="49" t="str">
        <f>IF(Flight!$A72=0,"",Flight!$A72)</f>
        <v>3A003</v>
      </c>
      <c r="F85" s="164" t="str">
        <f>IF(D85="","",VLOOKUP(D85,Flight!$A$68:$C$91,3,FALSE))</f>
        <v>ZYK</v>
      </c>
    </row>
    <row r="86" spans="4:6">
      <c r="D86" s="49" t="str">
        <f>IF(Flight!$A73=0,"",Flight!$A73)</f>
        <v>3A005</v>
      </c>
      <c r="F86" s="164" t="str">
        <f>IF(D86="","",VLOOKUP(D86,Flight!$A$68:$C$91,3,FALSE))</f>
        <v>HKM</v>
      </c>
    </row>
    <row r="87" spans="4:6">
      <c r="D87" s="49" t="str">
        <f>IF(Flight!$A74=0,"",Flight!$A74)</f>
        <v>3A007</v>
      </c>
      <c r="F87" s="164" t="str">
        <f>IF(D87="","",VLOOKUP(D87,Flight!$A$68:$C$91,3,FALSE))</f>
        <v>ZYK</v>
      </c>
    </row>
    <row r="88" spans="4:6">
      <c r="D88" s="49" t="str">
        <f>IF(Flight!$A75=0,"",Flight!$A75)</f>
        <v>3A008</v>
      </c>
      <c r="F88" s="164" t="str">
        <f>IF(D88="","",VLOOKUP(D88,Flight!$A$68:$C$91,3,FALSE))</f>
        <v>ZYK</v>
      </c>
    </row>
    <row r="89" spans="4:6">
      <c r="D89" s="49" t="str">
        <f>IF(Flight!$A76=0,"",Flight!$A76)</f>
        <v>3A009</v>
      </c>
      <c r="F89" s="164" t="str">
        <f>IF(D89="","",VLOOKUP(D89,Flight!$A$68:$C$91,3,FALSE))</f>
        <v>ZYK</v>
      </c>
    </row>
    <row r="90" spans="4:6">
      <c r="D90" s="49" t="str">
        <f>IF(Flight!$A77=0,"",Flight!$A77)</f>
        <v>3A010</v>
      </c>
      <c r="F90" s="164" t="str">
        <f>IF(D90="","",VLOOKUP(D90,Flight!$A$68:$C$91,3,FALSE))</f>
        <v>ZYK</v>
      </c>
    </row>
    <row r="91" spans="4:6">
      <c r="D91" s="49" t="str">
        <f>IF(Flight!$A78=0,"",Flight!$A78)</f>
        <v/>
      </c>
      <c r="F91" s="164" t="str">
        <f>IF(D91="","",VLOOKUP(D91,Flight!$A$68:$C$91,3,FALSE))</f>
        <v/>
      </c>
    </row>
    <row r="92" spans="4:6">
      <c r="D92" s="49" t="str">
        <f>IF(Flight!$A80=0,"",Flight!$A80)</f>
        <v>8S7121</v>
      </c>
      <c r="F92" s="164" t="str">
        <f>IF(D92="","",VLOOKUP(D92,Flight!$A$68:$C$91,3,FALSE))</f>
        <v>HKM</v>
      </c>
    </row>
    <row r="93" spans="4:6">
      <c r="D93" s="49" t="str">
        <f>IF(Flight!$A81=0,"",Flight!$A81)</f>
        <v>8S7108</v>
      </c>
      <c r="F93" s="164" t="str">
        <f>IF(D93="","",VLOOKUP(D93,Flight!$A$68:$C$91,3,FALSE))</f>
        <v>ZYK</v>
      </c>
    </row>
    <row r="94" spans="4:6">
      <c r="D94" s="49" t="str">
        <f>IF(Flight!$A82=0,"",Flight!$A82)</f>
        <v>8S7111</v>
      </c>
      <c r="F94" s="164" t="str">
        <f>IF(D94="","",VLOOKUP(D94,Flight!$A$68:$C$91,3,FALSE))</f>
        <v>ZYK</v>
      </c>
    </row>
    <row r="95" spans="4:6">
      <c r="D95" s="49" t="str">
        <f>IF(Flight!$A83=0,"",Flight!$A83)</f>
        <v>8S7131</v>
      </c>
      <c r="F95" s="164" t="str">
        <f>IF(D95="","",VLOOKUP(D95,Flight!$A$68:$C$91,3,FALSE))</f>
        <v>?</v>
      </c>
    </row>
    <row r="96" spans="4:6">
      <c r="D96" s="49" t="str">
        <f>IF(Flight!$A84=0,"",Flight!$A84)</f>
        <v>8S7119</v>
      </c>
      <c r="F96" s="164" t="str">
        <f>IF(D96="","",VLOOKUP(D96,Flight!$A$68:$C$91,3,FALSE))</f>
        <v>HKM</v>
      </c>
    </row>
    <row r="97" spans="4:6">
      <c r="D97" s="49" t="str">
        <f>IF(Flight!$A85=0,"",Flight!$A85)</f>
        <v>8S7126</v>
      </c>
      <c r="F97" s="164" t="str">
        <f>IF(D97="","",VLOOKUP(D97,Flight!$A$68:$C$91,3,FALSE))</f>
        <v>HKM</v>
      </c>
    </row>
    <row r="98" spans="4:6">
      <c r="D98" s="49" t="str">
        <f>IF(Flight!$A86=0,"",Flight!$A86)</f>
        <v>8S7128</v>
      </c>
      <c r="F98" s="164" t="str">
        <f>IF(D98="","",VLOOKUP(D98,Flight!$A$68:$C$91,3,FALSE))</f>
        <v>HKM</v>
      </c>
    </row>
    <row r="99" spans="4:6">
      <c r="D99" s="49" t="str">
        <f>IF(Flight!$A87=0,"",Flight!$A87)</f>
        <v>3A8010</v>
      </c>
      <c r="F99" s="164" t="str">
        <f>IF(D99="","",VLOOKUP(D99,Flight!$A$68:$C$91,3,FALSE))</f>
        <v>HZI</v>
      </c>
    </row>
    <row r="100" spans="4:6">
      <c r="D100" s="49" t="str">
        <f>IF(Flight!$A88=0,"",Flight!$A88)</f>
        <v>3A8015</v>
      </c>
      <c r="F100" s="164" t="str">
        <f>IF(D100="","",VLOOKUP(D100,Flight!$A$68:$C$91,3,FALSE))</f>
        <v>?</v>
      </c>
    </row>
    <row r="101" spans="4:6">
      <c r="D101" s="49" t="str">
        <f>IF(Flight!$A89=0,"",Flight!$A89)</f>
        <v>3A8016</v>
      </c>
      <c r="F101" s="164" t="str">
        <f>IF(D101="","",VLOOKUP(D101,Flight!$A$68:$C$91,3,FALSE))</f>
        <v>HZI</v>
      </c>
    </row>
    <row r="102" spans="4:6">
      <c r="D102" s="49" t="str">
        <f>IF(Flight!$A91=0,"",Flight!$A91)</f>
        <v xml:space="preserve">Last </v>
      </c>
      <c r="F102" s="164" t="str">
        <f>IF(D102="","",VLOOKUP(D102,Flight!$A$68:$C$91,3,FALSE))</f>
        <v>↑</v>
      </c>
    </row>
    <row r="103" spans="4:6">
      <c r="D103" s="49" t="str">
        <f>IF(Flight!$A92=0,"",Flight!$A92)</f>
        <v/>
      </c>
      <c r="F103" s="164" t="str">
        <f>IF(D103="","",VLOOKUP(D103,Flight!$A$68:$C$91,3,FALSE))</f>
        <v/>
      </c>
    </row>
    <row r="104" spans="4:6">
      <c r="D104" s="186"/>
      <c r="F104" s="187"/>
    </row>
    <row r="105" spans="4:6">
      <c r="D105" s="406" t="str">
        <f>IF(Flight!$A$93=0,"",Flight!$A$93)</f>
        <v>Target Flight</v>
      </c>
      <c r="E105" s="406"/>
      <c r="F105" s="406"/>
    </row>
    <row r="106" spans="4:6">
      <c r="D106" s="27" t="s">
        <v>59</v>
      </c>
      <c r="E106" s="158"/>
      <c r="F106" s="10" t="s">
        <v>38</v>
      </c>
    </row>
    <row r="107" spans="4:6">
      <c r="D107" s="27" t="s">
        <v>89</v>
      </c>
      <c r="E107" s="158"/>
      <c r="F107" s="10" t="s">
        <v>38</v>
      </c>
    </row>
    <row r="108" spans="4:6">
      <c r="D108" s="27" t="s">
        <v>254</v>
      </c>
      <c r="E108" s="158"/>
      <c r="F108" s="10" t="s">
        <v>38</v>
      </c>
    </row>
    <row r="109" spans="4:6">
      <c r="D109" s="27" t="s">
        <v>57</v>
      </c>
      <c r="E109" s="158"/>
      <c r="F109" s="10" t="s">
        <v>58</v>
      </c>
    </row>
    <row r="110" spans="4:6">
      <c r="D110" s="27" t="s">
        <v>198</v>
      </c>
      <c r="E110" s="158"/>
      <c r="F110" s="10" t="s">
        <v>199</v>
      </c>
    </row>
    <row r="111" spans="4:6">
      <c r="D111" s="27" t="s">
        <v>55</v>
      </c>
      <c r="E111" s="158"/>
      <c r="F111" s="10" t="s">
        <v>54</v>
      </c>
    </row>
    <row r="112" spans="4:6">
      <c r="D112" s="27" t="s">
        <v>39</v>
      </c>
      <c r="E112" s="158"/>
      <c r="F112" s="10" t="s">
        <v>38</v>
      </c>
    </row>
    <row r="113" spans="4:6">
      <c r="D113" s="27" t="s">
        <v>200</v>
      </c>
      <c r="E113" s="158"/>
      <c r="F113" s="10" t="s">
        <v>54</v>
      </c>
    </row>
    <row r="114" spans="4:6">
      <c r="D114" s="27" t="s">
        <v>201</v>
      </c>
      <c r="E114" s="158"/>
      <c r="F114" s="10" t="s">
        <v>38</v>
      </c>
    </row>
    <row r="115" spans="4:6">
      <c r="D115" s="161"/>
      <c r="E115" s="158"/>
      <c r="F115" s="159"/>
    </row>
    <row r="116" spans="4:6">
      <c r="D116" s="161"/>
      <c r="E116" s="158"/>
      <c r="F116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7:E47"/>
    <mergeCell ref="G47:H47"/>
    <mergeCell ref="I47:J47"/>
    <mergeCell ref="K46:M46"/>
    <mergeCell ref="H6:H7"/>
    <mergeCell ref="I6:I7"/>
    <mergeCell ref="J6:J7"/>
    <mergeCell ref="K6:M6"/>
    <mergeCell ref="A43:F43"/>
    <mergeCell ref="I43:M44"/>
    <mergeCell ref="A44:H44"/>
    <mergeCell ref="A6:A7"/>
    <mergeCell ref="B6:C6"/>
    <mergeCell ref="D6:D7"/>
    <mergeCell ref="E6:E7"/>
    <mergeCell ref="F6:F7"/>
    <mergeCell ref="A45:H45"/>
    <mergeCell ref="A46:B46"/>
    <mergeCell ref="D46:E46"/>
    <mergeCell ref="G46:H46"/>
    <mergeCell ref="I46:J46"/>
    <mergeCell ref="K47:M47"/>
    <mergeCell ref="A52:B52"/>
    <mergeCell ref="C52:E52"/>
    <mergeCell ref="F52:I52"/>
    <mergeCell ref="K52:M52"/>
    <mergeCell ref="A49:B49"/>
    <mergeCell ref="C49:E49"/>
    <mergeCell ref="G49:I49"/>
    <mergeCell ref="K49:M49"/>
    <mergeCell ref="C50:E50"/>
    <mergeCell ref="G50:I50"/>
    <mergeCell ref="K50:M50"/>
    <mergeCell ref="D48:E48"/>
    <mergeCell ref="G48:H48"/>
    <mergeCell ref="I48:J48"/>
    <mergeCell ref="A47:B47"/>
    <mergeCell ref="D54:E54"/>
    <mergeCell ref="F54:G54"/>
    <mergeCell ref="H54:I54"/>
    <mergeCell ref="D51:I51"/>
    <mergeCell ref="K51:M51"/>
    <mergeCell ref="A53:B53"/>
    <mergeCell ref="C53:E53"/>
    <mergeCell ref="F53:G53"/>
    <mergeCell ref="H53:I53"/>
    <mergeCell ref="K53:M53"/>
    <mergeCell ref="D105:F105"/>
    <mergeCell ref="A55:B55"/>
    <mergeCell ref="C55:E55"/>
    <mergeCell ref="H55:I55"/>
    <mergeCell ref="C56:H56"/>
    <mergeCell ref="I57:J57"/>
    <mergeCell ref="D81:F81"/>
  </mergeCells>
  <phoneticPr fontId="2" type="noConversion"/>
  <conditionalFormatting sqref="H8 E8:E41 H10:H41">
    <cfRule type="cellIs" dxfId="65" priority="6" operator="equal">
      <formula>""</formula>
    </cfRule>
  </conditionalFormatting>
  <conditionalFormatting sqref="F62:H79">
    <cfRule type="cellIs" dxfId="64" priority="5" operator="equal">
      <formula>"?"</formula>
    </cfRule>
  </conditionalFormatting>
  <conditionalFormatting sqref="D43:D999 D8:D41">
    <cfRule type="duplicateValues" dxfId="63" priority="147"/>
  </conditionalFormatting>
  <conditionalFormatting sqref="H42 E42">
    <cfRule type="cellIs" dxfId="62" priority="2" operator="equal">
      <formula>""</formula>
    </cfRule>
  </conditionalFormatting>
  <conditionalFormatting sqref="D42">
    <cfRule type="duplicateValues" dxfId="61" priority="3"/>
  </conditionalFormatting>
  <conditionalFormatting sqref="H9">
    <cfRule type="cellIs" dxfId="60" priority="1" operator="equal">
      <formula>""</formula>
    </cfRule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Staff!$G$2:$G$9</xm:f>
          </x14:formula1>
          <xm:sqref>K46:M47</xm:sqref>
        </x14:dataValidation>
        <x14:dataValidation type="list" allowBlank="1" showInputMessage="1">
          <x14:formula1>
            <xm:f>Staff!$G$12:$G$52</xm:f>
          </x14:formula1>
          <xm:sqref>G49:I50</xm:sqref>
        </x14:dataValidation>
        <x14:dataValidation type="list" allowBlank="1" showInputMessage="1">
          <x14:formula1>
            <xm:f>Staff!$G$23:$G$52</xm:f>
          </x14:formula1>
          <xm:sqref>K49:M53</xm:sqref>
        </x14:dataValidation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errorStyle="warning" allowBlank="1" showInputMessage="1">
          <x14:formula1>
            <xm:f>Staff!$B$15:$B$39</xm:f>
          </x14:formula1>
          <xm:sqref>D47:E47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4"/>
  <sheetViews>
    <sheetView view="pageBreakPreview" zoomScale="90" zoomScaleNormal="100" zoomScaleSheetLayoutView="90" workbookViewId="0">
      <selection activeCell="F32" sqref="F32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45764</v>
      </c>
      <c r="E1" s="355"/>
      <c r="F1" s="333" t="s">
        <v>23</v>
      </c>
      <c r="G1" s="110">
        <f>D1</f>
        <v>45764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S10(0) </v>
      </c>
      <c r="C4" s="367"/>
      <c r="D4" s="366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S1(0)  &lt;S4(0)&gt;  </v>
      </c>
      <c r="E4" s="367"/>
      <c r="F4" s="366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>-</v>
      </c>
      <c r="G4" s="367"/>
      <c r="H4" s="366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S3(0) </v>
      </c>
      <c r="I4" s="367"/>
      <c r="J4" s="366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 &lt;S9(0)&gt;  S12(0) </v>
      </c>
      <c r="K4" s="367"/>
      <c r="L4" s="366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S11(0)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0" si="0">IF($E8&lt;&gt;"",IF($E8-715&lt;0,VLOOKUP($B$3,$E$60:$J$71,6,FALSE),IF(AND($E8-2130&gt;0,_xlfn.IFNA(MATCH($D8,$D$104:$D$114,0)&lt;20,"")=TRUE),VLOOKUP($L$3,$E$60:$J$71,6,FALSE),"-")),"")</f>
        <v>S10</v>
      </c>
      <c r="C8" s="9" t="str">
        <f t="shared" ref="C8:C14" si="1">IF($E8&lt;&gt;"",IF(ISNUMBER(SEARCH("Hall Operation",$K8)),"-",IF($E8-715&lt;0,VLOOKUP($B$3,$E$60:$J$71,6,FALSE),IF($E8-2129&gt;0,VLOOKUP($L$3,$E$60:$J$71,6,FALSE),""))),"")</f>
        <v>-</v>
      </c>
      <c r="D8" s="165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28" si="2">IF($D8=0,"",IF(OR(ISNUMBER(SEARCH("S",$B8)),_xlfn.IFNA(MATCH($D8,$D$104:$D$114,0)&lt;20,"")=TRUE),"&lt;   Hall Operation   &gt;",""))</f>
        <v>&lt;   Hall Operation   &gt;</v>
      </c>
      <c r="L8" s="166"/>
      <c r="M8" s="166"/>
      <c r="N8" s="173"/>
    </row>
    <row r="9" spans="1:16" s="346" customFormat="1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S10</v>
      </c>
      <c r="C9" s="9" t="str">
        <f t="shared" si="1"/>
        <v>-</v>
      </c>
      <c r="D9" s="165" t="s">
        <v>961</v>
      </c>
      <c r="E9" s="172" t="s">
        <v>962</v>
      </c>
      <c r="F9" s="43"/>
      <c r="G9" s="43" t="str">
        <f>IF(A9="@",IF(H9="ZYK","Berth 3",IF(H9="HKM","Bay 7","")),"")</f>
        <v/>
      </c>
      <c r="H9" s="44" t="s">
        <v>963</v>
      </c>
      <c r="I9" s="44"/>
      <c r="J9" s="44"/>
      <c r="K9" s="166" t="str">
        <f t="shared" si="2"/>
        <v>&lt;   Hall Operation   &gt;</v>
      </c>
      <c r="L9" s="166"/>
      <c r="M9" s="166"/>
      <c r="N9" s="173"/>
      <c r="O9" s="112"/>
    </row>
    <row r="10" spans="1:16" ht="16.5" customHeight="1">
      <c r="A10" s="9">
        <f>IF($A7="S/N",1,IF($F10="Wavied","-",IF($D10=0,"",ROW($A10)-ROW($A$7)-COUNTIF($A$7:$A$8,"@")-COUNTIF($A$7:$A$8,"-"))))</f>
        <v>3</v>
      </c>
      <c r="B10" s="9" t="str">
        <f t="shared" si="0"/>
        <v>S10</v>
      </c>
      <c r="C10" s="9" t="str">
        <f t="shared" si="1"/>
        <v>-</v>
      </c>
      <c r="D10" s="10" t="s">
        <v>967</v>
      </c>
      <c r="E10" s="172" t="str">
        <f>IF($D10&gt;0,VLOOKUP($D10,Flight!$A$1:$E$91,2,FALSE),"")</f>
        <v>0545</v>
      </c>
      <c r="F10" s="45"/>
      <c r="G10" s="43" t="str">
        <f t="shared" ref="G10:G40" si="3">IF(A10="@",IF(H10="ZYK","Berth 3",IF(H10="HKM","Bay 7","")),"")</f>
        <v/>
      </c>
      <c r="H10" s="44" t="str">
        <f>IF($D10&gt;0,VLOOKUP($D10,Flight!$A$1:$E$91,3,FALSE),"")</f>
        <v>CGK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IF($A8="S/N",1,IF($F11="Wavied","-",IF($D11=0,"",ROW($A11)-ROW($A$7)-COUNTIF($A$7:$A$8,"@")-COUNTIF($A$7:$A$8,"-"))))</f>
        <v>4</v>
      </c>
      <c r="B11" s="9" t="str">
        <f t="shared" si="0"/>
        <v>S10</v>
      </c>
      <c r="C11" s="9" t="str">
        <f t="shared" si="1"/>
        <v>-</v>
      </c>
      <c r="D11" s="10" t="s">
        <v>968</v>
      </c>
      <c r="E11" s="172" t="str">
        <f>IF($D11&gt;0,VLOOKUP($D11,Flight!$A$1:$E$91,2,FALSE),"")</f>
        <v>0555</v>
      </c>
      <c r="F11" s="45"/>
      <c r="G11" s="43" t="str">
        <f t="shared" ref="G11" si="4">IF(A11="@",IF(H11="ZYK","Berth 3",IF(H11="HKM","Bay 7","")),"")</f>
        <v/>
      </c>
      <c r="H11" s="44" t="str">
        <f>IF($D11&gt;0,VLOOKUP($D11,Flight!$A$1:$E$91,3,FALSE),"")</f>
        <v>BKK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>IF($A10="S/N",1,IF($F12="Wavied","-",IF($D12=0,"",ROW($A12)-ROW($A$7)-COUNTIF($A$7:$A$8,"@")-COUNTIF($A$7:$A$8,"-"))))</f>
        <v>5</v>
      </c>
      <c r="B12" s="9" t="str">
        <f t="shared" si="0"/>
        <v>S10</v>
      </c>
      <c r="C12" s="9" t="str">
        <f t="shared" si="1"/>
        <v>-</v>
      </c>
      <c r="D12" s="217" t="s">
        <v>969</v>
      </c>
      <c r="E12" s="172" t="str">
        <f>IF($D12&gt;0,VLOOKUP($D12,Flight!$A$1:$E$91,2,FALSE),"")</f>
        <v>0615</v>
      </c>
      <c r="F12" s="43"/>
      <c r="G12" s="43" t="str">
        <f>IF(A12="@",IF(H12="ZYK","Berth 3",IF(H12="HKM","Bay 7","")),"")</f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ref="A13:A37" si="5">IF($A11="S/N",1,IF($F13="Wavied","-",IF($D13=0,"",ROW($A13)-ROW($A$7)-COUNTIF($A$7:$A$8,"@")-COUNTIF($A$7:$A$8,"-"))))</f>
        <v>6</v>
      </c>
      <c r="B13" s="9" t="str">
        <f t="shared" si="0"/>
        <v>S10</v>
      </c>
      <c r="C13" s="9" t="str">
        <f t="shared" si="1"/>
        <v>-</v>
      </c>
      <c r="D13" s="213" t="s">
        <v>966</v>
      </c>
      <c r="E13" s="172" t="str">
        <f>IF($D13&gt;0,VLOOKUP($D13,Flight!$A$1:$E$91,2,FALSE),"")</f>
        <v>0640</v>
      </c>
      <c r="F13" s="46"/>
      <c r="G13" s="43" t="str">
        <f t="shared" ref="G13" si="6">IF(A13="@",IF(H13="ZYK","Berth 3",IF(H13="HKM","Bay 7","")),"")</f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6">
      <c r="A14" s="9">
        <f>IF($A12="S/N",1,IF($F14="Wavied","-",IF($D14=0,"",ROW($A14)-ROW($A$7)-COUNTIF($A$7:$A$8,"@")-COUNTIF($A$7:$A$8,"-"))))</f>
        <v>7</v>
      </c>
      <c r="B14" s="9" t="str">
        <f t="shared" si="0"/>
        <v>-</v>
      </c>
      <c r="C14" s="9" t="str">
        <f t="shared" si="1"/>
        <v>-</v>
      </c>
      <c r="D14" s="213" t="s">
        <v>369</v>
      </c>
      <c r="E14" s="172" t="str">
        <f>IF($D14&gt;0,VLOOKUP($D14,Flight!$A$1:$E$91,2,FALSE),"")</f>
        <v>0905</v>
      </c>
      <c r="F14" s="46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IF($D14&gt;0,IF(VLOOKUP($D14,Flight!$A$1:$E$91,4,FALSE)&gt;1,VLOOKUP($D14,Flight!$A$1:$E96,4,FALSE),""),"")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  <c r="P14" s="87"/>
    </row>
    <row r="15" spans="1:16" s="346" customFormat="1">
      <c r="A15" s="9">
        <f>IF($A13="S/N",1,IF($F15="Wavied","-",IF($D15=0,"",ROW($A15)-ROW($A$7)-COUNTIF($A$7:$A$8,"@")-COUNTIF($A$7:$A$8,"-"))))</f>
        <v>8</v>
      </c>
      <c r="B15" s="9" t="str">
        <f t="shared" si="0"/>
        <v>-</v>
      </c>
      <c r="C15" s="257" t="s">
        <v>971</v>
      </c>
      <c r="D15" s="213" t="s">
        <v>970</v>
      </c>
      <c r="E15" s="172" t="str">
        <f>IF($D15&gt;0,VLOOKUP($D15,Flight!$A$1:$E$91,2,FALSE),"")</f>
        <v>0930</v>
      </c>
      <c r="F15" s="46"/>
      <c r="G15" s="43" t="str">
        <f t="shared" ref="G15" si="7">IF(A15="@",IF(H15="ZYK","Berth 3",IF(H15="HKM","Bay 7","")),"")</f>
        <v/>
      </c>
      <c r="H15" s="44" t="str">
        <f>IF($D15&gt;0,VLOOKUP($D15,Flight!$A$1:$E$91,3,FALSE),"")</f>
        <v>HYD</v>
      </c>
      <c r="I15" s="44" t="str">
        <f>IF($D15&gt;0,IF(VLOOKUP($D15,Flight!$A$1:$E$91,4,FALSE)&gt;1,VLOOKUP($D15,Flight!$A$1:$E97,4,FALSE),""),"")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/>
      </c>
      <c r="L15" s="166"/>
      <c r="M15" s="166"/>
      <c r="O15" s="112"/>
      <c r="P15" s="87"/>
    </row>
    <row r="16" spans="1:16">
      <c r="A16" s="9">
        <f>IF($A14="S/N",1,IF($F16="Wavied","-",IF($D16=0,"",ROW($A16)-ROW($A$7)-COUNTIF($A$7:$A$8,"@")-COUNTIF($A$7:$A$8,"-"))))</f>
        <v>9</v>
      </c>
      <c r="B16" s="9" t="str">
        <f t="shared" si="0"/>
        <v>-</v>
      </c>
      <c r="C16" s="9" t="str">
        <f t="shared" ref="C16:C28" si="8">IF($E16&lt;&gt;"",IF(ISNUMBER(SEARCH("Hall Operation",$K16)),"-",IF($E16-715&lt;0,VLOOKUP($B$3,$E$60:$J$71,6,FALSE),IF($E16-2129&gt;0,VLOOKUP($L$3,$E$60:$J$71,6,FALSE),""))),"")</f>
        <v>-</v>
      </c>
      <c r="D16" s="213" t="s">
        <v>370</v>
      </c>
      <c r="E16" s="172" t="str">
        <f>IF($D16&gt;0,VLOOKUP($D16,Flight!$A$1:$E$91,2,FALSE),"")</f>
        <v>0935</v>
      </c>
      <c r="F16" s="46"/>
      <c r="G16" s="43" t="str">
        <f t="shared" si="3"/>
        <v/>
      </c>
      <c r="H16" s="44" t="str">
        <f>IF($D16&gt;0,VLOOKUP($D16,Flight!$A$1:$E$91,3,FALSE),"")</f>
        <v>BLR</v>
      </c>
      <c r="I16" s="44" t="str">
        <f>IF($D16&gt;0,IF(VLOOKUP($D16,Flight!$A$1:$E$91,4,FALSE)&gt;1,VLOOKUP($D16,Flight!$A$1:$E97,4,FALSE),""),"")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</row>
    <row r="17" spans="1:15">
      <c r="A17" s="9">
        <f>IF($A14="S/N",1,IF($F17="Wavied","-",IF($D17=0,"",ROW($A17)-ROW($A$7)-COUNTIF($A$7:$A$8,"@")-COUNTIF($A$7:$A$8,"-"))))</f>
        <v>10</v>
      </c>
      <c r="B17" s="9" t="str">
        <f t="shared" si="0"/>
        <v>-</v>
      </c>
      <c r="C17" s="9" t="str">
        <f t="shared" si="8"/>
        <v>-</v>
      </c>
      <c r="D17" s="213" t="s">
        <v>371</v>
      </c>
      <c r="E17" s="172" t="str">
        <f>IF($D17&gt;0,VLOOKUP($D17,Flight!$A$1:$E$91,2,FALSE),"")</f>
        <v>0955</v>
      </c>
      <c r="F17" s="46"/>
      <c r="G17" s="43" t="str">
        <f t="shared" si="3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IF($D17&gt;0,IF(VLOOKUP($D17,Flight!$A$1:$E$91,4,FALSE)&gt;1,VLOOKUP($D17,Flight!$A$1:$E98,4,FALSE),""),"")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 t="shared" si="5"/>
        <v>11</v>
      </c>
      <c r="B18" s="9" t="str">
        <f t="shared" si="0"/>
        <v>-</v>
      </c>
      <c r="C18" s="9" t="str">
        <f t="shared" si="8"/>
        <v/>
      </c>
      <c r="D18" s="27" t="s">
        <v>372</v>
      </c>
      <c r="E18" s="172" t="str">
        <f>IF($D18&gt;0,VLOOKUP($D18,Flight!$A$1:$E$91,2,FALSE),"")</f>
        <v>1000</v>
      </c>
      <c r="F18" s="45"/>
      <c r="G18" s="43" t="str">
        <f t="shared" si="3"/>
        <v/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IF($D18&gt;0,IF(VLOOKUP($D18,Flight!$A$1:$E$91,4,FALSE)&gt;1,VLOOKUP($D18,Flight!$A$1:$E99,4,FALSE),""),"")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 ht="16.5" customHeight="1">
      <c r="A19" s="9">
        <f t="shared" si="5"/>
        <v>12</v>
      </c>
      <c r="B19" s="9" t="str">
        <f t="shared" si="0"/>
        <v>-</v>
      </c>
      <c r="C19" s="9" t="str">
        <f t="shared" si="8"/>
        <v/>
      </c>
      <c r="D19" s="27" t="s">
        <v>373</v>
      </c>
      <c r="E19" s="172" t="str">
        <f>IF($D19&gt;0,VLOOKUP($D19,Flight!$A$1:$E$91,2,FALSE),"")</f>
        <v>1010</v>
      </c>
      <c r="F19" s="45"/>
      <c r="G19" s="43" t="str">
        <f t="shared" si="3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IF($D19&gt;0,IF(VLOOKUP($D19,Flight!$A$1:$E$91,4,FALSE)&gt;1,VLOOKUP($D19,Flight!$A$1:$E100,4,FALSE),""),"")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5"/>
        <v>13</v>
      </c>
      <c r="B20" s="9" t="str">
        <f t="shared" si="0"/>
        <v>-</v>
      </c>
      <c r="C20" s="9" t="str">
        <f t="shared" si="8"/>
        <v/>
      </c>
      <c r="D20" s="27" t="s">
        <v>374</v>
      </c>
      <c r="E20" s="172" t="str">
        <f>IF($D20&gt;0,VLOOKUP($D20,Flight!$A$1:$E$91,2,FALSE),"")</f>
        <v>1115</v>
      </c>
      <c r="F20" s="45"/>
      <c r="G20" s="43" t="str">
        <f t="shared" si="3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IF($D20&gt;0,IF(VLOOKUP($D20,Flight!$A$1:$E$91,4,FALSE)&gt;1,VLOOKUP($D20,Flight!$A$1:$E101,4,FALSE),""),"")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>
      <c r="A21" s="9">
        <f t="shared" si="5"/>
        <v>14</v>
      </c>
      <c r="B21" s="9" t="str">
        <f t="shared" si="0"/>
        <v>-</v>
      </c>
      <c r="C21" s="9" t="str">
        <f t="shared" si="8"/>
        <v/>
      </c>
      <c r="D21" s="27" t="s">
        <v>375</v>
      </c>
      <c r="E21" s="172" t="str">
        <f>IF($D21&gt;0,VLOOKUP($D21,Flight!$A$1:$E$91,2,FALSE),"")</f>
        <v>1145</v>
      </c>
      <c r="F21" s="45"/>
      <c r="G21" s="43" t="str">
        <f t="shared" si="3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IF($D21&gt;0,IF(VLOOKUP($D21,Flight!$A$1:$E$91,4,FALSE)&gt;1,VLOOKUP($D21,Flight!$A$1:$E102,4,FALSE),""),"")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5"/>
        <v>15</v>
      </c>
      <c r="B22" s="9" t="str">
        <f t="shared" si="0"/>
        <v>-</v>
      </c>
      <c r="C22" s="9" t="str">
        <f t="shared" si="8"/>
        <v/>
      </c>
      <c r="D22" s="9" t="s">
        <v>376</v>
      </c>
      <c r="E22" s="172" t="str">
        <f>IF($D22&gt;0,VLOOKUP($D22,Flight!$A$1:$E$91,2,FALSE),"")</f>
        <v>1305</v>
      </c>
      <c r="F22" s="45"/>
      <c r="G22" s="43" t="str">
        <f t="shared" si="3"/>
        <v/>
      </c>
      <c r="H22" s="44" t="str">
        <f>IF($D22&gt;0,VLOOKUP($D22,Flight!$A$1:$E$91,3,FALSE),"")</f>
        <v>DMK</v>
      </c>
      <c r="I22" s="44" t="str">
        <f>IF($D22&gt;0,IF(VLOOKUP($D22,Flight!$A$1:$E$91,4,FALSE)&gt;1,VLOOKUP($D22,Flight!$A$1:$E103,4,FALSE),""),"")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 ht="15.75" customHeight="1">
      <c r="A23" s="9">
        <f t="shared" si="5"/>
        <v>16</v>
      </c>
      <c r="B23" s="9" t="str">
        <f t="shared" si="0"/>
        <v>-</v>
      </c>
      <c r="C23" s="9" t="str">
        <f t="shared" si="8"/>
        <v>-</v>
      </c>
      <c r="D23" s="214" t="s">
        <v>377</v>
      </c>
      <c r="E23" s="172" t="str">
        <f>IF($D23&gt;0,VLOOKUP($D23,Flight!$A$1:$E$91,2,FALSE),"")</f>
        <v>1310</v>
      </c>
      <c r="F23" s="44"/>
      <c r="G23" s="43" t="str">
        <f t="shared" si="3"/>
        <v/>
      </c>
      <c r="H23" s="44" t="str">
        <f>IF($D23&gt;0,VLOOKUP($D23,Flight!$A$1:$E$91,3,FALSE),"")</f>
        <v>DEL</v>
      </c>
      <c r="I23" s="44" t="str">
        <f>IF($D23&gt;0,IF(VLOOKUP($D23,Flight!$A$1:$E$91,4,FALSE)&gt;1,VLOOKUP($D23,Flight!$A$1:$E104,4,FALSE),""),"")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>&lt;   Hall Operation   &gt;</v>
      </c>
      <c r="L23" s="166"/>
      <c r="M23" s="166"/>
      <c r="O23" s="114"/>
    </row>
    <row r="24" spans="1:15">
      <c r="A24" s="9">
        <f t="shared" si="5"/>
        <v>17</v>
      </c>
      <c r="B24" s="9" t="str">
        <f t="shared" si="0"/>
        <v>-</v>
      </c>
      <c r="C24" s="9" t="str">
        <f t="shared" si="8"/>
        <v/>
      </c>
      <c r="D24" s="9" t="s">
        <v>378</v>
      </c>
      <c r="E24" s="172" t="str">
        <f>IF($D24&gt;0,VLOOKUP($D24,Flight!$A$1:$E$91,2,FALSE),"")</f>
        <v>1415</v>
      </c>
      <c r="F24" s="44"/>
      <c r="G24" s="43" t="str">
        <f t="shared" si="3"/>
        <v/>
      </c>
      <c r="H24" s="44" t="str">
        <f>IF($D24&gt;0,VLOOKUP($D24,Flight!$A$1:$E$91,3,FALSE),"")</f>
        <v>KUL</v>
      </c>
      <c r="I24" s="44" t="str">
        <f>IF($D24&gt;0,IF(VLOOKUP($D24,Flight!$A$1:$E$91,4,FALSE)&gt;1,VLOOKUP($D24,Flight!$A$1:$E105,4,FALSE),""),"")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>
        <f t="shared" si="5"/>
        <v>18</v>
      </c>
      <c r="B25" s="9" t="str">
        <f t="shared" si="0"/>
        <v>-</v>
      </c>
      <c r="C25" s="9" t="str">
        <f t="shared" si="8"/>
        <v/>
      </c>
      <c r="D25" s="27" t="s">
        <v>379</v>
      </c>
      <c r="E25" s="172" t="str">
        <f>IF($D25&gt;0,VLOOKUP($D25,Flight!$A$1:$E$91,2,FALSE),"")</f>
        <v>1420</v>
      </c>
      <c r="F25" s="44"/>
      <c r="G25" s="43" t="str">
        <f t="shared" si="3"/>
        <v/>
      </c>
      <c r="H25" s="44" t="str">
        <f>IF($D25&gt;0,VLOOKUP($D25,Flight!$A$1:$E$91,3,FALSE),"")</f>
        <v>BKK</v>
      </c>
      <c r="I25" s="44" t="str">
        <f>IF($D25&gt;0,IF(VLOOKUP($D25,Flight!$A$1:$E$91,4,FALSE)&gt;1,VLOOKUP($D25,Flight!$A$1:$E106,4,FALSE),""),"")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5"/>
        <v>19</v>
      </c>
      <c r="B26" s="9" t="str">
        <f t="shared" si="0"/>
        <v>-</v>
      </c>
      <c r="C26" s="9" t="str">
        <f t="shared" si="8"/>
        <v/>
      </c>
      <c r="D26" s="27" t="s">
        <v>380</v>
      </c>
      <c r="E26" s="172" t="str">
        <f>IF($D26&gt;0,VLOOKUP($D26,Flight!$A$1:$E$91,2,FALSE),"")</f>
        <v>1455</v>
      </c>
      <c r="F26" s="45"/>
      <c r="G26" s="43" t="str">
        <f t="shared" si="3"/>
        <v/>
      </c>
      <c r="H26" s="44" t="str">
        <f>IF($D26&gt;0,VLOOKUP($D26,Flight!$A$1:$E$91,3,FALSE),"")</f>
        <v>ADD</v>
      </c>
      <c r="I26" s="44" t="str">
        <f>IF($D26&gt;0,IF(VLOOKUP($D26,Flight!$A$1:$E$91,4,FALSE)&gt;1,VLOOKUP($D26,Flight!$A$1:$E107,4,FALSE),""),"")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 t="shared" si="5"/>
        <v>20</v>
      </c>
      <c r="B27" s="9" t="str">
        <f t="shared" si="0"/>
        <v>-</v>
      </c>
      <c r="C27" s="9" t="str">
        <f t="shared" si="8"/>
        <v/>
      </c>
      <c r="D27" s="27" t="s">
        <v>381</v>
      </c>
      <c r="E27" s="172" t="str">
        <f>IF($D27&gt;0,VLOOKUP($D27,Flight!$A$1:$E$91,2,FALSE),"")</f>
        <v>1510</v>
      </c>
      <c r="F27" s="45"/>
      <c r="G27" s="43" t="str">
        <f t="shared" si="3"/>
        <v/>
      </c>
      <c r="H27" s="44" t="str">
        <f>IF($D27&gt;0,VLOOKUP($D27,Flight!$A$1:$E$91,3,FALSE),"")</f>
        <v>DOH</v>
      </c>
      <c r="I27" s="44" t="str">
        <f>IF($D27&gt;0,IF(VLOOKUP($D27,Flight!$A$1:$E$91,4,FALSE)&gt;1,VLOOKUP($D27,Flight!$A$1:$E108,4,FALSE),""),"")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 t="shared" si="5"/>
        <v>21</v>
      </c>
      <c r="B28" s="9" t="str">
        <f t="shared" si="0"/>
        <v>-</v>
      </c>
      <c r="C28" s="9" t="str">
        <f t="shared" si="8"/>
        <v/>
      </c>
      <c r="D28" s="27" t="s">
        <v>382</v>
      </c>
      <c r="E28" s="172" t="str">
        <f>IF($D28&gt;0,VLOOKUP($D28,Flight!$A$1:$E$91,2,FALSE),"")</f>
        <v>1715</v>
      </c>
      <c r="F28" s="44"/>
      <c r="G28" s="43" t="str">
        <f t="shared" si="3"/>
        <v/>
      </c>
      <c r="H28" s="44" t="str">
        <f>IF($D28&gt;0,VLOOKUP($D28,Flight!$A$1:$E$91,3,FALSE),"")</f>
        <v>IST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  <c r="O28" s="114"/>
    </row>
    <row r="29" spans="1:15" s="346" customFormat="1">
      <c r="A29" s="9">
        <f t="shared" si="5"/>
        <v>22</v>
      </c>
      <c r="B29" s="9" t="str">
        <f t="shared" si="0"/>
        <v>-</v>
      </c>
      <c r="C29" s="9"/>
      <c r="D29" s="27" t="s">
        <v>972</v>
      </c>
      <c r="E29" s="172" t="str">
        <f>IF($D29&gt;0,VLOOKUP($D29,Flight!$A$1:$E$91,2,FALSE),"")</f>
        <v>1720</v>
      </c>
      <c r="F29" s="44"/>
      <c r="G29" s="43" t="str">
        <f t="shared" ref="G29:G30" si="9">IF(A29="@",IF(H29="ZYK","Berth 3",IF(H29="HKM","Bay 7","")),"")</f>
        <v/>
      </c>
      <c r="H29" s="44" t="str">
        <f>IF($D29&gt;0,VLOOKUP($D29,Flight!$A$1:$E$91,3,FALSE),"")</f>
        <v>MNL</v>
      </c>
      <c r="I29" s="44"/>
      <c r="J29" s="44"/>
      <c r="K29" s="166"/>
      <c r="L29" s="166"/>
      <c r="M29" s="166"/>
      <c r="O29" s="114"/>
    </row>
    <row r="30" spans="1:15" s="349" customFormat="1">
      <c r="A30" s="9">
        <f t="shared" si="5"/>
        <v>23</v>
      </c>
      <c r="B30" s="9" t="str">
        <f t="shared" si="0"/>
        <v>-</v>
      </c>
      <c r="C30" s="9"/>
      <c r="D30" s="27" t="s">
        <v>1005</v>
      </c>
      <c r="E30" s="172" t="str">
        <f>IF($D30&gt;0,VLOOKUP($D30,Flight!$A$1:$E$91,2,FALSE),"")</f>
        <v>1745</v>
      </c>
      <c r="F30" s="44"/>
      <c r="G30" s="43" t="str">
        <f t="shared" si="9"/>
        <v/>
      </c>
      <c r="H30" s="44" t="str">
        <f>IF($D30&gt;0,VLOOKUP($D30,Flight!$A$1:$E$91,3,FALSE),"")</f>
        <v>BKK</v>
      </c>
      <c r="I30" s="44"/>
      <c r="J30" s="44"/>
      <c r="K30" s="166"/>
      <c r="L30" s="166"/>
      <c r="M30" s="166"/>
      <c r="O30" s="114"/>
    </row>
    <row r="31" spans="1:15">
      <c r="A31" s="9">
        <f>IF($A27="S/N",1,IF($F31="Wavied","-",IF($D31=0,"",ROW($A31)-ROW($A$7)-COUNTIF($A$7:$A$8,"@")-COUNTIF($A$7:$A$8,"-"))))</f>
        <v>24</v>
      </c>
      <c r="B31" s="9" t="str">
        <f t="shared" si="0"/>
        <v>-</v>
      </c>
      <c r="C31" s="9" t="str">
        <f t="shared" ref="C31:C40" si="10">IF($E31&lt;&gt;"",IF(ISNUMBER(SEARCH("Hall Operation",$K31)),"-",IF($E31-715&lt;0,VLOOKUP($B$3,$E$60:$J$71,6,FALSE),IF($E31-2129&gt;0,VLOOKUP($L$3,$E$60:$J$71,6,FALSE),""))),"")</f>
        <v/>
      </c>
      <c r="D31" s="27" t="s">
        <v>383</v>
      </c>
      <c r="E31" s="172" t="str">
        <f>IF($D31&gt;0,VLOOKUP($D31,Flight!$A$1:$E$91,2,FALSE),"")</f>
        <v>1755</v>
      </c>
      <c r="F31" s="45"/>
      <c r="G31" s="43" t="str">
        <f t="shared" si="3"/>
        <v/>
      </c>
      <c r="H31" s="44" t="str">
        <f>IF($D31&gt;0,VLOOKUP($D31,Flight!$A$1:$E$91,3,FALSE),"")</f>
        <v>KUL</v>
      </c>
      <c r="I31" s="44" t="str">
        <f>IF($D31&gt;0,IF(VLOOKUP($D31,Flight!$A$1:$E$91,4,FALSE)&gt;1,VLOOKUP($D31,Flight!$A$1:$E110,4,FALSE),""),"")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ref="K31:K40" si="11">IF($D31=0,"",IF(OR(ISNUMBER(SEARCH("S",$B31)),_xlfn.IFNA(MATCH($D31,$D$104:$D$114,0)&lt;20,"")=TRUE),"&lt;   Hall Operation   &gt;",""))</f>
        <v/>
      </c>
      <c r="L31" s="166"/>
      <c r="M31" s="166"/>
      <c r="O31" s="114"/>
    </row>
    <row r="32" spans="1:15">
      <c r="A32" s="9">
        <f>IF($A28="S/N",1,IF($F32="Wavied","-",IF($D32=0,"",ROW($A32)-ROW($A$7)-COUNTIF($A$7:$A$8,"@")-COUNTIF($A$7:$A$8,"-"))))</f>
        <v>25</v>
      </c>
      <c r="B32" s="9" t="str">
        <f t="shared" si="0"/>
        <v>-</v>
      </c>
      <c r="C32" s="9" t="str">
        <f t="shared" si="10"/>
        <v/>
      </c>
      <c r="D32" s="27" t="s">
        <v>384</v>
      </c>
      <c r="E32" s="172" t="str">
        <f>IF($D32&gt;0,VLOOKUP($D32,Flight!$A$1:$E$91,2,FALSE),"")</f>
        <v>1805</v>
      </c>
      <c r="F32" s="45"/>
      <c r="G32" s="43" t="str">
        <f t="shared" si="3"/>
        <v/>
      </c>
      <c r="H32" s="44" t="str">
        <f>IF($D32&gt;0,VLOOKUP($D32,Flight!$A$1:$E$91,3,FALSE),"")</f>
        <v>DXB</v>
      </c>
      <c r="I32" s="44" t="str">
        <f>IF($D32&gt;0,IF(VLOOKUP($D32,Flight!$A$1:$E$91,4,FALSE)&gt;1,VLOOKUP($D32,Flight!$A$1:$E111,4,FALSE),""),"")</f>
        <v>BKK</v>
      </c>
      <c r="J32" s="44" t="str">
        <f>IF($D32&gt;0,IF(VLOOKUP($D32,Flight!$A$1:$E$91,5,FALSE)&gt;1,VLOOKUP($D32,Flight!$A$1:$E$91,5,FALSE),""),"")</f>
        <v/>
      </c>
      <c r="K32" s="166" t="str">
        <f t="shared" si="11"/>
        <v/>
      </c>
      <c r="L32" s="166"/>
      <c r="M32" s="166"/>
    </row>
    <row r="33" spans="1:18">
      <c r="A33" s="9">
        <f t="shared" si="5"/>
        <v>26</v>
      </c>
      <c r="B33" s="9" t="str">
        <f t="shared" si="0"/>
        <v>-</v>
      </c>
      <c r="C33" s="9" t="str">
        <f t="shared" si="10"/>
        <v/>
      </c>
      <c r="D33" s="27" t="s">
        <v>973</v>
      </c>
      <c r="E33" s="172" t="str">
        <f>IF($D33&gt;0,VLOOKUP($D33,Flight!$A$1:$E$91,2,FALSE),"")</f>
        <v>1810</v>
      </c>
      <c r="F33" s="49"/>
      <c r="G33" s="43" t="str">
        <f t="shared" si="3"/>
        <v/>
      </c>
      <c r="H33" s="44" t="str">
        <f>IF($D33&gt;0,VLOOKUP($D33,Flight!$A$1:$E$91,3,FALSE),"")</f>
        <v>MNL</v>
      </c>
      <c r="I33" s="44" t="str">
        <f>IF($D33&gt;0,IF(VLOOKUP($D33,Flight!$A$1:$E$91,4,FALSE)&gt;1,VLOOKUP($D33,Flight!$A$1:$E112,4,FALSE),""),"")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11"/>
        <v/>
      </c>
      <c r="L33" s="166"/>
      <c r="M33" s="166"/>
    </row>
    <row r="34" spans="1:18">
      <c r="A34" s="9">
        <f t="shared" si="5"/>
        <v>27</v>
      </c>
      <c r="B34" s="9" t="str">
        <f t="shared" si="0"/>
        <v>-</v>
      </c>
      <c r="C34" s="9" t="str">
        <f t="shared" si="10"/>
        <v/>
      </c>
      <c r="D34" s="27" t="s">
        <v>974</v>
      </c>
      <c r="E34" s="172" t="str">
        <f>IF($D34&gt;0,VLOOKUP($D34,Flight!$A$1:$E$91,2,FALSE),"")</f>
        <v>1820</v>
      </c>
      <c r="F34" s="45"/>
      <c r="G34" s="43" t="str">
        <f t="shared" si="3"/>
        <v/>
      </c>
      <c r="H34" s="44" t="str">
        <f>IF($D34&gt;0,VLOOKUP($D34,Flight!$A$1:$E$91,3,FALSE),"")</f>
        <v>SIN</v>
      </c>
      <c r="I34" s="44" t="str">
        <f>IF($D34&gt;0,IF(VLOOKUP($D34,Flight!$A$1:$E$91,4,FALSE)&gt;1,VLOOKUP($D34,Flight!$A$1:$E113,4,FALSE),""),"")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11"/>
        <v/>
      </c>
      <c r="L34" s="166"/>
      <c r="M34" s="166"/>
    </row>
    <row r="35" spans="1:18">
      <c r="A35" s="9">
        <f t="shared" si="5"/>
        <v>28</v>
      </c>
      <c r="B35" s="9" t="str">
        <f t="shared" si="0"/>
        <v>-</v>
      </c>
      <c r="C35" s="9" t="str">
        <f t="shared" si="10"/>
        <v/>
      </c>
      <c r="D35" s="27" t="s">
        <v>975</v>
      </c>
      <c r="E35" s="172" t="str">
        <f>IF($D35&gt;0,VLOOKUP($D35,Flight!$A$1:$E$91,2,FALSE),"")</f>
        <v>1920</v>
      </c>
      <c r="F35" s="45"/>
      <c r="G35" s="43" t="str">
        <f t="shared" si="3"/>
        <v/>
      </c>
      <c r="H35" s="44" t="str">
        <f>IF($D35&gt;0,VLOOKUP($D35,Flight!$A$1:$E$91,3,FALSE),"")</f>
        <v>DMK</v>
      </c>
      <c r="I35" s="44" t="str">
        <f>IF($D35&gt;0,IF(VLOOKUP($D35,Flight!$A$1:$E$91,4,FALSE)&gt;1,VLOOKUP($D35,Flight!$A$1:$E114,4,FALSE),""),"")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11"/>
        <v/>
      </c>
      <c r="L35" s="166"/>
      <c r="M35" s="166"/>
    </row>
    <row r="36" spans="1:18">
      <c r="A36" s="9">
        <f t="shared" si="5"/>
        <v>29</v>
      </c>
      <c r="B36" s="9" t="str">
        <f t="shared" si="0"/>
        <v>-</v>
      </c>
      <c r="C36" s="9" t="str">
        <f t="shared" si="10"/>
        <v/>
      </c>
      <c r="D36" s="27" t="s">
        <v>976</v>
      </c>
      <c r="E36" s="172" t="str">
        <f>IF($D36&gt;0,VLOOKUP($D36,Flight!$A$1:$E$91,2,FALSE),"")</f>
        <v>1950</v>
      </c>
      <c r="F36" s="46"/>
      <c r="G36" s="43" t="str">
        <f t="shared" si="3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IF($D36&gt;0,IF(VLOOKUP($D36,Flight!$A$1:$E$91,4,FALSE)&gt;1,VLOOKUP($D36,Flight!$A$1:$E115,4,FALSE),""),"")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11"/>
        <v/>
      </c>
      <c r="L36" s="166"/>
      <c r="M36" s="166"/>
    </row>
    <row r="37" spans="1:18">
      <c r="A37" s="9">
        <f t="shared" si="5"/>
        <v>30</v>
      </c>
      <c r="B37" s="9" t="str">
        <f t="shared" si="0"/>
        <v>-</v>
      </c>
      <c r="C37" s="9" t="str">
        <f t="shared" si="10"/>
        <v/>
      </c>
      <c r="D37" s="27" t="s">
        <v>977</v>
      </c>
      <c r="E37" s="172" t="str">
        <f>IF($D37&gt;0,VLOOKUP($D37,Flight!$A$1:$E$91,2,FALSE),"")</f>
        <v>2030</v>
      </c>
      <c r="F37" s="45"/>
      <c r="G37" s="43" t="str">
        <f t="shared" si="3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IF($D37&gt;0,IF(VLOOKUP($D37,Flight!$A$1:$E$91,4,FALSE)&gt;1,VLOOKUP($D37,Flight!$A$1:$E116,4,FALSE),""),"")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11"/>
        <v/>
      </c>
      <c r="L37" s="166"/>
      <c r="M37" s="166"/>
    </row>
    <row r="38" spans="1:18">
      <c r="A38" s="9">
        <f>IF($A37="S/N",1,IF($F38="Wavied","-",IF($D38=0,"",ROW($A38)-ROW($A$7)-COUNTIF($A$7:$A$8,"@")-COUNTIF($A$7:$A$8,"-"))))</f>
        <v>31</v>
      </c>
      <c r="B38" s="9" t="str">
        <f t="shared" si="0"/>
        <v>-</v>
      </c>
      <c r="C38" s="9" t="str">
        <f t="shared" si="10"/>
        <v>S11</v>
      </c>
      <c r="D38" s="27" t="s">
        <v>390</v>
      </c>
      <c r="E38" s="172" t="str">
        <f>IF($D38&gt;0,VLOOKUP($D38,Flight!$A$1:$E$91,2,FALSE),"")</f>
        <v>2155</v>
      </c>
      <c r="F38" s="45"/>
      <c r="G38" s="43" t="str">
        <f t="shared" si="3"/>
        <v/>
      </c>
      <c r="H38" s="44" t="str">
        <f>IF($D38&gt;0,VLOOKUP($D38,Flight!$A$1:$E$91,3,FALSE),"")</f>
        <v>DOH</v>
      </c>
      <c r="I38" s="44" t="str">
        <f>IF($D38&gt;0,IF(VLOOKUP($D38,Flight!$A$1:$E$91,4,FALSE)&gt;1,VLOOKUP($D38,Flight!$A$1:$E118,4,FALSE),""),"")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11"/>
        <v/>
      </c>
      <c r="L38" s="166"/>
      <c r="M38" s="167"/>
      <c r="O38" s="115"/>
      <c r="P38" s="87"/>
    </row>
    <row r="39" spans="1:18">
      <c r="A39" s="9">
        <f>IF($A38="S/N",1,IF($F39="Wavied","-",IF($D39=0,"",ROW($A39)-ROW($A$7)-COUNTIF($A$7:$A$8,"@")-COUNTIF($A$7:$A$8,"-"))))</f>
        <v>32</v>
      </c>
      <c r="B39" s="9" t="str">
        <f t="shared" si="0"/>
        <v>-</v>
      </c>
      <c r="C39" s="9" t="str">
        <f t="shared" si="10"/>
        <v>S11</v>
      </c>
      <c r="D39" s="27" t="s">
        <v>392</v>
      </c>
      <c r="E39" s="172" t="str">
        <f>IF($D39&gt;0,VLOOKUP($D39,Flight!$A$1:$E$91,2,FALSE),"")</f>
        <v>2320</v>
      </c>
      <c r="F39" s="45"/>
      <c r="G39" s="43" t="str">
        <f t="shared" si="3"/>
        <v/>
      </c>
      <c r="H39" s="44" t="str">
        <f>IF($D39&gt;0,VLOOKUP($D39,Flight!$A$1:$E$91,3,FALSE),"")</f>
        <v>BKK</v>
      </c>
      <c r="I39" s="44" t="str">
        <f>IF($D39&gt;0,IF(VLOOKUP($D39,Flight!$A$1:$E$91,4,FALSE)&gt;1,VLOOKUP($D39,Flight!$A$1:$E120,4,FALSE),""),"")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11"/>
        <v/>
      </c>
      <c r="L39" s="166"/>
      <c r="M39" s="167"/>
      <c r="O39" s="4"/>
      <c r="P39" s="4"/>
      <c r="Q39" s="4"/>
      <c r="R39" s="4"/>
    </row>
    <row r="40" spans="1:18" ht="16.5">
      <c r="A40" s="9"/>
      <c r="B40" s="9" t="str">
        <f t="shared" si="0"/>
        <v/>
      </c>
      <c r="C40" s="9" t="str">
        <f t="shared" si="10"/>
        <v/>
      </c>
      <c r="D40" s="27"/>
      <c r="E40" s="172" t="str">
        <f>IF($D40&gt;0,VLOOKUP($D40,Flight!$A$1:$E$91,2,FALSE),"")</f>
        <v/>
      </c>
      <c r="F40" s="45"/>
      <c r="G40" s="43" t="str">
        <f t="shared" si="3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IF($D40&gt;0,IF(VLOOKUP($D40,Flight!$A$1:$E$91,4,FALSE)&gt;1,VLOOKUP($D40,Flight!$A$1:$E121,4,FALSE),""),"")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11"/>
        <v/>
      </c>
      <c r="L40" s="166"/>
      <c r="M40" s="166"/>
      <c r="O40" s="4"/>
      <c r="P40" s="89"/>
      <c r="Q40" s="4"/>
      <c r="R40" s="4"/>
    </row>
    <row r="41" spans="1:18">
      <c r="A41" s="376" t="s">
        <v>5</v>
      </c>
      <c r="B41" s="376"/>
      <c r="C41" s="376"/>
      <c r="D41" s="376"/>
      <c r="E41" s="376"/>
      <c r="F41" s="376"/>
      <c r="G41" s="50"/>
      <c r="H41" s="321" t="s">
        <v>40</v>
      </c>
      <c r="I41" s="377"/>
      <c r="J41" s="377"/>
      <c r="K41" s="377"/>
      <c r="L41" s="377"/>
      <c r="M41" s="377"/>
      <c r="N41" s="5"/>
    </row>
    <row r="42" spans="1:18">
      <c r="A42" s="379" t="s">
        <v>35</v>
      </c>
      <c r="B42" s="379"/>
      <c r="C42" s="379" t="s">
        <v>31</v>
      </c>
      <c r="D42" s="379"/>
      <c r="E42" s="379"/>
      <c r="F42" s="379"/>
      <c r="G42" s="379"/>
      <c r="H42" s="379"/>
      <c r="I42" s="378"/>
      <c r="J42" s="378"/>
      <c r="K42" s="378"/>
      <c r="L42" s="378"/>
      <c r="M42" s="378"/>
    </row>
    <row r="43" spans="1:18">
      <c r="A43" s="379"/>
      <c r="B43" s="379"/>
      <c r="C43" s="379"/>
      <c r="D43" s="379"/>
      <c r="E43" s="379"/>
      <c r="F43" s="379"/>
      <c r="G43" s="379"/>
      <c r="H43" s="379"/>
      <c r="I43" s="51"/>
      <c r="J43" s="51"/>
      <c r="K43" s="6"/>
      <c r="L43" s="6"/>
      <c r="M43" s="6"/>
    </row>
    <row r="44" spans="1:18">
      <c r="A44" s="389" t="s">
        <v>216</v>
      </c>
      <c r="B44" s="389"/>
      <c r="C44" s="323" t="str">
        <f>VLOOKUP($D$44,Staff!$B$2:$D$41,2,FALSE)</f>
        <v>CIA</v>
      </c>
      <c r="D44" s="375" t="str">
        <f>VLOOKUP(VLOOKUP($E$56,$E$60:$J$71,6,FALSE),Staff!$A$2:$D$13,2,FALSE)</f>
        <v>HY CHOY</v>
      </c>
      <c r="E44" s="375"/>
      <c r="F44" s="325" t="s">
        <v>215</v>
      </c>
      <c r="G44" s="390" t="str">
        <f>VLOOKUP($D$44,Staff!$B$2:$D$39,3,FALSE)</f>
        <v>6155 6957</v>
      </c>
      <c r="H44" s="390"/>
      <c r="I44" s="391" t="s">
        <v>223</v>
      </c>
      <c r="J44" s="391"/>
      <c r="K44" s="375" t="str">
        <f>IF(COUNTIF($E$60:$E$63,$E$56)&gt;0,Staff!$G$2,"")&amp;IF(COUNTIF($E$64:$E$67,$E$56)&gt;0,Staff!$G$3,"")&amp;IF(COUNTIF($E$68:$E$71,$E$56)&gt;0,Staff!$G$4,"")</f>
        <v>LIU, WAI FUN (F)</v>
      </c>
      <c r="L44" s="375"/>
      <c r="M44" s="375"/>
    </row>
    <row r="45" spans="1:18">
      <c r="A45" s="389" t="s">
        <v>217</v>
      </c>
      <c r="B45" s="389"/>
      <c r="C45" s="323" t="str">
        <f>VLOOKUP($D$45,Staff!$B$2:$D$41,2,FALSE)</f>
        <v>CIA</v>
      </c>
      <c r="D45" s="375" t="str">
        <f>VLOOKUP(VLOOKUP($E$57,$E$60:$J$71,6,FALSE),Staff!$A$2:$D$13,2,FALSE)</f>
        <v>HF WAN</v>
      </c>
      <c r="E45" s="375"/>
      <c r="F45" s="325" t="s">
        <v>215</v>
      </c>
      <c r="G45" s="390" t="str">
        <f>VLOOKUP($D$45,Staff!$B$2:$D$39,3,FALSE)</f>
        <v>9523 5380</v>
      </c>
      <c r="H45" s="390"/>
      <c r="I45" s="391" t="s">
        <v>224</v>
      </c>
      <c r="J45" s="391"/>
      <c r="K45" s="375" t="str">
        <f>IF(COUNTIF($E$60:$E$63,$E$57)&gt;0,Staff!$G$2,"")&amp;IF(COUNTIF($E$64:$E$67,$E$57)&gt;0,Staff!$G$3,"")&amp;IF(COUNTIF($E$68:$E$71,$E$57)&gt;0,Staff!$G$4,"")</f>
        <v>WONG, TSZ MING</v>
      </c>
      <c r="L45" s="375"/>
      <c r="M45" s="375"/>
    </row>
    <row r="46" spans="1:18">
      <c r="A46" s="329"/>
      <c r="B46" s="329"/>
      <c r="C46" s="327"/>
      <c r="D46" s="395"/>
      <c r="E46" s="395"/>
      <c r="F46" s="324"/>
      <c r="G46" s="396"/>
      <c r="H46" s="396"/>
      <c r="I46" s="390"/>
      <c r="J46" s="390"/>
      <c r="K46" s="143"/>
      <c r="L46" s="143"/>
      <c r="M46" s="143"/>
    </row>
    <row r="47" spans="1:18" s="112" customFormat="1">
      <c r="A47" s="397" t="s">
        <v>4</v>
      </c>
      <c r="B47" s="397"/>
      <c r="C47" s="396" t="s">
        <v>218</v>
      </c>
      <c r="D47" s="396"/>
      <c r="E47" s="396"/>
      <c r="F47" s="154" t="s">
        <v>213</v>
      </c>
      <c r="G47" s="398" t="str">
        <f>IF(COUNTIF($E$60:$E$63,$E$56)&gt;0,Staff!$G$14,"")&amp;IF(COUNTIF($E$64:$E$67,$E$56)&gt;0,Staff!$G$13,"")&amp;IF(COUNTIF($E$68:$E$71,$E$56)&gt;0,Staff!$G$12,"")</f>
        <v>HO, KWOK WUN D</v>
      </c>
      <c r="H47" s="398"/>
      <c r="I47" s="398"/>
      <c r="J47" s="333" t="s">
        <v>209</v>
      </c>
      <c r="K47" s="390" t="str">
        <f>VLOOKUP(VLOOKUP($B$3,$E$60:$J$71,6,FALSE),Staff!$F$22:$G$47,2,FALSE)</f>
        <v>KWOK, KA MAN (F)</v>
      </c>
      <c r="L47" s="390"/>
      <c r="M47" s="390"/>
      <c r="N47" s="12"/>
      <c r="P47" s="330"/>
      <c r="Q47" s="330"/>
      <c r="R47" s="330"/>
    </row>
    <row r="48" spans="1:18" s="112" customFormat="1">
      <c r="A48" s="155"/>
      <c r="B48" s="155"/>
      <c r="C48" s="396" t="s">
        <v>219</v>
      </c>
      <c r="D48" s="396"/>
      <c r="E48" s="396"/>
      <c r="F48" s="154" t="s">
        <v>214</v>
      </c>
      <c r="G48" s="375" t="str">
        <f>IF(COUNTIF($E$60:$E$63,$E$57)&gt;0,Staff!$G$14,"")&amp;IF(COUNTIF($E$64:$E$67,$E$57)&gt;0,Staff!$G$13,"")&amp;IF(COUNTIF($E$68:$E$71,$E$57)&gt;0,Staff!$G$12,"")</f>
        <v>CHONG, MAN LOK</v>
      </c>
      <c r="H48" s="375"/>
      <c r="I48" s="375"/>
      <c r="J48" s="333" t="s">
        <v>208</v>
      </c>
      <c r="K48" s="390"/>
      <c r="L48" s="390"/>
      <c r="M48" s="390"/>
      <c r="N48" s="330"/>
      <c r="P48" s="330"/>
      <c r="Q48" s="330"/>
      <c r="R48" s="330"/>
    </row>
    <row r="49" spans="1:18" s="112" customFormat="1">
      <c r="A49" s="320"/>
      <c r="B49" s="320"/>
      <c r="C49" s="327"/>
      <c r="D49" s="401"/>
      <c r="E49" s="401"/>
      <c r="F49" s="401"/>
      <c r="G49" s="401"/>
      <c r="H49" s="401"/>
      <c r="I49" s="401"/>
      <c r="J49" s="333" t="s">
        <v>210</v>
      </c>
      <c r="K49" s="390"/>
      <c r="L49" s="390"/>
      <c r="M49" s="390"/>
      <c r="N49" s="330"/>
      <c r="P49" s="330"/>
      <c r="Q49" s="330"/>
      <c r="R49" s="330"/>
    </row>
    <row r="50" spans="1:18" s="112" customFormat="1">
      <c r="A50" s="392" t="s">
        <v>3</v>
      </c>
      <c r="B50" s="393"/>
      <c r="C50" s="394" t="s">
        <v>220</v>
      </c>
      <c r="D50" s="394"/>
      <c r="E50" s="394"/>
      <c r="F50" s="397" t="s">
        <v>408</v>
      </c>
      <c r="G50" s="397"/>
      <c r="H50" s="397"/>
      <c r="I50" s="397"/>
      <c r="J50" s="333" t="s">
        <v>211</v>
      </c>
      <c r="K50" s="390"/>
      <c r="L50" s="390"/>
      <c r="M50" s="390"/>
      <c r="N50" s="330"/>
      <c r="P50" s="330"/>
      <c r="Q50" s="330"/>
      <c r="R50" s="330"/>
    </row>
    <row r="51" spans="1:18" s="112" customFormat="1">
      <c r="A51" s="393" t="s">
        <v>2</v>
      </c>
      <c r="B51" s="393"/>
      <c r="C51" s="411" t="s">
        <v>221</v>
      </c>
      <c r="D51" s="411"/>
      <c r="E51" s="411"/>
      <c r="F51" s="412" t="s">
        <v>1</v>
      </c>
      <c r="G51" s="412"/>
      <c r="H51" s="400" t="s">
        <v>409</v>
      </c>
      <c r="I51" s="400"/>
      <c r="J51" s="333" t="s">
        <v>212</v>
      </c>
      <c r="K51" s="390"/>
      <c r="L51" s="390"/>
      <c r="M51" s="390"/>
      <c r="N51" s="330"/>
      <c r="P51" s="330"/>
      <c r="Q51" s="330"/>
      <c r="R51" s="330"/>
    </row>
    <row r="52" spans="1:18" s="112" customFormat="1">
      <c r="A52" s="155"/>
      <c r="B52" s="155"/>
      <c r="C52" s="320"/>
      <c r="D52" s="399"/>
      <c r="E52" s="399"/>
      <c r="F52" s="391"/>
      <c r="G52" s="391"/>
      <c r="H52" s="400" t="s">
        <v>410</v>
      </c>
      <c r="I52" s="400"/>
      <c r="J52" s="326"/>
      <c r="K52" s="329"/>
      <c r="L52" s="329"/>
      <c r="M52" s="47"/>
      <c r="N52" s="330"/>
      <c r="P52" s="330"/>
      <c r="Q52" s="330"/>
      <c r="R52" s="330"/>
    </row>
    <row r="53" spans="1:18" s="112" customFormat="1" ht="16.5" customHeight="1">
      <c r="A53" s="392" t="s">
        <v>0</v>
      </c>
      <c r="B53" s="392"/>
      <c r="C53" s="407" t="s">
        <v>222</v>
      </c>
      <c r="D53" s="407"/>
      <c r="E53" s="407"/>
      <c r="F53" s="326"/>
      <c r="G53" s="333"/>
      <c r="H53" s="394" t="s">
        <v>411</v>
      </c>
      <c r="I53" s="394"/>
      <c r="J53" s="332"/>
      <c r="K53" s="329"/>
      <c r="L53" s="329"/>
      <c r="M53" s="47"/>
      <c r="N53" s="330"/>
      <c r="P53" s="330"/>
      <c r="Q53" s="330"/>
      <c r="R53" s="330"/>
    </row>
    <row r="54" spans="1:18" s="112" customFormat="1">
      <c r="A54" s="330"/>
      <c r="B54" s="330"/>
      <c r="C54" s="408"/>
      <c r="D54" s="408"/>
      <c r="E54" s="408"/>
      <c r="F54" s="408"/>
      <c r="G54" s="408"/>
      <c r="H54" s="408"/>
      <c r="I54" s="54"/>
      <c r="J54" s="53"/>
      <c r="M54" s="330"/>
      <c r="N54" s="330"/>
      <c r="P54" s="330"/>
      <c r="Q54" s="330"/>
      <c r="R54" s="330"/>
    </row>
    <row r="55" spans="1:18" s="112" customFormat="1" ht="16.5" thickBot="1">
      <c r="A55" s="3"/>
      <c r="B55" s="3"/>
      <c r="C55" s="3"/>
      <c r="D55" s="2"/>
      <c r="E55" s="39"/>
      <c r="F55" s="331"/>
      <c r="G55" s="331"/>
      <c r="H55" s="331"/>
      <c r="I55" s="409"/>
      <c r="J55" s="409"/>
      <c r="M55" s="330"/>
      <c r="N55" s="330"/>
      <c r="P55" s="330"/>
      <c r="Q55" s="330"/>
      <c r="R55" s="330"/>
    </row>
    <row r="56" spans="1:18" s="112" customFormat="1">
      <c r="A56" s="330"/>
      <c r="B56" s="330"/>
      <c r="C56" s="330"/>
      <c r="D56" s="330"/>
      <c r="E56" s="90" t="s">
        <v>133</v>
      </c>
      <c r="F56" s="91" t="s">
        <v>135</v>
      </c>
      <c r="G56" s="91"/>
      <c r="H56" s="92"/>
      <c r="I56" s="330"/>
      <c r="J56" s="330"/>
      <c r="K56" s="330"/>
      <c r="L56" s="330"/>
      <c r="M56" s="330"/>
      <c r="N56" s="330"/>
      <c r="P56" s="330"/>
      <c r="Q56" s="330"/>
      <c r="R56" s="330"/>
    </row>
    <row r="57" spans="1:18" s="112" customFormat="1" ht="16.5" thickBot="1">
      <c r="A57" s="330"/>
      <c r="B57" s="330"/>
      <c r="C57" s="330"/>
      <c r="D57" s="330"/>
      <c r="E57" s="93" t="s">
        <v>134</v>
      </c>
      <c r="F57" s="94" t="s">
        <v>136</v>
      </c>
      <c r="G57" s="94"/>
      <c r="H57" s="95"/>
      <c r="I57" s="330"/>
      <c r="J57" s="330"/>
      <c r="K57" s="330"/>
      <c r="L57" s="330"/>
      <c r="M57" s="330"/>
      <c r="N57" s="330"/>
      <c r="P57" s="330"/>
      <c r="Q57" s="330"/>
      <c r="R57" s="330"/>
    </row>
    <row r="58" spans="1:18" s="112" customFormat="1">
      <c r="A58" s="330"/>
      <c r="B58" s="330"/>
      <c r="C58" s="330"/>
      <c r="D58" s="330"/>
      <c r="E58" s="330"/>
      <c r="F58" s="330"/>
      <c r="G58" s="330"/>
      <c r="H58" s="330"/>
      <c r="I58" s="330"/>
      <c r="J58" s="330"/>
      <c r="K58" s="330"/>
      <c r="L58" s="330"/>
      <c r="M58" s="330"/>
      <c r="N58" s="330"/>
      <c r="P58" s="330"/>
      <c r="Q58" s="330"/>
      <c r="R58" s="330"/>
    </row>
    <row r="59" spans="1:18" s="112" customFormat="1" ht="16.5" thickBot="1">
      <c r="A59" s="330"/>
      <c r="B59" s="330"/>
      <c r="C59" s="330"/>
      <c r="D59" s="85" t="s">
        <v>132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98</v>
      </c>
      <c r="J59" s="330"/>
      <c r="K59" s="96" t="s">
        <v>302</v>
      </c>
      <c r="L59" s="96" t="s">
        <v>303</v>
      </c>
      <c r="M59" s="96"/>
      <c r="N59" s="330"/>
      <c r="P59" s="330"/>
      <c r="Q59" s="330"/>
      <c r="R59" s="330"/>
    </row>
    <row r="60" spans="1:18" s="112" customFormat="1">
      <c r="A60" s="330"/>
      <c r="B60" s="330"/>
      <c r="C60" s="330"/>
      <c r="D60" s="97" t="s">
        <v>86</v>
      </c>
      <c r="E60" s="98" t="str">
        <f>_xlfn.IFNA(VLOOKUP(MOD((($D$1-WEEKDAY($D$1,2)+1)-45523)/7+21,24),Shift!$A$2:$H$25,WEEKDAY($D$1,2)+1),VLOOKUP(24,Shift!$A$2:$H$25,WEEKDAY($D$1,2)+1))</f>
        <v>M</v>
      </c>
      <c r="F60" s="98" t="str">
        <f>IF(OR($E60="L",$E60="L#"),0,"?")</f>
        <v>?</v>
      </c>
      <c r="G60" s="98" t="str">
        <f>IF(OR($E60="L",$E60="L#"),0,"?")</f>
        <v>?</v>
      </c>
      <c r="H60" s="98" t="str">
        <f>IF(OR($E60="L",$E60="L#"),0,"?")</f>
        <v>?</v>
      </c>
      <c r="I60" s="99">
        <f t="shared" ref="I60:I71" si="12">IF(OR($E60="L",$E60="L#"),0,SUM($F60:$H60))</f>
        <v>0</v>
      </c>
      <c r="J60" s="136" t="s">
        <v>86</v>
      </c>
      <c r="K60" s="112" t="str">
        <f>IF(AND($F60&gt;1,$F60&lt;&gt;"?"),$F60-1,"")</f>
        <v/>
      </c>
      <c r="L60" s="112" t="str">
        <f>IF(AND($G60&gt;1,$G60&lt;&gt;"?"),$G60-1,"")</f>
        <v/>
      </c>
      <c r="N60" s="330"/>
      <c r="P60" s="330"/>
      <c r="Q60" s="330"/>
      <c r="R60" s="330"/>
    </row>
    <row r="61" spans="1:18" s="112" customFormat="1">
      <c r="A61" s="330"/>
      <c r="B61" s="330"/>
      <c r="C61" s="330"/>
      <c r="D61" s="100" t="s">
        <v>85</v>
      </c>
      <c r="E61" s="101" t="str">
        <f>_xlfn.IFNA(VLOOKUP(MOD((($D$1-WEEKDAY($D$1,2)+1)-45523)/7+3,24),Shift!$A$2:$H$25,WEEKDAY($D$1,2)+1),VLOOKUP(24,Shift!$A$2:$H$25,WEEKDAY($D$1,2)+1))</f>
        <v>L</v>
      </c>
      <c r="F61" s="101">
        <f t="shared" ref="F61:H71" si="13">IF(OR($E61="L",$E61="L#"),0,"?")</f>
        <v>0</v>
      </c>
      <c r="G61" s="101">
        <f t="shared" si="13"/>
        <v>0</v>
      </c>
      <c r="H61" s="101">
        <f t="shared" si="13"/>
        <v>0</v>
      </c>
      <c r="I61" s="102">
        <f t="shared" si="12"/>
        <v>0</v>
      </c>
      <c r="J61" s="137" t="s">
        <v>85</v>
      </c>
      <c r="K61" s="112" t="str">
        <f t="shared" ref="K61:K71" si="14">IF(AND($F61&gt;1,$F61&lt;&gt;"?"),$F61-1,"")</f>
        <v/>
      </c>
      <c r="L61" s="112" t="str">
        <f t="shared" ref="L61:L71" si="15">IF(AND($G61&gt;1,$G61&lt;&gt;"?"),$G61-1,"")</f>
        <v/>
      </c>
      <c r="N61" s="330"/>
      <c r="P61" s="330"/>
      <c r="Q61" s="330"/>
      <c r="R61" s="330"/>
    </row>
    <row r="62" spans="1:18" s="112" customFormat="1">
      <c r="A62" s="330"/>
      <c r="B62" s="330"/>
      <c r="C62" s="330"/>
      <c r="D62" s="100" t="s">
        <v>99</v>
      </c>
      <c r="E62" s="101" t="str">
        <f>_xlfn.IFNA(VLOOKUP(MOD((($D$1-WEEKDAY($D$1,2)+1)-45523)/7+9,24),Shift!$A$2:$H$25,WEEKDAY($D$1,2)+1),VLOOKUP(24,Shift!$A$2:$H$25,WEEKDAY($D$1,2)+1))</f>
        <v>G1</v>
      </c>
      <c r="F62" s="101" t="str">
        <f t="shared" si="13"/>
        <v>?</v>
      </c>
      <c r="G62" s="101" t="str">
        <f t="shared" si="13"/>
        <v>?</v>
      </c>
      <c r="H62" s="101" t="str">
        <f t="shared" si="13"/>
        <v>?</v>
      </c>
      <c r="I62" s="102">
        <f t="shared" si="12"/>
        <v>0</v>
      </c>
      <c r="J62" s="137" t="s">
        <v>99</v>
      </c>
      <c r="K62" s="112" t="str">
        <f t="shared" si="14"/>
        <v/>
      </c>
      <c r="L62" s="112" t="str">
        <f t="shared" si="15"/>
        <v/>
      </c>
      <c r="N62" s="330"/>
      <c r="P62" s="330"/>
      <c r="Q62" s="330"/>
      <c r="R62" s="330"/>
    </row>
    <row r="63" spans="1:18" ht="16.5" thickBot="1">
      <c r="D63" s="103" t="s">
        <v>100</v>
      </c>
      <c r="E63" s="104" t="str">
        <f>_xlfn.IFNA(VLOOKUP(MOD((($D$1-WEEKDAY($D$1,2)+1)-45523)/7+15,24),Shift!$A$2:$H$25,WEEKDAY($D$1,2)+1),VLOOKUP(24,Shift!$A$2:$H$25,WEEKDAY($D$1,2)+1))</f>
        <v>M @</v>
      </c>
      <c r="F63" s="104" t="str">
        <f t="shared" si="13"/>
        <v>?</v>
      </c>
      <c r="G63" s="104" t="str">
        <f t="shared" si="13"/>
        <v>?</v>
      </c>
      <c r="H63" s="104" t="str">
        <f t="shared" si="13"/>
        <v>?</v>
      </c>
      <c r="I63" s="105">
        <f t="shared" si="12"/>
        <v>0</v>
      </c>
      <c r="J63" s="138" t="s">
        <v>100</v>
      </c>
      <c r="K63" s="112" t="str">
        <f t="shared" si="14"/>
        <v/>
      </c>
      <c r="L63" s="112" t="str">
        <f t="shared" si="15"/>
        <v/>
      </c>
      <c r="M63" s="112"/>
    </row>
    <row r="64" spans="1:18">
      <c r="D64" s="97" t="s">
        <v>101</v>
      </c>
      <c r="E64" s="98" t="str">
        <f>_xlfn.IFNA(VLOOKUP(MOD((($D$1-WEEKDAY($D$1,2)+1)-45523)/7+19,24),Shift!$A$2:$H$25,WEEKDAY($D$1,2)+1),VLOOKUP(24,Shift!$A$2:$H$25,WEEKDAY($D$1,2)+1))</f>
        <v>L</v>
      </c>
      <c r="F64" s="98">
        <f t="shared" si="13"/>
        <v>0</v>
      </c>
      <c r="G64" s="98">
        <f t="shared" si="13"/>
        <v>0</v>
      </c>
      <c r="H64" s="98">
        <f t="shared" si="13"/>
        <v>0</v>
      </c>
      <c r="I64" s="99">
        <f t="shared" si="12"/>
        <v>0</v>
      </c>
      <c r="J64" s="136" t="s">
        <v>101</v>
      </c>
      <c r="K64" s="112" t="str">
        <f t="shared" si="14"/>
        <v/>
      </c>
      <c r="L64" s="112" t="str">
        <f t="shared" si="15"/>
        <v/>
      </c>
      <c r="M64" s="112"/>
    </row>
    <row r="65" spans="4:13">
      <c r="D65" s="100" t="s">
        <v>102</v>
      </c>
      <c r="E65" s="101" t="str">
        <f>_xlfn.IFNA(VLOOKUP(MOD((($D$1-WEEKDAY($D$1,2)+1)-45523)/7+1,24),Shift!$A$2:$H$25,WEEKDAY($D$1,2)+1),VLOOKUP(24,Shift!$A$2:$H$25,WEEKDAY($D$1,2)+1))</f>
        <v>L</v>
      </c>
      <c r="F65" s="101">
        <f t="shared" si="13"/>
        <v>0</v>
      </c>
      <c r="G65" s="101">
        <f t="shared" si="13"/>
        <v>0</v>
      </c>
      <c r="H65" s="101">
        <f t="shared" si="13"/>
        <v>0</v>
      </c>
      <c r="I65" s="102">
        <f t="shared" si="12"/>
        <v>0</v>
      </c>
      <c r="J65" s="137" t="s">
        <v>102</v>
      </c>
      <c r="K65" s="112" t="str">
        <f t="shared" si="14"/>
        <v/>
      </c>
      <c r="L65" s="112" t="str">
        <f t="shared" si="15"/>
        <v/>
      </c>
      <c r="M65" s="112"/>
    </row>
    <row r="66" spans="4:13">
      <c r="D66" s="100" t="s">
        <v>103</v>
      </c>
      <c r="E66" s="101" t="str">
        <f>_xlfn.IFNA(VLOOKUP(MOD((($D$1-WEEKDAY($D$1,2)+1)-45523)/7+7,24),Shift!$A$2:$H$25,WEEKDAY($D$1,2)+1),VLOOKUP(24,Shift!$A$2:$H$25,WEEKDAY($D$1,2)+1))</f>
        <v>L</v>
      </c>
      <c r="F66" s="101">
        <f t="shared" si="13"/>
        <v>0</v>
      </c>
      <c r="G66" s="101">
        <f t="shared" si="13"/>
        <v>0</v>
      </c>
      <c r="H66" s="101">
        <f t="shared" si="13"/>
        <v>0</v>
      </c>
      <c r="I66" s="102">
        <f t="shared" si="12"/>
        <v>0</v>
      </c>
      <c r="J66" s="137" t="s">
        <v>103</v>
      </c>
      <c r="K66" s="112" t="str">
        <f t="shared" si="14"/>
        <v/>
      </c>
      <c r="L66" s="112" t="str">
        <f t="shared" si="15"/>
        <v/>
      </c>
      <c r="M66" s="112"/>
    </row>
    <row r="67" spans="4:13" ht="16.5" thickBot="1">
      <c r="D67" s="103" t="s">
        <v>104</v>
      </c>
      <c r="E67" s="104" t="str">
        <f>_xlfn.IFNA(VLOOKUP(MOD((($D$1-WEEKDAY($D$1,2)+1)-45523)/7+13,24),Shift!$A$2:$H$25,WEEKDAY($D$1,2)+1),VLOOKUP(24,Shift!$A$2:$H$25,WEEKDAY($D$1,2)+1))</f>
        <v>L</v>
      </c>
      <c r="F67" s="104">
        <f t="shared" si="13"/>
        <v>0</v>
      </c>
      <c r="G67" s="104">
        <f t="shared" si="13"/>
        <v>0</v>
      </c>
      <c r="H67" s="104">
        <f t="shared" si="13"/>
        <v>0</v>
      </c>
      <c r="I67" s="105">
        <f t="shared" si="12"/>
        <v>0</v>
      </c>
      <c r="J67" s="138" t="s">
        <v>104</v>
      </c>
      <c r="K67" s="112" t="str">
        <f t="shared" si="14"/>
        <v/>
      </c>
      <c r="L67" s="112" t="str">
        <f t="shared" si="15"/>
        <v/>
      </c>
      <c r="M67" s="112"/>
    </row>
    <row r="68" spans="4:13">
      <c r="D68" s="97" t="s">
        <v>105</v>
      </c>
      <c r="E68" s="98" t="str">
        <f>_xlfn.IFNA(VLOOKUP(MOD((($D$1-WEEKDAY($D$1,2)+1)-45523)/7+17,24),Shift!$A$2:$H$25,WEEKDAY($D$1,2)+1),VLOOKUP(24,Shift!$A$2:$H$25,WEEKDAY($D$1,2)+1))</f>
        <v>P1 @</v>
      </c>
      <c r="F68" s="98" t="str">
        <f t="shared" si="13"/>
        <v>?</v>
      </c>
      <c r="G68" s="98" t="str">
        <f t="shared" si="13"/>
        <v>?</v>
      </c>
      <c r="H68" s="98" t="str">
        <f t="shared" si="13"/>
        <v>?</v>
      </c>
      <c r="I68" s="99">
        <f t="shared" si="12"/>
        <v>0</v>
      </c>
      <c r="J68" s="136" t="s">
        <v>105</v>
      </c>
      <c r="K68" s="112" t="str">
        <f t="shared" si="14"/>
        <v/>
      </c>
      <c r="L68" s="112" t="str">
        <f t="shared" si="15"/>
        <v/>
      </c>
      <c r="M68" s="112"/>
    </row>
    <row r="69" spans="4:13">
      <c r="D69" s="100" t="s">
        <v>106</v>
      </c>
      <c r="E69" s="101" t="str">
        <f>_xlfn.IFNA(VLOOKUP(MOD((($D$1-WEEKDAY($D$1,2)+1)-45523)/7+23,24),Shift!$A$2:$H$25,WEEKDAY($D$1,2)+1),VLOOKUP(24,Shift!$A$2:$H$25,WEEKDAY($D$1,2)+1))</f>
        <v>A</v>
      </c>
      <c r="F69" s="101" t="str">
        <f t="shared" si="13"/>
        <v>?</v>
      </c>
      <c r="G69" s="101" t="str">
        <f t="shared" si="13"/>
        <v>?</v>
      </c>
      <c r="H69" s="101" t="str">
        <f t="shared" si="13"/>
        <v>?</v>
      </c>
      <c r="I69" s="102">
        <f t="shared" si="12"/>
        <v>0</v>
      </c>
      <c r="J69" s="137" t="s">
        <v>106</v>
      </c>
      <c r="K69" s="112" t="str">
        <f t="shared" si="14"/>
        <v/>
      </c>
      <c r="L69" s="112" t="str">
        <f t="shared" si="15"/>
        <v/>
      </c>
      <c r="M69" s="112"/>
    </row>
    <row r="70" spans="4:13">
      <c r="D70" s="100" t="s">
        <v>107</v>
      </c>
      <c r="E70" s="101" t="str">
        <f>_xlfn.IFNA(VLOOKUP(MOD((($D$1-WEEKDAY($D$1,2)+1)-45523)/7+5,24),Shift!$A$2:$H$25,WEEKDAY($D$1,2)+1),VLOOKUP(24,Shift!$A$2:$H$25,WEEKDAY($D$1,2)+1))</f>
        <v>P4</v>
      </c>
      <c r="F70" s="101" t="str">
        <f t="shared" si="13"/>
        <v>?</v>
      </c>
      <c r="G70" s="101" t="str">
        <f t="shared" si="13"/>
        <v>?</v>
      </c>
      <c r="H70" s="101" t="str">
        <f t="shared" si="13"/>
        <v>?</v>
      </c>
      <c r="I70" s="102">
        <f t="shared" si="12"/>
        <v>0</v>
      </c>
      <c r="J70" s="137" t="s">
        <v>107</v>
      </c>
      <c r="K70" s="112" t="str">
        <f t="shared" si="14"/>
        <v/>
      </c>
      <c r="L70" s="112" t="str">
        <f t="shared" si="15"/>
        <v/>
      </c>
      <c r="M70" s="112"/>
    </row>
    <row r="71" spans="4:13" ht="16.5" thickBot="1">
      <c r="D71" s="103" t="s">
        <v>108</v>
      </c>
      <c r="E71" s="104" t="str">
        <f>_xlfn.IFNA(VLOOKUP(MOD((($D$1-WEEKDAY($D$1,2)+1)-45523)/7+11,24),Shift!$A$2:$H$25,WEEKDAY($D$1,2)+1),VLOOKUP(24,Shift!$A$2:$H$25,WEEKDAY($D$1,2)+1))</f>
        <v>P1</v>
      </c>
      <c r="F71" s="104" t="str">
        <f t="shared" si="13"/>
        <v>?</v>
      </c>
      <c r="G71" s="104" t="str">
        <f t="shared" si="13"/>
        <v>?</v>
      </c>
      <c r="H71" s="104" t="str">
        <f t="shared" si="13"/>
        <v>?</v>
      </c>
      <c r="I71" s="105">
        <f t="shared" si="12"/>
        <v>0</v>
      </c>
      <c r="J71" s="138" t="s">
        <v>108</v>
      </c>
      <c r="K71" s="112" t="str">
        <f t="shared" si="14"/>
        <v/>
      </c>
      <c r="L71" s="112" t="str">
        <f t="shared" si="15"/>
        <v/>
      </c>
      <c r="M71" s="112"/>
    </row>
    <row r="72" spans="4:13">
      <c r="D72" s="144" t="s">
        <v>86</v>
      </c>
      <c r="E72" s="98" t="s">
        <v>127</v>
      </c>
      <c r="F72" s="98"/>
      <c r="G72" s="98"/>
      <c r="H72" s="98"/>
      <c r="I72" s="99">
        <f>IF(OR($E72="L",$E72="L#",$E72="?"),0,SUM($F72:$H72))</f>
        <v>0</v>
      </c>
      <c r="J72" s="330"/>
    </row>
    <row r="73" spans="4:13">
      <c r="D73" s="145" t="s">
        <v>137</v>
      </c>
      <c r="E73" s="101" t="s">
        <v>127</v>
      </c>
      <c r="F73" s="101"/>
      <c r="G73" s="101"/>
      <c r="H73" s="101"/>
      <c r="I73" s="102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 ht="16.5" thickBot="1">
      <c r="D75" s="146" t="s">
        <v>137</v>
      </c>
      <c r="E75" s="104" t="s">
        <v>127</v>
      </c>
      <c r="F75" s="106"/>
      <c r="G75" s="106"/>
      <c r="H75" s="106"/>
      <c r="I75" s="105">
        <f>IF(OR($E75="L",$E75="L#",$E75="?"),0,SUM($F75:$H75))</f>
        <v>0</v>
      </c>
      <c r="J75" s="330"/>
    </row>
    <row r="76" spans="4:13">
      <c r="D76" s="330"/>
      <c r="E76" s="96" t="s">
        <v>98</v>
      </c>
      <c r="F76" s="96" t="str">
        <f>SUM($F$60:$F$75)&amp;IF(SUM($F$60:$H$75)&gt;$I$76,"?","")</f>
        <v>0</v>
      </c>
      <c r="G76" s="96" t="str">
        <f>SUM($G$60:$G$75)&amp;IF(SUM($F$60:$H$75)&gt;$I$76,"?","")</f>
        <v>0</v>
      </c>
      <c r="H76" s="96" t="str">
        <f>SUM($H$60:$H$75)&amp;IF(SUM($F$60:$H$75)&gt;$I$76,"?","")</f>
        <v>0</v>
      </c>
      <c r="I76" s="96">
        <f>SUM(I60:I75)</f>
        <v>0</v>
      </c>
      <c r="J76" s="330"/>
    </row>
    <row r="77" spans="4:13">
      <c r="D77" s="330"/>
      <c r="E77" s="330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330"/>
      <c r="J77" s="330"/>
    </row>
    <row r="79" spans="4:13">
      <c r="D79" s="410" t="s">
        <v>281</v>
      </c>
      <c r="E79" s="410"/>
      <c r="F79" s="410"/>
    </row>
    <row r="80" spans="4:13">
      <c r="D80" s="49" t="str">
        <f>IF(Flight!$A$68=0,"",Flight!$A$68)</f>
        <v/>
      </c>
      <c r="E80" s="163"/>
      <c r="F80" s="164" t="str">
        <f>IF(D80="","",VLOOKUP(D80,Flight!$A$68:$C$91,3,FALSE))</f>
        <v/>
      </c>
    </row>
    <row r="81" spans="4:6">
      <c r="D81" s="49" t="str">
        <f>IF(Flight!$A69=0,"",Flight!$A69)</f>
        <v/>
      </c>
      <c r="F81" s="164" t="str">
        <f>IF(D81="","",VLOOKUP(D81,Flight!$A$68:$C$91,3,FALSE))</f>
        <v/>
      </c>
    </row>
    <row r="82" spans="4:6">
      <c r="D82" s="49" t="str">
        <f>IF(Flight!$A71=0,"",Flight!$A71)</f>
        <v>3A031</v>
      </c>
      <c r="F82" s="164" t="str">
        <f>IF(D82="","",VLOOKUP(D82,Flight!$A$68:$C$91,3,FALSE))</f>
        <v>ZTI</v>
      </c>
    </row>
    <row r="83" spans="4:6">
      <c r="D83" s="49" t="str">
        <f>IF(Flight!$A72=0,"",Flight!$A72)</f>
        <v>3A003</v>
      </c>
      <c r="F83" s="164" t="str">
        <f>IF(D83="","",VLOOKUP(D83,Flight!$A$68:$C$91,3,FALSE))</f>
        <v>ZYK</v>
      </c>
    </row>
    <row r="84" spans="4:6">
      <c r="D84" s="49" t="str">
        <f>IF(Flight!$A73=0,"",Flight!$A73)</f>
        <v>3A005</v>
      </c>
      <c r="F84" s="164" t="str">
        <f>IF(D84="","",VLOOKUP(D84,Flight!$A$68:$C$91,3,FALSE))</f>
        <v>HKM</v>
      </c>
    </row>
    <row r="85" spans="4:6">
      <c r="D85" s="49" t="str">
        <f>IF(Flight!$A74=0,"",Flight!$A74)</f>
        <v>3A007</v>
      </c>
      <c r="F85" s="164" t="str">
        <f>IF(D85="","",VLOOKUP(D85,Flight!$A$68:$C$91,3,FALSE))</f>
        <v>ZYK</v>
      </c>
    </row>
    <row r="86" spans="4:6">
      <c r="D86" s="49" t="str">
        <f>IF(Flight!$A75=0,"",Flight!$A75)</f>
        <v>3A008</v>
      </c>
      <c r="F86" s="164" t="str">
        <f>IF(D86="","",VLOOKUP(D86,Flight!$A$68:$C$91,3,FALSE))</f>
        <v>ZYK</v>
      </c>
    </row>
    <row r="87" spans="4:6">
      <c r="D87" s="49" t="str">
        <f>IF(Flight!$A76=0,"",Flight!$A76)</f>
        <v>3A009</v>
      </c>
      <c r="F87" s="164" t="str">
        <f>IF(D87="","",VLOOKUP(D87,Flight!$A$68:$C$91,3,FALSE))</f>
        <v>ZYK</v>
      </c>
    </row>
    <row r="88" spans="4:6">
      <c r="D88" s="49" t="str">
        <f>IF(Flight!$A77=0,"",Flight!$A77)</f>
        <v>3A010</v>
      </c>
      <c r="F88" s="164" t="str">
        <f>IF(D88="","",VLOOKUP(D88,Flight!$A$68:$C$91,3,FALSE))</f>
        <v>ZYK</v>
      </c>
    </row>
    <row r="89" spans="4:6">
      <c r="D89" s="49" t="str">
        <f>IF(Flight!$A78=0,"",Flight!$A78)</f>
        <v/>
      </c>
      <c r="F89" s="164" t="str">
        <f>IF(D89="","",VLOOKUP(D89,Flight!$A$68:$C$91,3,FALSE))</f>
        <v/>
      </c>
    </row>
    <row r="90" spans="4:6">
      <c r="D90" s="49" t="str">
        <f>IF(Flight!$A80=0,"",Flight!$A80)</f>
        <v>8S7121</v>
      </c>
      <c r="F90" s="164" t="str">
        <f>IF(D90="","",VLOOKUP(D90,Flight!$A$68:$C$91,3,FALSE))</f>
        <v>HKM</v>
      </c>
    </row>
    <row r="91" spans="4:6">
      <c r="D91" s="49" t="str">
        <f>IF(Flight!$A81=0,"",Flight!$A81)</f>
        <v>8S7108</v>
      </c>
      <c r="F91" s="164" t="str">
        <f>IF(D91="","",VLOOKUP(D91,Flight!$A$68:$C$91,3,FALSE))</f>
        <v>ZYK</v>
      </c>
    </row>
    <row r="92" spans="4:6">
      <c r="D92" s="49" t="str">
        <f>IF(Flight!$A82=0,"",Flight!$A82)</f>
        <v>8S7111</v>
      </c>
      <c r="F92" s="164" t="str">
        <f>IF(D92="","",VLOOKUP(D92,Flight!$A$68:$C$91,3,FALSE))</f>
        <v>ZYK</v>
      </c>
    </row>
    <row r="93" spans="4:6">
      <c r="D93" s="49" t="str">
        <f>IF(Flight!$A83=0,"",Flight!$A83)</f>
        <v>8S7131</v>
      </c>
      <c r="F93" s="164" t="str">
        <f>IF(D93="","",VLOOKUP(D93,Flight!$A$68:$C$91,3,FALSE))</f>
        <v>?</v>
      </c>
    </row>
    <row r="94" spans="4:6">
      <c r="D94" s="49" t="str">
        <f>IF(Flight!$A84=0,"",Flight!$A84)</f>
        <v>8S7119</v>
      </c>
      <c r="F94" s="164" t="str">
        <f>IF(D94="","",VLOOKUP(D94,Flight!$A$68:$C$91,3,FALSE))</f>
        <v>HKM</v>
      </c>
    </row>
    <row r="95" spans="4:6">
      <c r="D95" s="49" t="str">
        <f>IF(Flight!$A85=0,"",Flight!$A85)</f>
        <v>8S7126</v>
      </c>
      <c r="F95" s="164" t="str">
        <f>IF(D95="","",VLOOKUP(D95,Flight!$A$68:$C$91,3,FALSE))</f>
        <v>HKM</v>
      </c>
    </row>
    <row r="96" spans="4:6">
      <c r="D96" s="49" t="str">
        <f>IF(Flight!$A86=0,"",Flight!$A86)</f>
        <v>8S7128</v>
      </c>
      <c r="F96" s="164" t="str">
        <f>IF(D96="","",VLOOKUP(D96,Flight!$A$68:$C$91,3,FALSE))</f>
        <v>HKM</v>
      </c>
    </row>
    <row r="97" spans="4:6">
      <c r="D97" s="49" t="str">
        <f>IF(Flight!$A87=0,"",Flight!$A87)</f>
        <v>3A8010</v>
      </c>
      <c r="F97" s="164" t="str">
        <f>IF(D97="","",VLOOKUP(D97,Flight!$A$68:$C$91,3,FALSE))</f>
        <v>HZI</v>
      </c>
    </row>
    <row r="98" spans="4:6">
      <c r="D98" s="49" t="str">
        <f>IF(Flight!$A88=0,"",Flight!$A88)</f>
        <v>3A8015</v>
      </c>
      <c r="F98" s="164" t="str">
        <f>IF(D98="","",VLOOKUP(D98,Flight!$A$68:$C$91,3,FALSE))</f>
        <v>?</v>
      </c>
    </row>
    <row r="99" spans="4:6">
      <c r="D99" s="49" t="str">
        <f>IF(Flight!$A89=0,"",Flight!$A89)</f>
        <v>3A8016</v>
      </c>
      <c r="F99" s="164" t="str">
        <f>IF(D99="","",VLOOKUP(D99,Flight!$A$68:$C$91,3,FALSE))</f>
        <v>HZI</v>
      </c>
    </row>
    <row r="100" spans="4:6">
      <c r="D100" s="49" t="str">
        <f>IF(Flight!$A91=0,"",Flight!$A91)</f>
        <v xml:space="preserve">Last </v>
      </c>
      <c r="F100" s="164" t="str">
        <f>IF(D100="","",VLOOKUP(D100,Flight!$A$68:$C$91,3,FALSE))</f>
        <v>↑</v>
      </c>
    </row>
    <row r="101" spans="4:6">
      <c r="D101" s="49" t="str">
        <f>IF(Flight!$A92=0,"",Flight!$A92)</f>
        <v/>
      </c>
      <c r="F101" s="164" t="str">
        <f>IF(D101="","",VLOOKUP(D101,Flight!$A$68:$C$91,3,FALSE))</f>
        <v/>
      </c>
    </row>
    <row r="102" spans="4:6">
      <c r="D102" s="186"/>
      <c r="F102" s="187"/>
    </row>
    <row r="103" spans="4:6">
      <c r="D103" s="406" t="str">
        <f>IF(Flight!$A$93=0,"",Flight!$A$93)</f>
        <v>Target Flight</v>
      </c>
      <c r="E103" s="406"/>
      <c r="F103" s="406"/>
    </row>
    <row r="104" spans="4:6">
      <c r="D104" s="27" t="s">
        <v>59</v>
      </c>
      <c r="E104" s="158"/>
      <c r="F104" s="10" t="s">
        <v>38</v>
      </c>
    </row>
    <row r="105" spans="4:6">
      <c r="D105" s="27" t="s">
        <v>89</v>
      </c>
      <c r="E105" s="158"/>
      <c r="F105" s="10" t="s">
        <v>38</v>
      </c>
    </row>
    <row r="106" spans="4:6">
      <c r="D106" s="27" t="s">
        <v>254</v>
      </c>
      <c r="E106" s="158"/>
      <c r="F106" s="10" t="s">
        <v>38</v>
      </c>
    </row>
    <row r="107" spans="4:6">
      <c r="D107" s="27" t="s">
        <v>57</v>
      </c>
      <c r="E107" s="158"/>
      <c r="F107" s="10" t="s">
        <v>58</v>
      </c>
    </row>
    <row r="108" spans="4:6">
      <c r="D108" s="27" t="s">
        <v>198</v>
      </c>
      <c r="E108" s="158"/>
      <c r="F108" s="10" t="s">
        <v>199</v>
      </c>
    </row>
    <row r="109" spans="4:6">
      <c r="D109" s="27" t="s">
        <v>55</v>
      </c>
      <c r="E109" s="158"/>
      <c r="F109" s="10" t="s">
        <v>54</v>
      </c>
    </row>
    <row r="110" spans="4:6">
      <c r="D110" s="27" t="s">
        <v>39</v>
      </c>
      <c r="E110" s="158"/>
      <c r="F110" s="10" t="s">
        <v>38</v>
      </c>
    </row>
    <row r="111" spans="4:6">
      <c r="D111" s="27" t="s">
        <v>200</v>
      </c>
      <c r="E111" s="158"/>
      <c r="F111" s="10" t="s">
        <v>54</v>
      </c>
    </row>
    <row r="112" spans="4:6">
      <c r="D112" s="27" t="s">
        <v>201</v>
      </c>
      <c r="E112" s="158"/>
      <c r="F112" s="10" t="s">
        <v>38</v>
      </c>
    </row>
    <row r="113" spans="4:6">
      <c r="D113" s="161"/>
      <c r="E113" s="158"/>
      <c r="F113" s="159"/>
    </row>
    <row r="114" spans="4:6">
      <c r="D114" s="161"/>
      <c r="E114" s="158"/>
      <c r="F114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5:E45"/>
    <mergeCell ref="G45:H45"/>
    <mergeCell ref="I45:J45"/>
    <mergeCell ref="K44:M44"/>
    <mergeCell ref="H6:H7"/>
    <mergeCell ref="I6:I7"/>
    <mergeCell ref="J6:J7"/>
    <mergeCell ref="K6:M6"/>
    <mergeCell ref="A41:F41"/>
    <mergeCell ref="I41:M42"/>
    <mergeCell ref="A42:H42"/>
    <mergeCell ref="A6:A7"/>
    <mergeCell ref="B6:C6"/>
    <mergeCell ref="D6:D7"/>
    <mergeCell ref="E6:E7"/>
    <mergeCell ref="F6:F7"/>
    <mergeCell ref="A43:H43"/>
    <mergeCell ref="A44:B44"/>
    <mergeCell ref="D44:E44"/>
    <mergeCell ref="G44:H44"/>
    <mergeCell ref="I44:J44"/>
    <mergeCell ref="K45:M45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G46:H46"/>
    <mergeCell ref="I46:J46"/>
    <mergeCell ref="A45:B45"/>
    <mergeCell ref="D52:E52"/>
    <mergeCell ref="F52:G52"/>
    <mergeCell ref="H52:I52"/>
    <mergeCell ref="D49:I49"/>
    <mergeCell ref="K49:M49"/>
    <mergeCell ref="A51:B51"/>
    <mergeCell ref="C51:E51"/>
    <mergeCell ref="F51:G51"/>
    <mergeCell ref="H51:I51"/>
    <mergeCell ref="K51:M51"/>
    <mergeCell ref="D103:F103"/>
    <mergeCell ref="A53:B53"/>
    <mergeCell ref="C53:E53"/>
    <mergeCell ref="H53:I53"/>
    <mergeCell ref="C54:H54"/>
    <mergeCell ref="I55:J55"/>
    <mergeCell ref="D79:F79"/>
  </mergeCells>
  <phoneticPr fontId="2" type="noConversion"/>
  <conditionalFormatting sqref="H8:H14 E8:E40 H16:H40">
    <cfRule type="cellIs" dxfId="59" priority="5" operator="equal">
      <formula>""</formula>
    </cfRule>
  </conditionalFormatting>
  <conditionalFormatting sqref="F60:H77">
    <cfRule type="cellIs" dxfId="58" priority="4" operator="equal">
      <formula>"?"</formula>
    </cfRule>
  </conditionalFormatting>
  <conditionalFormatting sqref="D40:D997">
    <cfRule type="duplicateValues" dxfId="57" priority="153"/>
  </conditionalFormatting>
  <conditionalFormatting sqref="H15">
    <cfRule type="cellIs" dxfId="56" priority="1" operator="equal">
      <formula>""</formula>
    </cfRule>
  </conditionalFormatting>
  <conditionalFormatting sqref="D8:D39">
    <cfRule type="duplicateValues" dxfId="55" priority="190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Staff!$G$2:$G$9</xm:f>
          </x14:formula1>
          <xm:sqref>K44:M45</xm:sqref>
        </x14:dataValidation>
        <x14:dataValidation type="list" allowBlank="1" showInputMessage="1">
          <x14:formula1>
            <xm:f>Staff!$G$12:$G$52</xm:f>
          </x14:formula1>
          <xm:sqref>G47:I48</xm:sqref>
        </x14:dataValidation>
        <x14:dataValidation type="list" allowBlank="1" showInputMessage="1">
          <x14:formula1>
            <xm:f>Staff!$G$23:$G$52</xm:f>
          </x14:formula1>
          <xm:sqref>K47:M51</xm:sqref>
        </x14:dataValidation>
        <x14:dataValidation type="list" allowBlank="1" showInputMessage="1">
          <x14:formula1>
            <xm:f>Staff!$B$15:$B$39</xm:f>
          </x14:formula1>
          <xm:sqref>D44:E44</xm:sqref>
        </x14:dataValidation>
        <x14:dataValidation type="list" errorStyle="warning" allowBlank="1" showInputMessage="1">
          <x14:formula1>
            <xm:f>Staff!$B$15:$B$39</xm:f>
          </x14:formula1>
          <xm:sqref>D45:E45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4"/>
  <sheetViews>
    <sheetView view="pageBreakPreview" zoomScale="90" zoomScaleNormal="100" zoomScaleSheetLayoutView="90" workbookViewId="0">
      <selection activeCell="D32" sqref="D32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45765</v>
      </c>
      <c r="E1" s="355"/>
      <c r="F1" s="333" t="s">
        <v>23</v>
      </c>
      <c r="G1" s="110">
        <f>D1</f>
        <v>45765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S11(0) </v>
      </c>
      <c r="C4" s="367"/>
      <c r="D4" s="366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 &lt;S3(0)&gt;  S4(0) </v>
      </c>
      <c r="E4" s="367"/>
      <c r="F4" s="366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S2(0) </v>
      </c>
      <c r="G4" s="367"/>
      <c r="H4" s="366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S1(0) </v>
      </c>
      <c r="I4" s="367"/>
      <c r="J4" s="366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 &lt;S6(0)&gt;  S7(0) S8(0) </v>
      </c>
      <c r="K4" s="367"/>
      <c r="L4" s="366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S5(0)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0" si="0">IF($E8&lt;&gt;"",IF($E8-715&lt;0,VLOOKUP($B$3,$E$60:$J$71,6,FALSE),IF(AND($E8-2130&gt;0,_xlfn.IFNA(MATCH($D8,$D$104:$D$114,0)&lt;20,"")=TRUE),VLOOKUP($L$3,$E$60:$J$71,6,FALSE),"-")),"")</f>
        <v>S11</v>
      </c>
      <c r="C8" s="9" t="str">
        <f t="shared" ref="C8:C40" si="1">IF($E8&lt;&gt;"",IF(ISNUMBER(SEARCH("Hall Operation",$K8)),"-",IF($E8-715&lt;0,VLOOKUP($B$3,$E$60:$J$71,6,FALSE),IF($E8-2129&gt;0,VLOOKUP($L$3,$E$60:$J$71,6,FALSE),""))),"")</f>
        <v>-</v>
      </c>
      <c r="D8" s="165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0" si="2">IF($D8=0,"",IF(OR(ISNUMBER(SEARCH("S",$B8)),_xlfn.IFNA(MATCH($D8,$D$104:$D$114,0)&lt;20,"")=TRUE),"&lt;   Hall Operation   &gt;",""))</f>
        <v>&lt;   Hall Operation   &gt;</v>
      </c>
      <c r="L8" s="166"/>
      <c r="M8" s="166"/>
      <c r="N8" s="173"/>
    </row>
    <row r="9" spans="1:16" s="346" customFormat="1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S11</v>
      </c>
      <c r="C9" s="9" t="str">
        <f t="shared" si="1"/>
        <v>-</v>
      </c>
      <c r="D9" s="165" t="s">
        <v>961</v>
      </c>
      <c r="E9" s="172" t="s">
        <v>962</v>
      </c>
      <c r="F9" s="43"/>
      <c r="G9" s="43" t="str">
        <f>IF(A9="@",IF(H9="ZYK","Berth 3",IF(H9="HKM","Bay 7","")),"")</f>
        <v/>
      </c>
      <c r="H9" s="44" t="s">
        <v>963</v>
      </c>
      <c r="I9" s="44"/>
      <c r="J9" s="44"/>
      <c r="K9" s="166" t="str">
        <f t="shared" si="2"/>
        <v>&lt;   Hall Operation   &gt;</v>
      </c>
      <c r="L9" s="166"/>
      <c r="M9" s="166"/>
      <c r="N9" s="173"/>
      <c r="O9" s="112"/>
    </row>
    <row r="10" spans="1:16" ht="16.5" customHeight="1">
      <c r="A10" s="9">
        <f>IF($A7="S/N",1,IF($F10="Wavied","-",IF($D10=0,"",ROW($A10)-ROW($A$7)-COUNTIF($A$7:$A$8,"@")-COUNTIF($A$7:$A$8,"-"))))</f>
        <v>3</v>
      </c>
      <c r="B10" s="9" t="str">
        <f t="shared" si="0"/>
        <v>S11</v>
      </c>
      <c r="C10" s="9" t="str">
        <f t="shared" si="1"/>
        <v>-</v>
      </c>
      <c r="D10" s="165" t="s">
        <v>63</v>
      </c>
      <c r="E10" s="172" t="str">
        <f>IF($D10&gt;0,VLOOKUP($D10,Flight!$A$1:$E$91,2,FALSE),"")</f>
        <v>0545</v>
      </c>
      <c r="F10" s="45"/>
      <c r="G10" s="43" t="str">
        <f t="shared" ref="G10:G40" si="3">IF(A10="@",IF(H10="ZYK","Berth 3",IF(H10="HKM","Bay 7","")),"")</f>
        <v/>
      </c>
      <c r="H10" s="44" t="str">
        <f>IF($D10&gt;0,VLOOKUP($D10,Flight!$A$1:$E$91,3,FALSE),"")</f>
        <v>CGK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IF($A8="S/N",1,IF($F11="Wavied","-",IF($D11=0,"",ROW($A11)-ROW($A$7)-COUNTIF($A$7:$A$8,"@")-COUNTIF($A$7:$A$8,"-"))))</f>
        <v>4</v>
      </c>
      <c r="B11" s="9" t="str">
        <f t="shared" si="0"/>
        <v>S11</v>
      </c>
      <c r="C11" s="9" t="str">
        <f t="shared" si="1"/>
        <v>-</v>
      </c>
      <c r="D11" s="165" t="s">
        <v>238</v>
      </c>
      <c r="E11" s="172" t="str">
        <f>IF($D11&gt;0,VLOOKUP($D11,Flight!$A$1:$E$91,2,FALSE),"")</f>
        <v>0555</v>
      </c>
      <c r="F11" s="45"/>
      <c r="G11" s="43" t="str">
        <f t="shared" si="3"/>
        <v/>
      </c>
      <c r="H11" s="44" t="str">
        <f>IF($D11&gt;0,VLOOKUP($D11,Flight!$A$1:$E$91,3,FALSE),"")</f>
        <v>BKK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ref="A12:A40" si="4">IF($A10="S/N",1,IF($F12="Wavied","-",IF($D12=0,"",ROW($A12)-ROW($A$7)-COUNTIF($A$7:$A$8,"@")-COUNTIF($A$7:$A$8,"-"))))</f>
        <v>5</v>
      </c>
      <c r="B12" s="9" t="str">
        <f t="shared" si="0"/>
        <v>S11</v>
      </c>
      <c r="C12" s="9" t="str">
        <f t="shared" si="1"/>
        <v>-</v>
      </c>
      <c r="D12" s="217" t="s">
        <v>89</v>
      </c>
      <c r="E12" s="172" t="str">
        <f>IF($D12&gt;0,VLOOKUP($D12,Flight!$A$1:$E$91,2,FALSE),"")</f>
        <v>0615</v>
      </c>
      <c r="F12" s="43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si="4"/>
        <v>6</v>
      </c>
      <c r="B13" s="9" t="str">
        <f t="shared" si="0"/>
        <v>S11</v>
      </c>
      <c r="C13" s="9" t="str">
        <f t="shared" si="1"/>
        <v>-</v>
      </c>
      <c r="D13" s="217" t="s">
        <v>201</v>
      </c>
      <c r="E13" s="172" t="str">
        <f>IF($D13&gt;0,VLOOKUP($D13,Flight!$A$1:$E$91,2,FALSE),"")</f>
        <v>0640</v>
      </c>
      <c r="F13" s="45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6">
      <c r="A14" s="9">
        <f t="shared" si="4"/>
        <v>7</v>
      </c>
      <c r="B14" s="9" t="str">
        <f t="shared" si="0"/>
        <v>-</v>
      </c>
      <c r="C14" s="9" t="str">
        <f t="shared" si="1"/>
        <v>-</v>
      </c>
      <c r="D14" s="217" t="s">
        <v>39</v>
      </c>
      <c r="E14" s="172" t="str">
        <f>IF($D14&gt;0,VLOOKUP($D14,Flight!$A$1:$E$91,2,FALSE),"")</f>
        <v>0905</v>
      </c>
      <c r="F14" s="46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IF($D14&gt;0,IF(VLOOKUP($D14,Flight!$A$1:$E$91,4,FALSE)&gt;1,VLOOKUP($D14,Flight!$A$1:$E96,4,FALSE),""),"")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  <c r="P14" s="87"/>
    </row>
    <row r="15" spans="1:16">
      <c r="A15" s="9">
        <f t="shared" si="4"/>
        <v>8</v>
      </c>
      <c r="B15" s="9" t="str">
        <f t="shared" si="0"/>
        <v>-</v>
      </c>
      <c r="C15" s="9" t="str">
        <f t="shared" si="1"/>
        <v>-</v>
      </c>
      <c r="D15" s="217" t="s">
        <v>57</v>
      </c>
      <c r="E15" s="172" t="str">
        <f>IF($D15&gt;0,VLOOKUP($D15,Flight!$A$1:$E$91,2,FALSE),"")</f>
        <v>0935</v>
      </c>
      <c r="F15" s="46"/>
      <c r="G15" s="43" t="str">
        <f t="shared" si="3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IF($D15&gt;0,IF(VLOOKUP($D15,Flight!$A$1:$E$91,4,FALSE)&gt;1,VLOOKUP($D15,Flight!$A$1:$E97,4,FALSE),""),"")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>-</v>
      </c>
      <c r="D16" s="217" t="s">
        <v>198</v>
      </c>
      <c r="E16" s="172" t="str">
        <f>IF($D16&gt;0,VLOOKUP($D16,Flight!$A$1:$E$91,2,FALSE),"")</f>
        <v>0950</v>
      </c>
      <c r="F16" s="46"/>
      <c r="G16" s="43" t="str">
        <f t="shared" si="3"/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IF($D16&gt;0,IF(VLOOKUP($D16,Flight!$A$1:$E$91,4,FALSE)&gt;1,VLOOKUP($D16,Flight!$A$1:$E98,4,FALSE),""),"")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>
      <c r="A17" s="9">
        <f t="shared" si="4"/>
        <v>10</v>
      </c>
      <c r="B17" s="9" t="str">
        <f t="shared" si="0"/>
        <v>-</v>
      </c>
      <c r="C17" s="9" t="str">
        <f t="shared" si="1"/>
        <v>-</v>
      </c>
      <c r="D17" s="217" t="s">
        <v>55</v>
      </c>
      <c r="E17" s="172" t="str">
        <f>IF($D17&gt;0,VLOOKUP($D17,Flight!$A$1:$E$91,2,FALSE),"")</f>
        <v>0955</v>
      </c>
      <c r="F17" s="45"/>
      <c r="G17" s="43" t="str">
        <f t="shared" si="3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IF($D17&gt;0,IF(VLOOKUP($D17,Flight!$A$1:$E$91,4,FALSE)&gt;1,VLOOKUP($D17,Flight!$A$1:$E99,4,FALSE),""),"")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 ht="16.5" customHeight="1">
      <c r="A18" s="9">
        <f t="shared" si="4"/>
        <v>11</v>
      </c>
      <c r="B18" s="9" t="str">
        <f t="shared" si="0"/>
        <v>-</v>
      </c>
      <c r="C18" s="9" t="str">
        <f t="shared" si="1"/>
        <v/>
      </c>
      <c r="D18" s="27" t="s">
        <v>43</v>
      </c>
      <c r="E18" s="172" t="str">
        <f>IF($D18&gt;0,VLOOKUP($D18,Flight!$A$1:$E$91,2,FALSE),"")</f>
        <v>1000</v>
      </c>
      <c r="F18" s="45"/>
      <c r="G18" s="43" t="str">
        <f t="shared" si="3"/>
        <v/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IF($D18&gt;0,IF(VLOOKUP($D18,Flight!$A$1:$E$91,4,FALSE)&gt;1,VLOOKUP($D18,Flight!$A$1:$E100,4,FALSE),""),"")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>
        <f t="shared" si="4"/>
        <v>12</v>
      </c>
      <c r="B19" s="9" t="str">
        <f t="shared" si="0"/>
        <v>-</v>
      </c>
      <c r="C19" s="9" t="str">
        <f t="shared" si="1"/>
        <v/>
      </c>
      <c r="D19" s="27" t="s">
        <v>42</v>
      </c>
      <c r="E19" s="172" t="str">
        <f>IF($D19&gt;0,VLOOKUP($D19,Flight!$A$1:$E$91,2,FALSE),"")</f>
        <v>1010</v>
      </c>
      <c r="F19" s="45"/>
      <c r="G19" s="43" t="str">
        <f t="shared" si="3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IF($D19&gt;0,IF(VLOOKUP($D19,Flight!$A$1:$E$91,4,FALSE)&gt;1,VLOOKUP($D19,Flight!$A$1:$E101,4,FALSE),""),"")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27" t="s">
        <v>36</v>
      </c>
      <c r="E20" s="172" t="str">
        <f>IF($D20&gt;0,VLOOKUP($D20,Flight!$A$1:$E$91,2,FALSE),"")</f>
        <v>1115</v>
      </c>
      <c r="F20" s="45"/>
      <c r="G20" s="43" t="str">
        <f t="shared" si="3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IF($D20&gt;0,IF(VLOOKUP($D20,Flight!$A$1:$E$91,4,FALSE)&gt;1,VLOOKUP($D20,Flight!$A$1:$E102,4,FALSE),""),"")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27" t="s">
        <v>576</v>
      </c>
      <c r="E21" s="172" t="str">
        <f>IF($D21&gt;0,VLOOKUP($D21,Flight!$A$1:$E$91,2,FALSE),"")</f>
        <v>1145</v>
      </c>
      <c r="F21" s="45"/>
      <c r="G21" s="43" t="str">
        <f t="shared" si="3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IF($D21&gt;0,IF(VLOOKUP($D21,Flight!$A$1:$E$91,4,FALSE)&gt;1,VLOOKUP($D21,Flight!$A$1:$E103,4,FALSE),""),"")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 ht="15.75" customHeight="1">
      <c r="A22" s="9">
        <f t="shared" si="4"/>
        <v>15</v>
      </c>
      <c r="B22" s="9" t="str">
        <f t="shared" si="0"/>
        <v>-</v>
      </c>
      <c r="C22" s="9" t="str">
        <f t="shared" si="1"/>
        <v/>
      </c>
      <c r="D22" s="27" t="s">
        <v>456</v>
      </c>
      <c r="E22" s="172" t="str">
        <f>IF($D22&gt;0,VLOOKUP($D22,Flight!$A$1:$E$91,2,FALSE),"")</f>
        <v>1210</v>
      </c>
      <c r="F22" s="44"/>
      <c r="G22" s="43" t="str">
        <f t="shared" si="3"/>
        <v/>
      </c>
      <c r="H22" s="44" t="str">
        <f>IF($D22&gt;0,VLOOKUP($D22,Flight!$A$1:$E$91,3,FALSE),"")</f>
        <v>BKK</v>
      </c>
      <c r="I22" s="44" t="str">
        <f>IF($D22&gt;0,IF(VLOOKUP($D22,Flight!$A$1:$E$91,4,FALSE)&gt;1,VLOOKUP($D22,Flight!$A$1:$E104,4,FALSE),""),"")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27" t="s">
        <v>321</v>
      </c>
      <c r="E23" s="172" t="str">
        <f>IF($D23&gt;0,VLOOKUP($D23,Flight!$A$1:$E$91,2,FALSE),"")</f>
        <v>1305</v>
      </c>
      <c r="F23" s="44"/>
      <c r="G23" s="43" t="str">
        <f t="shared" si="3"/>
        <v/>
      </c>
      <c r="H23" s="44" t="str">
        <f>IF($D23&gt;0,VLOOKUP($D23,Flight!$A$1:$E$91,3,FALSE),"")</f>
        <v>DMK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>-</v>
      </c>
      <c r="D24" s="339" t="s">
        <v>59</v>
      </c>
      <c r="E24" s="172" t="str">
        <f>IF($D24&gt;0,VLOOKUP($D24,Flight!$A$1:$E$91,2,FALSE),"")</f>
        <v>1310</v>
      </c>
      <c r="F24" s="44"/>
      <c r="G24" s="43" t="str">
        <f t="shared" si="3"/>
        <v/>
      </c>
      <c r="H24" s="44" t="str">
        <f>IF($D24&gt;0,VLOOKUP($D24,Flight!$A$1:$E$91,3,FALSE),"")</f>
        <v>DEL</v>
      </c>
      <c r="I24" s="44" t="str">
        <f>IF($D24&gt;0,IF(VLOOKUP($D24,Flight!$A$1:$E$91,4,FALSE)&gt;1,VLOOKUP($D24,Flight!$A$1:$E106,4,FALSE),""),"")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>&lt;   Hall Operation   &gt;</v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1"/>
        <v/>
      </c>
      <c r="D25" s="9" t="s">
        <v>96</v>
      </c>
      <c r="E25" s="172" t="str">
        <f>IF($D25&gt;0,VLOOKUP($D25,Flight!$A$1:$E$91,2,FALSE),"")</f>
        <v>1415</v>
      </c>
      <c r="F25" s="45"/>
      <c r="G25" s="43" t="str">
        <f t="shared" si="3"/>
        <v/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IF($D25&gt;0,IF(VLOOKUP($D25,Flight!$A$1:$E$91,4,FALSE)&gt;1,VLOOKUP($D25,Flight!$A$1:$E107,4,FALSE),""),"")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/>
      </c>
      <c r="D26" s="9" t="s">
        <v>236</v>
      </c>
      <c r="E26" s="172" t="str">
        <f>IF($D26&gt;0,VLOOKUP($D26,Flight!$A$1:$E$91,2,FALSE),"")</f>
        <v>1420</v>
      </c>
      <c r="F26" s="45"/>
      <c r="G26" s="43" t="str">
        <f t="shared" si="3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IF($D26&gt;0,IF(VLOOKUP($D26,Flight!$A$1:$E$91,4,FALSE)&gt;1,VLOOKUP($D26,Flight!$A$1:$E108,4,FALSE),""),"")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 t="shared" si="4"/>
        <v>20</v>
      </c>
      <c r="B27" s="9" t="str">
        <f t="shared" si="0"/>
        <v>-</v>
      </c>
      <c r="C27" s="9" t="str">
        <f t="shared" si="1"/>
        <v/>
      </c>
      <c r="D27" s="27" t="s">
        <v>381</v>
      </c>
      <c r="E27" s="172" t="str">
        <f>IF($D27&gt;0,VLOOKUP($D27,Flight!$A$1:$E$91,2,FALSE),"")</f>
        <v>1510</v>
      </c>
      <c r="F27" s="45"/>
      <c r="G27" s="43" t="str">
        <f t="shared" si="3"/>
        <v/>
      </c>
      <c r="H27" s="44" t="str">
        <f>IF($D27&gt;0,VLOOKUP($D27,Flight!$A$1:$E$91,3,FALSE),"")</f>
        <v>DOH</v>
      </c>
      <c r="I27" s="44" t="str">
        <f>IF($D27&gt;0,IF(VLOOKUP($D27,Flight!$A$1:$E$91,4,FALSE)&gt;1,VLOOKUP($D27,Flight!$A$1:$E110,4,FALSE),""),"")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 t="shared" si="4"/>
        <v>21</v>
      </c>
      <c r="B28" s="9" t="str">
        <f t="shared" si="0"/>
        <v>-</v>
      </c>
      <c r="C28" s="9" t="str">
        <f t="shared" si="1"/>
        <v/>
      </c>
      <c r="D28" s="27" t="s">
        <v>91</v>
      </c>
      <c r="E28" s="172" t="str">
        <f>IF($D28&gt;0,VLOOKUP($D28,Flight!$A$1:$E$91,2,FALSE),"")</f>
        <v>1645</v>
      </c>
      <c r="F28" s="45"/>
      <c r="G28" s="43" t="str">
        <f t="shared" si="3"/>
        <v/>
      </c>
      <c r="H28" s="44" t="str">
        <f>IF($D28&gt;0,VLOOKUP($D28,Flight!$A$1:$E$91,3,FALSE),"")</f>
        <v>ADD</v>
      </c>
      <c r="I28" s="44" t="str">
        <f>IF($D28&gt;0,IF(VLOOKUP($D28,Flight!$A$1:$E$91,4,FALSE)&gt;1,VLOOKUP($D28,Flight!$A$1:$E111,4,FALSE),""),"")</f>
        <v>BKK</v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</row>
    <row r="29" spans="1:15">
      <c r="A29" s="9">
        <f t="shared" si="4"/>
        <v>22</v>
      </c>
      <c r="B29" s="9" t="str">
        <f t="shared" si="0"/>
        <v>-</v>
      </c>
      <c r="C29" s="9" t="str">
        <f t="shared" si="1"/>
        <v/>
      </c>
      <c r="D29" s="27" t="s">
        <v>382</v>
      </c>
      <c r="E29" s="172" t="str">
        <f>IF($D29&gt;0,VLOOKUP($D29,Flight!$A$1:$E$91,2,FALSE),"")</f>
        <v>1715</v>
      </c>
      <c r="F29" s="49"/>
      <c r="G29" s="43" t="str">
        <f t="shared" si="3"/>
        <v/>
      </c>
      <c r="H29" s="44" t="str">
        <f>IF($D29&gt;0,VLOOKUP($D29,Flight!$A$1:$E$91,3,FALSE),"")</f>
        <v>IST</v>
      </c>
      <c r="I29" s="44" t="str">
        <f>IF($D29&gt;0,IF(VLOOKUP($D29,Flight!$A$1:$E$91,4,FALSE)&gt;1,VLOOKUP($D29,Flight!$A$1:$E112,4,FALSE),""),"")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4"/>
        <v>23</v>
      </c>
      <c r="B30" s="9" t="str">
        <f t="shared" si="0"/>
        <v>-</v>
      </c>
      <c r="C30" s="9" t="str">
        <f t="shared" si="1"/>
        <v/>
      </c>
      <c r="D30" s="27" t="s">
        <v>398</v>
      </c>
      <c r="E30" s="172" t="str">
        <f>IF($D30&gt;0,VLOOKUP($D30,Flight!$A$1:$E$91,2,FALSE),"")</f>
        <v>1720</v>
      </c>
      <c r="F30" s="45"/>
      <c r="G30" s="43" t="str">
        <f t="shared" si="3"/>
        <v/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 s="349" customFormat="1">
      <c r="A31" s="9">
        <f t="shared" si="4"/>
        <v>24</v>
      </c>
      <c r="B31" s="9" t="str">
        <f t="shared" si="0"/>
        <v>-</v>
      </c>
      <c r="C31" s="9" t="str">
        <f t="shared" si="1"/>
        <v/>
      </c>
      <c r="D31" s="27" t="s">
        <v>1006</v>
      </c>
      <c r="E31" s="172" t="str">
        <f>IF($D31&gt;0,VLOOKUP($D31,Flight!$A$1:$E$91,2,FALSE),"")</f>
        <v>1745</v>
      </c>
      <c r="F31" s="45"/>
      <c r="G31" s="43" t="str">
        <f t="shared" ref="G31" si="5">IF(A31="@",IF(H31="ZYK","Berth 3",IF(H31="HKM","Bay 7","")),"")</f>
        <v/>
      </c>
      <c r="H31" s="44" t="str">
        <f>IF($D31&gt;0,VLOOKUP($D31,Flight!$A$1:$E$91,3,FALSE),"")</f>
        <v>BKK</v>
      </c>
      <c r="I31" s="44"/>
      <c r="J31" s="44"/>
      <c r="K31" s="166"/>
      <c r="L31" s="166"/>
      <c r="M31" s="166"/>
      <c r="O31" s="112"/>
    </row>
    <row r="32" spans="1:15">
      <c r="A32" s="9">
        <f>IF($A29="S/N",1,IF($F32="Wavied","-",IF($D32=0,"",ROW($A32)-ROW($A$7)-COUNTIF($A$7:$A$8,"@")-COUNTIF($A$7:$A$8,"-"))))</f>
        <v>25</v>
      </c>
      <c r="B32" s="9" t="str">
        <f t="shared" si="0"/>
        <v>-</v>
      </c>
      <c r="C32" s="9" t="str">
        <f t="shared" si="1"/>
        <v/>
      </c>
      <c r="D32" s="27" t="s">
        <v>78</v>
      </c>
      <c r="E32" s="172" t="str">
        <f>IF($D32&gt;0,VLOOKUP($D32,Flight!$A$1:$E$91,2,FALSE),"")</f>
        <v>1755</v>
      </c>
      <c r="F32" s="45"/>
      <c r="G32" s="43" t="str">
        <f t="shared" si="3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IF($D32&gt;0,IF(VLOOKUP($D32,Flight!$A$1:$E$91,4,FALSE)&gt;1,VLOOKUP($D32,Flight!$A$1:$E114,4,FALSE),""),"")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ref="K32:K40" si="6">IF($D32=0,"",IF(OR(ISNUMBER(SEARCH("S",$B32)),_xlfn.IFNA(MATCH($D32,$D$104:$D$114,0)&lt;20,"")=TRUE),"&lt;   Hall Operation   &gt;",""))</f>
        <v/>
      </c>
      <c r="L32" s="166"/>
      <c r="M32" s="166"/>
    </row>
    <row r="33" spans="1:18">
      <c r="A33" s="9">
        <f>IF($A30="S/N",1,IF($F33="Wavied","-",IF($D33=0,"",ROW($A33)-ROW($A$7)-COUNTIF($A$7:$A$8,"@")-COUNTIF($A$7:$A$8,"-"))))</f>
        <v>26</v>
      </c>
      <c r="B33" s="9" t="str">
        <f t="shared" si="0"/>
        <v>-</v>
      </c>
      <c r="C33" s="9" t="str">
        <f t="shared" si="1"/>
        <v/>
      </c>
      <c r="D33" s="27" t="s">
        <v>68</v>
      </c>
      <c r="E33" s="172" t="str">
        <f>IF($D33&gt;0,VLOOKUP($D33,Flight!$A$1:$E$91,2,FALSE),"")</f>
        <v>1805</v>
      </c>
      <c r="F33" s="46"/>
      <c r="G33" s="43" t="str">
        <f t="shared" si="3"/>
        <v/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IF($D33&gt;0,IF(VLOOKUP($D33,Flight!$A$1:$E$91,4,FALSE)&gt;1,VLOOKUP($D33,Flight!$A$1:$E115,4,FALSE),""),"")</f>
        <v>BKK</v>
      </c>
      <c r="J33" s="44" t="str">
        <f>IF($D33&gt;0,IF(VLOOKUP($D33,Flight!$A$1:$E$91,5,FALSE)&gt;1,VLOOKUP($D33,Flight!$A$1:$E$91,5,FALSE),""),"")</f>
        <v/>
      </c>
      <c r="K33" s="166" t="str">
        <f t="shared" si="6"/>
        <v/>
      </c>
      <c r="L33" s="166"/>
      <c r="M33" s="166"/>
    </row>
    <row r="34" spans="1:18">
      <c r="A34" s="9">
        <f t="shared" si="4"/>
        <v>27</v>
      </c>
      <c r="B34" s="9" t="str">
        <f t="shared" si="0"/>
        <v>-</v>
      </c>
      <c r="C34" s="9" t="str">
        <f t="shared" si="1"/>
        <v/>
      </c>
      <c r="D34" s="27" t="s">
        <v>385</v>
      </c>
      <c r="E34" s="172" t="str">
        <f>IF($D34&gt;0,VLOOKUP($D34,Flight!$A$1:$E$91,2,FALSE),"")</f>
        <v>1810</v>
      </c>
      <c r="F34" s="45"/>
      <c r="G34" s="43" t="str">
        <f t="shared" si="3"/>
        <v/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IF($D34&gt;0,IF(VLOOKUP($D34,Flight!$A$1:$E$91,4,FALSE)&gt;1,VLOOKUP($D34,Flight!$A$1:$E116,4,FALSE),""),"")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6"/>
        <v/>
      </c>
      <c r="L34" s="166"/>
      <c r="M34" s="166"/>
    </row>
    <row r="35" spans="1:18">
      <c r="A35" s="9">
        <f t="shared" si="4"/>
        <v>28</v>
      </c>
      <c r="B35" s="9" t="str">
        <f t="shared" si="0"/>
        <v>-</v>
      </c>
      <c r="C35" s="9" t="str">
        <f t="shared" si="1"/>
        <v/>
      </c>
      <c r="D35" s="27" t="s">
        <v>203</v>
      </c>
      <c r="E35" s="172" t="str">
        <f>IF($D35&gt;0,VLOOKUP($D35,Flight!$A$1:$E$91,2,FALSE),"")</f>
        <v>1820</v>
      </c>
      <c r="F35" s="45"/>
      <c r="G35" s="43" t="str">
        <f t="shared" si="3"/>
        <v/>
      </c>
      <c r="H35" s="44" t="str">
        <f>IF($D35&gt;0,VLOOKUP($D35,Flight!$A$1:$E$91,3,FALSE),"")</f>
        <v>SIN</v>
      </c>
      <c r="I35" s="44" t="str">
        <f>IF($D35&gt;0,IF(VLOOKUP($D35,Flight!$A$1:$E$91,4,FALSE)&gt;1,VLOOKUP($D35,Flight!$A$1:$E117,4,FALSE),""),"")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P35" s="84"/>
    </row>
    <row r="36" spans="1:18" ht="16.5">
      <c r="A36" s="9">
        <f t="shared" si="4"/>
        <v>29</v>
      </c>
      <c r="B36" s="9" t="str">
        <f t="shared" si="0"/>
        <v>-</v>
      </c>
      <c r="C36" s="9" t="str">
        <f t="shared" si="1"/>
        <v/>
      </c>
      <c r="D36" s="27" t="s">
        <v>72</v>
      </c>
      <c r="E36" s="172" t="str">
        <f>IF($D36&gt;0,VLOOKUP($D36,Flight!$A$1:$E$91,2,FALSE),"")</f>
        <v>1950</v>
      </c>
      <c r="F36" s="45"/>
      <c r="G36" s="43" t="str">
        <f t="shared" si="3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4"/>
      <c r="P36" s="88"/>
      <c r="Q36" s="4"/>
      <c r="R36" s="4"/>
    </row>
    <row r="37" spans="1:18">
      <c r="A37" s="9">
        <f t="shared" si="4"/>
        <v>30</v>
      </c>
      <c r="B37" s="9" t="str">
        <f t="shared" si="0"/>
        <v>-</v>
      </c>
      <c r="C37" s="9" t="str">
        <f t="shared" si="1"/>
        <v/>
      </c>
      <c r="D37" s="27" t="s">
        <v>64</v>
      </c>
      <c r="E37" s="172" t="str">
        <f>IF($D37&gt;0,VLOOKUP($D37,Flight!$A$1:$E$91,2,FALSE),"")</f>
        <v>2030</v>
      </c>
      <c r="F37" s="45"/>
      <c r="G37" s="43" t="str">
        <f t="shared" si="3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4"/>
      <c r="P37" s="4"/>
      <c r="Q37" s="4"/>
      <c r="R37" s="4"/>
    </row>
    <row r="38" spans="1:18" ht="16.5">
      <c r="A38" s="9">
        <f t="shared" si="4"/>
        <v>31</v>
      </c>
      <c r="B38" s="9" t="str">
        <f t="shared" si="0"/>
        <v>-</v>
      </c>
      <c r="C38" s="9" t="str">
        <f t="shared" si="1"/>
        <v>S5</v>
      </c>
      <c r="D38" s="27" t="s">
        <v>50</v>
      </c>
      <c r="E38" s="172" t="str">
        <f>IF($D38&gt;0,VLOOKUP($D38,Flight!$A$1:$E$91,2,FALSE),"")</f>
        <v>2155</v>
      </c>
      <c r="F38" s="45"/>
      <c r="G38" s="43" t="str">
        <f t="shared" si="3"/>
        <v/>
      </c>
      <c r="H38" s="44" t="str">
        <f>IF($D38&gt;0,VLOOKUP($D38,Flight!$A$1:$E$91,3,FALSE),"")</f>
        <v>DOH</v>
      </c>
      <c r="I38" s="44" t="str">
        <f>IF($D38&gt;0,IF(VLOOKUP($D38,Flight!$A$1:$E$91,4,FALSE)&gt;1,VLOOKUP($D38,Flight!$A$1:$E122,4,FALSE),""),"")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6"/>
      <c r="O38" s="4"/>
      <c r="P38" s="89"/>
      <c r="Q38" s="4"/>
      <c r="R38" s="4"/>
    </row>
    <row r="39" spans="1:18" ht="16.5">
      <c r="A39" s="9">
        <f t="shared" si="4"/>
        <v>32</v>
      </c>
      <c r="B39" s="9" t="str">
        <f t="shared" si="0"/>
        <v>-</v>
      </c>
      <c r="C39" s="9" t="str">
        <f t="shared" si="1"/>
        <v>S5</v>
      </c>
      <c r="D39" s="27" t="s">
        <v>77</v>
      </c>
      <c r="E39" s="172" t="str">
        <f>IF($D39&gt;0,VLOOKUP($D39,Flight!$A$1:$E$91,2,FALSE),"")</f>
        <v>2320</v>
      </c>
      <c r="F39" s="45"/>
      <c r="G39" s="43" t="str">
        <f t="shared" si="3"/>
        <v/>
      </c>
      <c r="H39" s="44" t="str">
        <f>IF($D39&gt;0,VLOOKUP($D39,Flight!$A$1:$E$91,3,FALSE),"")</f>
        <v>BKK</v>
      </c>
      <c r="I39" s="44" t="str">
        <f>IF($D39&gt;0,IF(VLOOKUP($D39,Flight!$A$1:$E$91,4,FALSE)&gt;1,VLOOKUP($D39,Flight!$A$1:$E123,4,FALSE),""),"")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 t="str">
        <f t="shared" si="4"/>
        <v/>
      </c>
      <c r="B40" s="9" t="str">
        <f t="shared" si="0"/>
        <v/>
      </c>
      <c r="C40" s="9" t="str">
        <f t="shared" si="1"/>
        <v/>
      </c>
      <c r="D40" s="27"/>
      <c r="E40" s="172" t="str">
        <f>IF($D40&gt;0,VLOOKUP($D40,Flight!$A$1:$E$91,2,FALSE),"")</f>
        <v/>
      </c>
      <c r="F40" s="45"/>
      <c r="G40" s="43" t="str">
        <f t="shared" si="3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IF($D40&gt;0,IF(VLOOKUP($D40,Flight!$A$1:$E$91,4,FALSE)&gt;1,VLOOKUP($D40,Flight!$A$1:$E124,4,FALSE),""),"")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>
      <c r="A41" s="376" t="s">
        <v>5</v>
      </c>
      <c r="B41" s="376"/>
      <c r="C41" s="376"/>
      <c r="D41" s="376"/>
      <c r="E41" s="376"/>
      <c r="F41" s="376"/>
      <c r="G41" s="50"/>
      <c r="H41" s="321" t="s">
        <v>40</v>
      </c>
      <c r="I41" s="377"/>
      <c r="J41" s="377"/>
      <c r="K41" s="377"/>
      <c r="L41" s="377"/>
      <c r="M41" s="377"/>
      <c r="N41" s="5"/>
    </row>
    <row r="42" spans="1:18">
      <c r="A42" s="379" t="s">
        <v>35</v>
      </c>
      <c r="B42" s="379"/>
      <c r="C42" s="379" t="s">
        <v>31</v>
      </c>
      <c r="D42" s="379"/>
      <c r="E42" s="379"/>
      <c r="F42" s="379"/>
      <c r="G42" s="379"/>
      <c r="H42" s="379"/>
      <c r="I42" s="378"/>
      <c r="J42" s="378"/>
      <c r="K42" s="378"/>
      <c r="L42" s="378"/>
      <c r="M42" s="378"/>
    </row>
    <row r="43" spans="1:18">
      <c r="A43" s="379"/>
      <c r="B43" s="379"/>
      <c r="C43" s="379"/>
      <c r="D43" s="379"/>
      <c r="E43" s="379"/>
      <c r="F43" s="379"/>
      <c r="G43" s="379"/>
      <c r="H43" s="379"/>
      <c r="I43" s="51"/>
      <c r="J43" s="51"/>
      <c r="K43" s="6"/>
      <c r="L43" s="6"/>
      <c r="M43" s="6"/>
    </row>
    <row r="44" spans="1:18">
      <c r="A44" s="389" t="s">
        <v>216</v>
      </c>
      <c r="B44" s="389"/>
      <c r="C44" s="323" t="str">
        <f>VLOOKUP($D$44,Staff!$B$2:$D$41,2,FALSE)</f>
        <v>CIA</v>
      </c>
      <c r="D44" s="375" t="str">
        <f>VLOOKUP(VLOOKUP($E$56,$E$60:$J$71,6,FALSE),Staff!$A$2:$D$13,2,FALSE)</f>
        <v>WO LO</v>
      </c>
      <c r="E44" s="375"/>
      <c r="F44" s="325" t="s">
        <v>215</v>
      </c>
      <c r="G44" s="390" t="str">
        <f>VLOOKUP($D$44,Staff!$B$2:$D$39,3,FALSE)</f>
        <v>9425 1098</v>
      </c>
      <c r="H44" s="390"/>
      <c r="I44" s="391" t="s">
        <v>223</v>
      </c>
      <c r="J44" s="391"/>
      <c r="K44" s="375" t="str">
        <f>IF(COUNTIF($E$60:$E$63,$E$56)&gt;0,Staff!$G$2,"")&amp;IF(COUNTIF($E$64:$E$67,$E$56)&gt;0,Staff!$G$3,"")&amp;IF(COUNTIF($E$68:$E$71,$E$56)&gt;0,Staff!$G$4,"")</f>
        <v>LIU, WAI FUN (F)</v>
      </c>
      <c r="L44" s="375"/>
      <c r="M44" s="375"/>
    </row>
    <row r="45" spans="1:18">
      <c r="A45" s="389" t="s">
        <v>217</v>
      </c>
      <c r="B45" s="389"/>
      <c r="C45" s="323" t="str">
        <f>VLOOKUP($D$45,Staff!$B$2:$D$41,2,FALSE)</f>
        <v>CIA</v>
      </c>
      <c r="D45" s="375" t="str">
        <f>VLOOKUP(VLOOKUP($E$57,$E$60:$J$71,6,FALSE),Staff!$A$2:$D$13,2,FALSE)</f>
        <v>CS YEUNG</v>
      </c>
      <c r="E45" s="375"/>
      <c r="F45" s="325" t="s">
        <v>215</v>
      </c>
      <c r="G45" s="390" t="str">
        <f>VLOOKUP($D$45,Staff!$B$2:$D$39,3,FALSE)</f>
        <v>9238 7181</v>
      </c>
      <c r="H45" s="390"/>
      <c r="I45" s="391" t="s">
        <v>224</v>
      </c>
      <c r="J45" s="391"/>
      <c r="K45" s="375" t="str">
        <f>IF(COUNTIF($E$60:$E$63,$E$57)&gt;0,Staff!$G$2,"")&amp;IF(COUNTIF($E$64:$E$67,$E$57)&gt;0,Staff!$G$3,"")&amp;IF(COUNTIF($E$68:$E$71,$E$57)&gt;0,Staff!$G$4,"")</f>
        <v>HO, KING KAI</v>
      </c>
      <c r="L45" s="375"/>
      <c r="M45" s="375"/>
    </row>
    <row r="46" spans="1:18">
      <c r="A46" s="329"/>
      <c r="B46" s="329"/>
      <c r="C46" s="327"/>
      <c r="D46" s="395"/>
      <c r="E46" s="395"/>
      <c r="F46" s="324"/>
      <c r="G46" s="396"/>
      <c r="H46" s="396"/>
      <c r="I46" s="390"/>
      <c r="J46" s="390"/>
      <c r="K46" s="143"/>
      <c r="L46" s="143"/>
      <c r="M46" s="143"/>
    </row>
    <row r="47" spans="1:18" s="112" customFormat="1">
      <c r="A47" s="397" t="s">
        <v>4</v>
      </c>
      <c r="B47" s="397"/>
      <c r="C47" s="396" t="s">
        <v>218</v>
      </c>
      <c r="D47" s="396"/>
      <c r="E47" s="396"/>
      <c r="F47" s="154" t="s">
        <v>213</v>
      </c>
      <c r="G47" s="398" t="str">
        <f>IF(COUNTIF($E$60:$E$63,$E$56)&gt;0,Staff!$G$14,"")&amp;IF(COUNTIF($E$64:$E$67,$E$56)&gt;0,Staff!$G$13,"")&amp;IF(COUNTIF($E$68:$E$71,$E$56)&gt;0,Staff!$G$12,"")</f>
        <v>HO, KWOK WUN D</v>
      </c>
      <c r="H47" s="398"/>
      <c r="I47" s="398"/>
      <c r="J47" s="333" t="s">
        <v>209</v>
      </c>
      <c r="K47" s="390" t="str">
        <f>VLOOKUP(VLOOKUP($B$3,$E$60:$J$71,6,FALSE),Staff!$F$22:$G$47,2,FALSE)</f>
        <v>MAK, KA WAI (F)</v>
      </c>
      <c r="L47" s="390"/>
      <c r="M47" s="390"/>
      <c r="N47" s="12"/>
      <c r="P47" s="330"/>
      <c r="Q47" s="330"/>
      <c r="R47" s="330"/>
    </row>
    <row r="48" spans="1:18" s="112" customFormat="1">
      <c r="A48" s="155"/>
      <c r="B48" s="155"/>
      <c r="C48" s="396" t="s">
        <v>219</v>
      </c>
      <c r="D48" s="396"/>
      <c r="E48" s="396"/>
      <c r="F48" s="154" t="s">
        <v>214</v>
      </c>
      <c r="G48" s="375" t="str">
        <f>IF(COUNTIF($E$60:$E$63,$E$57)&gt;0,Staff!$G$14,"")&amp;IF(COUNTIF($E$64:$E$67,$E$57)&gt;0,Staff!$G$13,"")&amp;IF(COUNTIF($E$68:$E$71,$E$57)&gt;0,Staff!$G$12,"")</f>
        <v>CHIU, OI YU (F)</v>
      </c>
      <c r="H48" s="375"/>
      <c r="I48" s="375"/>
      <c r="J48" s="333" t="s">
        <v>208</v>
      </c>
      <c r="K48" s="390"/>
      <c r="L48" s="390"/>
      <c r="M48" s="390"/>
      <c r="N48" s="330"/>
      <c r="P48" s="330"/>
      <c r="Q48" s="330"/>
      <c r="R48" s="330"/>
    </row>
    <row r="49" spans="1:18" s="112" customFormat="1">
      <c r="A49" s="320"/>
      <c r="B49" s="320"/>
      <c r="C49" s="327"/>
      <c r="D49" s="401"/>
      <c r="E49" s="401"/>
      <c r="F49" s="401"/>
      <c r="G49" s="401"/>
      <c r="H49" s="401"/>
      <c r="I49" s="401"/>
      <c r="J49" s="333" t="s">
        <v>210</v>
      </c>
      <c r="K49" s="390"/>
      <c r="L49" s="390"/>
      <c r="M49" s="390"/>
      <c r="N49" s="330"/>
      <c r="P49" s="330"/>
      <c r="Q49" s="330"/>
      <c r="R49" s="330"/>
    </row>
    <row r="50" spans="1:18" s="112" customFormat="1">
      <c r="A50" s="392" t="s">
        <v>3</v>
      </c>
      <c r="B50" s="393"/>
      <c r="C50" s="394" t="s">
        <v>220</v>
      </c>
      <c r="D50" s="394"/>
      <c r="E50" s="394"/>
      <c r="F50" s="397" t="s">
        <v>408</v>
      </c>
      <c r="G50" s="397"/>
      <c r="H50" s="397"/>
      <c r="I50" s="397"/>
      <c r="J50" s="333" t="s">
        <v>211</v>
      </c>
      <c r="K50" s="390"/>
      <c r="L50" s="390"/>
      <c r="M50" s="390"/>
      <c r="N50" s="330"/>
      <c r="P50" s="330"/>
      <c r="Q50" s="330"/>
      <c r="R50" s="330"/>
    </row>
    <row r="51" spans="1:18" s="112" customFormat="1">
      <c r="A51" s="393" t="s">
        <v>2</v>
      </c>
      <c r="B51" s="393"/>
      <c r="C51" s="411" t="s">
        <v>221</v>
      </c>
      <c r="D51" s="411"/>
      <c r="E51" s="411"/>
      <c r="F51" s="412" t="s">
        <v>1</v>
      </c>
      <c r="G51" s="412"/>
      <c r="H51" s="400" t="s">
        <v>409</v>
      </c>
      <c r="I51" s="400"/>
      <c r="J51" s="333" t="s">
        <v>212</v>
      </c>
      <c r="K51" s="390"/>
      <c r="L51" s="390"/>
      <c r="M51" s="390"/>
      <c r="N51" s="330"/>
      <c r="P51" s="330"/>
      <c r="Q51" s="330"/>
      <c r="R51" s="330"/>
    </row>
    <row r="52" spans="1:18" s="112" customFormat="1">
      <c r="A52" s="155"/>
      <c r="B52" s="155"/>
      <c r="C52" s="320"/>
      <c r="D52" s="399"/>
      <c r="E52" s="399"/>
      <c r="F52" s="391"/>
      <c r="G52" s="391"/>
      <c r="H52" s="400" t="s">
        <v>410</v>
      </c>
      <c r="I52" s="400"/>
      <c r="J52" s="326"/>
      <c r="K52" s="329"/>
      <c r="L52" s="329"/>
      <c r="M52" s="47"/>
      <c r="N52" s="330"/>
      <c r="P52" s="330"/>
      <c r="Q52" s="330"/>
      <c r="R52" s="330"/>
    </row>
    <row r="53" spans="1:18" s="112" customFormat="1" ht="16.5" customHeight="1">
      <c r="A53" s="392" t="s">
        <v>0</v>
      </c>
      <c r="B53" s="392"/>
      <c r="C53" s="407" t="s">
        <v>222</v>
      </c>
      <c r="D53" s="407"/>
      <c r="E53" s="407"/>
      <c r="F53" s="326"/>
      <c r="G53" s="333"/>
      <c r="H53" s="394" t="s">
        <v>411</v>
      </c>
      <c r="I53" s="394"/>
      <c r="J53" s="332"/>
      <c r="K53" s="329"/>
      <c r="L53" s="329"/>
      <c r="M53" s="47"/>
      <c r="N53" s="330"/>
      <c r="P53" s="330"/>
      <c r="Q53" s="330"/>
      <c r="R53" s="330"/>
    </row>
    <row r="54" spans="1:18" s="112" customFormat="1">
      <c r="A54" s="330"/>
      <c r="B54" s="330"/>
      <c r="C54" s="408"/>
      <c r="D54" s="408"/>
      <c r="E54" s="408"/>
      <c r="F54" s="408"/>
      <c r="G54" s="408"/>
      <c r="H54" s="408"/>
      <c r="I54" s="54"/>
      <c r="J54" s="53"/>
      <c r="M54" s="330"/>
      <c r="N54" s="330"/>
      <c r="P54" s="330"/>
      <c r="Q54" s="330"/>
      <c r="R54" s="330"/>
    </row>
    <row r="55" spans="1:18" s="112" customFormat="1" ht="16.5" thickBot="1">
      <c r="A55" s="3"/>
      <c r="B55" s="3"/>
      <c r="C55" s="3"/>
      <c r="D55" s="2"/>
      <c r="E55" s="39"/>
      <c r="F55" s="331"/>
      <c r="G55" s="331"/>
      <c r="H55" s="331"/>
      <c r="I55" s="409"/>
      <c r="J55" s="409"/>
      <c r="M55" s="330"/>
      <c r="N55" s="330"/>
      <c r="P55" s="330"/>
      <c r="Q55" s="330"/>
      <c r="R55" s="330"/>
    </row>
    <row r="56" spans="1:18" s="112" customFormat="1">
      <c r="A56" s="330"/>
      <c r="B56" s="330"/>
      <c r="C56" s="330"/>
      <c r="D56" s="330"/>
      <c r="E56" s="90" t="s">
        <v>133</v>
      </c>
      <c r="F56" s="91" t="s">
        <v>135</v>
      </c>
      <c r="G56" s="91"/>
      <c r="H56" s="92"/>
      <c r="I56" s="330"/>
      <c r="J56" s="330"/>
      <c r="K56" s="330"/>
      <c r="L56" s="330"/>
      <c r="M56" s="330"/>
      <c r="N56" s="330"/>
      <c r="P56" s="330"/>
      <c r="Q56" s="330"/>
      <c r="R56" s="330"/>
    </row>
    <row r="57" spans="1:18" s="112" customFormat="1" ht="16.5" thickBot="1">
      <c r="A57" s="330"/>
      <c r="B57" s="330"/>
      <c r="C57" s="330"/>
      <c r="D57" s="330"/>
      <c r="E57" s="93" t="s">
        <v>134</v>
      </c>
      <c r="F57" s="94" t="s">
        <v>136</v>
      </c>
      <c r="G57" s="94"/>
      <c r="H57" s="95"/>
      <c r="I57" s="330"/>
      <c r="J57" s="330"/>
      <c r="K57" s="330"/>
      <c r="L57" s="330"/>
      <c r="M57" s="330"/>
      <c r="N57" s="330"/>
      <c r="P57" s="330"/>
      <c r="Q57" s="330"/>
      <c r="R57" s="330"/>
    </row>
    <row r="58" spans="1:18" s="112" customFormat="1">
      <c r="A58" s="330"/>
      <c r="B58" s="330"/>
      <c r="C58" s="330"/>
      <c r="D58" s="330"/>
      <c r="E58" s="330"/>
      <c r="F58" s="330"/>
      <c r="G58" s="330"/>
      <c r="H58" s="330"/>
      <c r="I58" s="330"/>
      <c r="J58" s="330"/>
      <c r="K58" s="330"/>
      <c r="L58" s="330"/>
      <c r="M58" s="330"/>
      <c r="N58" s="330"/>
      <c r="P58" s="330"/>
      <c r="Q58" s="330"/>
      <c r="R58" s="330"/>
    </row>
    <row r="59" spans="1:18" s="112" customFormat="1" ht="16.5" thickBot="1">
      <c r="A59" s="330"/>
      <c r="B59" s="330"/>
      <c r="C59" s="330"/>
      <c r="D59" s="85" t="s">
        <v>132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98</v>
      </c>
      <c r="J59" s="330"/>
      <c r="K59" s="96" t="s">
        <v>302</v>
      </c>
      <c r="L59" s="96" t="s">
        <v>303</v>
      </c>
      <c r="M59" s="96"/>
      <c r="N59" s="330"/>
      <c r="P59" s="330"/>
      <c r="Q59" s="330"/>
      <c r="R59" s="330"/>
    </row>
    <row r="60" spans="1:18" s="112" customFormat="1">
      <c r="A60" s="330"/>
      <c r="B60" s="330"/>
      <c r="C60" s="330"/>
      <c r="D60" s="97" t="s">
        <v>86</v>
      </c>
      <c r="E60" s="98" t="str">
        <f>_xlfn.IFNA(VLOOKUP(MOD((($D$1-WEEKDAY($D$1,2)+1)-45523)/7+21,24),Shift!$A$2:$H$25,WEEKDAY($D$1,2)+1),VLOOKUP(24,Shift!$A$2:$H$25,WEEKDAY($D$1,2)+1))</f>
        <v>G1</v>
      </c>
      <c r="F60" s="98" t="str">
        <f>IF(OR($E60="L",$E60="L#"),0,"?")</f>
        <v>?</v>
      </c>
      <c r="G60" s="98" t="str">
        <f>IF(OR($E60="L",$E60="L#"),0,"?")</f>
        <v>?</v>
      </c>
      <c r="H60" s="98" t="str">
        <f>IF(OR($E60="L",$E60="L#"),0,"?")</f>
        <v>?</v>
      </c>
      <c r="I60" s="99">
        <f t="shared" ref="I60:I71" si="7">IF(OR($E60="L",$E60="L#"),0,SUM($F60:$H60))</f>
        <v>0</v>
      </c>
      <c r="J60" s="136" t="s">
        <v>86</v>
      </c>
      <c r="K60" s="112" t="str">
        <f>IF(AND($F60&gt;1,$F60&lt;&gt;"?"),$F60-1,"")</f>
        <v/>
      </c>
      <c r="L60" s="112" t="str">
        <f>IF(AND($G60&gt;1,$G60&lt;&gt;"?"),$G60-1,"")</f>
        <v/>
      </c>
      <c r="N60" s="330"/>
      <c r="P60" s="330"/>
      <c r="Q60" s="330"/>
      <c r="R60" s="330"/>
    </row>
    <row r="61" spans="1:18" s="112" customFormat="1">
      <c r="A61" s="330"/>
      <c r="B61" s="330"/>
      <c r="C61" s="330"/>
      <c r="D61" s="100" t="s">
        <v>85</v>
      </c>
      <c r="E61" s="101" t="str">
        <f>_xlfn.IFNA(VLOOKUP(MOD((($D$1-WEEKDAY($D$1,2)+1)-45523)/7+3,24),Shift!$A$2:$H$25,WEEKDAY($D$1,2)+1),VLOOKUP(24,Shift!$A$2:$H$25,WEEKDAY($D$1,2)+1))</f>
        <v>M1</v>
      </c>
      <c r="F61" s="101" t="str">
        <f t="shared" ref="F61:H71" si="8">IF(OR($E61="L",$E61="L#"),0,"?")</f>
        <v>?</v>
      </c>
      <c r="G61" s="101" t="str">
        <f t="shared" si="8"/>
        <v>?</v>
      </c>
      <c r="H61" s="101" t="str">
        <f t="shared" si="8"/>
        <v>?</v>
      </c>
      <c r="I61" s="102">
        <f t="shared" si="7"/>
        <v>0</v>
      </c>
      <c r="J61" s="137" t="s">
        <v>85</v>
      </c>
      <c r="K61" s="112" t="str">
        <f t="shared" ref="K61:K71" si="9">IF(AND($F61&gt;1,$F61&lt;&gt;"?"),$F61-1,"")</f>
        <v/>
      </c>
      <c r="L61" s="112" t="str">
        <f t="shared" ref="L61:L71" si="10">IF(AND($G61&gt;1,$G61&lt;&gt;"?"),$G61-1,"")</f>
        <v/>
      </c>
      <c r="N61" s="330"/>
      <c r="P61" s="330"/>
      <c r="Q61" s="330"/>
      <c r="R61" s="330"/>
    </row>
    <row r="62" spans="1:18" s="112" customFormat="1">
      <c r="A62" s="330"/>
      <c r="B62" s="330"/>
      <c r="C62" s="330"/>
      <c r="D62" s="100" t="s">
        <v>99</v>
      </c>
      <c r="E62" s="101" t="str">
        <f>_xlfn.IFNA(VLOOKUP(MOD((($D$1-WEEKDAY($D$1,2)+1)-45523)/7+9,24),Shift!$A$2:$H$25,WEEKDAY($D$1,2)+1),VLOOKUP(24,Shift!$A$2:$H$25,WEEKDAY($D$1,2)+1))</f>
        <v>M @</v>
      </c>
      <c r="F62" s="101" t="str">
        <f t="shared" si="8"/>
        <v>?</v>
      </c>
      <c r="G62" s="101" t="str">
        <f t="shared" si="8"/>
        <v>?</v>
      </c>
      <c r="H62" s="101" t="str">
        <f t="shared" si="8"/>
        <v>?</v>
      </c>
      <c r="I62" s="102">
        <f t="shared" si="7"/>
        <v>0</v>
      </c>
      <c r="J62" s="137" t="s">
        <v>99</v>
      </c>
      <c r="K62" s="112" t="str">
        <f t="shared" si="9"/>
        <v/>
      </c>
      <c r="L62" s="112" t="str">
        <f t="shared" si="10"/>
        <v/>
      </c>
      <c r="N62" s="330"/>
      <c r="P62" s="330"/>
      <c r="Q62" s="330"/>
      <c r="R62" s="330"/>
    </row>
    <row r="63" spans="1:18" ht="16.5" thickBot="1">
      <c r="D63" s="103" t="s">
        <v>100</v>
      </c>
      <c r="E63" s="104" t="str">
        <f>_xlfn.IFNA(VLOOKUP(MOD((($D$1-WEEKDAY($D$1,2)+1)-45523)/7+15,24),Shift!$A$2:$H$25,WEEKDAY($D$1,2)+1),VLOOKUP(24,Shift!$A$2:$H$25,WEEKDAY($D$1,2)+1))</f>
        <v>M</v>
      </c>
      <c r="F63" s="104" t="str">
        <f t="shared" si="8"/>
        <v>?</v>
      </c>
      <c r="G63" s="104" t="str">
        <f t="shared" si="8"/>
        <v>?</v>
      </c>
      <c r="H63" s="104" t="str">
        <f t="shared" si="8"/>
        <v>?</v>
      </c>
      <c r="I63" s="105">
        <f t="shared" si="7"/>
        <v>0</v>
      </c>
      <c r="J63" s="138" t="s">
        <v>100</v>
      </c>
      <c r="K63" s="112" t="str">
        <f t="shared" si="9"/>
        <v/>
      </c>
      <c r="L63" s="112" t="str">
        <f t="shared" si="10"/>
        <v/>
      </c>
      <c r="M63" s="112"/>
    </row>
    <row r="64" spans="1:18">
      <c r="D64" s="97" t="s">
        <v>101</v>
      </c>
      <c r="E64" s="98" t="str">
        <f>_xlfn.IFNA(VLOOKUP(MOD((($D$1-WEEKDAY($D$1,2)+1)-45523)/7+19,24),Shift!$A$2:$H$25,WEEKDAY($D$1,2)+1),VLOOKUP(24,Shift!$A$2:$H$25,WEEKDAY($D$1,2)+1))</f>
        <v>P4</v>
      </c>
      <c r="F64" s="98" t="str">
        <f t="shared" si="8"/>
        <v>?</v>
      </c>
      <c r="G64" s="98" t="str">
        <f t="shared" si="8"/>
        <v>?</v>
      </c>
      <c r="H64" s="98" t="str">
        <f t="shared" si="8"/>
        <v>?</v>
      </c>
      <c r="I64" s="99">
        <f t="shared" si="7"/>
        <v>0</v>
      </c>
      <c r="J64" s="136" t="s">
        <v>101</v>
      </c>
      <c r="K64" s="112" t="str">
        <f t="shared" si="9"/>
        <v/>
      </c>
      <c r="L64" s="112" t="str">
        <f t="shared" si="10"/>
        <v/>
      </c>
      <c r="M64" s="112"/>
    </row>
    <row r="65" spans="4:13">
      <c r="D65" s="100" t="s">
        <v>102</v>
      </c>
      <c r="E65" s="101" t="str">
        <f>_xlfn.IFNA(VLOOKUP(MOD((($D$1-WEEKDAY($D$1,2)+1)-45523)/7+1,24),Shift!$A$2:$H$25,WEEKDAY($D$1,2)+1),VLOOKUP(24,Shift!$A$2:$H$25,WEEKDAY($D$1,2)+1))</f>
        <v>P1 @</v>
      </c>
      <c r="F65" s="101" t="str">
        <f t="shared" si="8"/>
        <v>?</v>
      </c>
      <c r="G65" s="101" t="str">
        <f t="shared" si="8"/>
        <v>?</v>
      </c>
      <c r="H65" s="101" t="str">
        <f t="shared" si="8"/>
        <v>?</v>
      </c>
      <c r="I65" s="102">
        <f t="shared" si="7"/>
        <v>0</v>
      </c>
      <c r="J65" s="137" t="s">
        <v>102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100" t="s">
        <v>103</v>
      </c>
      <c r="E66" s="101" t="str">
        <f>_xlfn.IFNA(VLOOKUP(MOD((($D$1-WEEKDAY($D$1,2)+1)-45523)/7+7,24),Shift!$A$2:$H$25,WEEKDAY($D$1,2)+1),VLOOKUP(24,Shift!$A$2:$H$25,WEEKDAY($D$1,2)+1))</f>
        <v>P1</v>
      </c>
      <c r="F66" s="101" t="str">
        <f t="shared" si="8"/>
        <v>?</v>
      </c>
      <c r="G66" s="101" t="str">
        <f t="shared" si="8"/>
        <v>?</v>
      </c>
      <c r="H66" s="101" t="str">
        <f t="shared" si="8"/>
        <v>?</v>
      </c>
      <c r="I66" s="102">
        <f t="shared" si="7"/>
        <v>0</v>
      </c>
      <c r="J66" s="137" t="s">
        <v>103</v>
      </c>
      <c r="K66" s="112" t="str">
        <f t="shared" si="9"/>
        <v/>
      </c>
      <c r="L66" s="112" t="str">
        <f t="shared" si="10"/>
        <v/>
      </c>
      <c r="M66" s="112"/>
    </row>
    <row r="67" spans="4:13" ht="16.5" thickBot="1">
      <c r="D67" s="103" t="s">
        <v>104</v>
      </c>
      <c r="E67" s="104" t="str">
        <f>_xlfn.IFNA(VLOOKUP(MOD((($D$1-WEEKDAY($D$1,2)+1)-45523)/7+13,24),Shift!$A$2:$H$25,WEEKDAY($D$1,2)+1),VLOOKUP(24,Shift!$A$2:$H$25,WEEKDAY($D$1,2)+1))</f>
        <v>P1</v>
      </c>
      <c r="F67" s="104" t="str">
        <f t="shared" si="8"/>
        <v>?</v>
      </c>
      <c r="G67" s="104" t="str">
        <f t="shared" si="8"/>
        <v>?</v>
      </c>
      <c r="H67" s="104" t="str">
        <f t="shared" si="8"/>
        <v>?</v>
      </c>
      <c r="I67" s="105">
        <f t="shared" si="7"/>
        <v>0</v>
      </c>
      <c r="J67" s="138" t="s">
        <v>104</v>
      </c>
      <c r="K67" s="112" t="str">
        <f t="shared" si="9"/>
        <v/>
      </c>
      <c r="L67" s="112" t="str">
        <f t="shared" si="10"/>
        <v/>
      </c>
      <c r="M67" s="112"/>
    </row>
    <row r="68" spans="4:13">
      <c r="D68" s="97" t="s">
        <v>105</v>
      </c>
      <c r="E68" s="98" t="str">
        <f>_xlfn.IFNA(VLOOKUP(MOD((($D$1-WEEKDAY($D$1,2)+1)-45523)/7+17,24),Shift!$A$2:$H$25,WEEKDAY($D$1,2)+1),VLOOKUP(24,Shift!$A$2:$H$25,WEEKDAY($D$1,2)+1))</f>
        <v>L#</v>
      </c>
      <c r="F68" s="98">
        <f t="shared" si="8"/>
        <v>0</v>
      </c>
      <c r="G68" s="98">
        <f t="shared" si="8"/>
        <v>0</v>
      </c>
      <c r="H68" s="98">
        <f t="shared" si="8"/>
        <v>0</v>
      </c>
      <c r="I68" s="99">
        <f t="shared" si="7"/>
        <v>0</v>
      </c>
      <c r="J68" s="136" t="s">
        <v>105</v>
      </c>
      <c r="K68" s="112" t="str">
        <f t="shared" si="9"/>
        <v/>
      </c>
      <c r="L68" s="112" t="str">
        <f t="shared" si="10"/>
        <v/>
      </c>
      <c r="M68" s="112"/>
    </row>
    <row r="69" spans="4:13">
      <c r="D69" s="100" t="s">
        <v>106</v>
      </c>
      <c r="E69" s="101" t="str">
        <f>_xlfn.IFNA(VLOOKUP(MOD((($D$1-WEEKDAY($D$1,2)+1)-45523)/7+23,24),Shift!$A$2:$H$25,WEEKDAY($D$1,2)+1),VLOOKUP(24,Shift!$A$2:$H$25,WEEKDAY($D$1,2)+1))</f>
        <v>L</v>
      </c>
      <c r="F69" s="101">
        <f t="shared" si="8"/>
        <v>0</v>
      </c>
      <c r="G69" s="101">
        <f t="shared" si="8"/>
        <v>0</v>
      </c>
      <c r="H69" s="101">
        <f t="shared" si="8"/>
        <v>0</v>
      </c>
      <c r="I69" s="102">
        <f t="shared" si="7"/>
        <v>0</v>
      </c>
      <c r="J69" s="137" t="s">
        <v>106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100" t="s">
        <v>107</v>
      </c>
      <c r="E70" s="101" t="str">
        <f>_xlfn.IFNA(VLOOKUP(MOD((($D$1-WEEKDAY($D$1,2)+1)-45523)/7+5,24),Shift!$A$2:$H$25,WEEKDAY($D$1,2)+1),VLOOKUP(24,Shift!$A$2:$H$25,WEEKDAY($D$1,2)+1))</f>
        <v>A</v>
      </c>
      <c r="F70" s="101" t="str">
        <f t="shared" si="8"/>
        <v>?</v>
      </c>
      <c r="G70" s="101" t="str">
        <f t="shared" si="8"/>
        <v>?</v>
      </c>
      <c r="H70" s="101" t="str">
        <f t="shared" si="8"/>
        <v>?</v>
      </c>
      <c r="I70" s="102">
        <f t="shared" si="7"/>
        <v>0</v>
      </c>
      <c r="J70" s="137" t="s">
        <v>107</v>
      </c>
      <c r="K70" s="112" t="str">
        <f t="shared" si="9"/>
        <v/>
      </c>
      <c r="L70" s="112" t="str">
        <f t="shared" si="10"/>
        <v/>
      </c>
      <c r="M70" s="112"/>
    </row>
    <row r="71" spans="4:13" ht="16.5" thickBot="1">
      <c r="D71" s="103" t="s">
        <v>108</v>
      </c>
      <c r="E71" s="104" t="str">
        <f>_xlfn.IFNA(VLOOKUP(MOD((($D$1-WEEKDAY($D$1,2)+1)-45523)/7+11,24),Shift!$A$2:$H$25,WEEKDAY($D$1,2)+1),VLOOKUP(24,Shift!$A$2:$H$25,WEEKDAY($D$1,2)+1))</f>
        <v>L</v>
      </c>
      <c r="F71" s="104">
        <f t="shared" si="8"/>
        <v>0</v>
      </c>
      <c r="G71" s="104">
        <f t="shared" si="8"/>
        <v>0</v>
      </c>
      <c r="H71" s="104">
        <f t="shared" si="8"/>
        <v>0</v>
      </c>
      <c r="I71" s="105">
        <f t="shared" si="7"/>
        <v>0</v>
      </c>
      <c r="J71" s="138" t="s">
        <v>108</v>
      </c>
      <c r="K71" s="112" t="str">
        <f t="shared" si="9"/>
        <v/>
      </c>
      <c r="L71" s="112" t="str">
        <f t="shared" si="10"/>
        <v/>
      </c>
      <c r="M71" s="112"/>
    </row>
    <row r="72" spans="4:13">
      <c r="D72" s="144" t="s">
        <v>86</v>
      </c>
      <c r="E72" s="98" t="s">
        <v>127</v>
      </c>
      <c r="F72" s="98"/>
      <c r="G72" s="98"/>
      <c r="H72" s="98"/>
      <c r="I72" s="99">
        <f>IF(OR($E72="L",$E72="L#",$E72="?"),0,SUM($F72:$H72))</f>
        <v>0</v>
      </c>
      <c r="J72" s="330"/>
    </row>
    <row r="73" spans="4:13">
      <c r="D73" s="145" t="s">
        <v>137</v>
      </c>
      <c r="E73" s="101" t="s">
        <v>127</v>
      </c>
      <c r="F73" s="101"/>
      <c r="G73" s="101"/>
      <c r="H73" s="101"/>
      <c r="I73" s="102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 ht="16.5" thickBot="1">
      <c r="D75" s="146" t="s">
        <v>137</v>
      </c>
      <c r="E75" s="104" t="s">
        <v>127</v>
      </c>
      <c r="F75" s="106"/>
      <c r="G75" s="106"/>
      <c r="H75" s="106"/>
      <c r="I75" s="105">
        <f>IF(OR($E75="L",$E75="L#",$E75="?"),0,SUM($F75:$H75))</f>
        <v>0</v>
      </c>
      <c r="J75" s="330"/>
    </row>
    <row r="76" spans="4:13">
      <c r="D76" s="330"/>
      <c r="E76" s="96" t="s">
        <v>98</v>
      </c>
      <c r="F76" s="96" t="str">
        <f>SUM($F$60:$F$75)&amp;IF(SUM($F$60:$H$75)&gt;$I$76,"?","")</f>
        <v>0</v>
      </c>
      <c r="G76" s="96" t="str">
        <f>SUM($G$60:$G$75)&amp;IF(SUM($F$60:$H$75)&gt;$I$76,"?","")</f>
        <v>0</v>
      </c>
      <c r="H76" s="96" t="str">
        <f>SUM($H$60:$H$75)&amp;IF(SUM($F$60:$H$75)&gt;$I$76,"?","")</f>
        <v>0</v>
      </c>
      <c r="I76" s="96">
        <f>SUM(I60:I75)</f>
        <v>0</v>
      </c>
      <c r="J76" s="330"/>
    </row>
    <row r="77" spans="4:13">
      <c r="D77" s="330"/>
      <c r="E77" s="330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330"/>
      <c r="J77" s="330"/>
    </row>
    <row r="79" spans="4:13">
      <c r="D79" s="410" t="s">
        <v>281</v>
      </c>
      <c r="E79" s="410"/>
      <c r="F79" s="410"/>
    </row>
    <row r="80" spans="4:13">
      <c r="D80" s="49" t="str">
        <f>IF(Flight!$A$68=0,"",Flight!$A$68)</f>
        <v/>
      </c>
      <c r="E80" s="163"/>
      <c r="F80" s="164" t="str">
        <f>IF(D80="","",VLOOKUP(D80,Flight!$A$68:$C$91,3,FALSE))</f>
        <v/>
      </c>
    </row>
    <row r="81" spans="4:6">
      <c r="D81" s="49" t="str">
        <f>IF(Flight!$A69=0,"",Flight!$A69)</f>
        <v/>
      </c>
      <c r="F81" s="164" t="str">
        <f>IF(D81="","",VLOOKUP(D81,Flight!$A$68:$C$91,3,FALSE))</f>
        <v/>
      </c>
    </row>
    <row r="82" spans="4:6">
      <c r="D82" s="49" t="str">
        <f>IF(Flight!$A71=0,"",Flight!$A71)</f>
        <v>3A031</v>
      </c>
      <c r="F82" s="164" t="str">
        <f>IF(D82="","",VLOOKUP(D82,Flight!$A$68:$C$91,3,FALSE))</f>
        <v>ZTI</v>
      </c>
    </row>
    <row r="83" spans="4:6">
      <c r="D83" s="49" t="str">
        <f>IF(Flight!$A72=0,"",Flight!$A72)</f>
        <v>3A003</v>
      </c>
      <c r="F83" s="164" t="str">
        <f>IF(D83="","",VLOOKUP(D83,Flight!$A$68:$C$91,3,FALSE))</f>
        <v>ZYK</v>
      </c>
    </row>
    <row r="84" spans="4:6">
      <c r="D84" s="49" t="str">
        <f>IF(Flight!$A73=0,"",Flight!$A73)</f>
        <v>3A005</v>
      </c>
      <c r="F84" s="164" t="str">
        <f>IF(D84="","",VLOOKUP(D84,Flight!$A$68:$C$91,3,FALSE))</f>
        <v>HKM</v>
      </c>
    </row>
    <row r="85" spans="4:6">
      <c r="D85" s="49" t="str">
        <f>IF(Flight!$A74=0,"",Flight!$A74)</f>
        <v>3A007</v>
      </c>
      <c r="F85" s="164" t="str">
        <f>IF(D85="","",VLOOKUP(D85,Flight!$A$68:$C$91,3,FALSE))</f>
        <v>ZYK</v>
      </c>
    </row>
    <row r="86" spans="4:6">
      <c r="D86" s="49" t="str">
        <f>IF(Flight!$A75=0,"",Flight!$A75)</f>
        <v>3A008</v>
      </c>
      <c r="F86" s="164" t="str">
        <f>IF(D86="","",VLOOKUP(D86,Flight!$A$68:$C$91,3,FALSE))</f>
        <v>ZYK</v>
      </c>
    </row>
    <row r="87" spans="4:6">
      <c r="D87" s="49" t="str">
        <f>IF(Flight!$A76=0,"",Flight!$A76)</f>
        <v>3A009</v>
      </c>
      <c r="F87" s="164" t="str">
        <f>IF(D87="","",VLOOKUP(D87,Flight!$A$68:$C$91,3,FALSE))</f>
        <v>ZYK</v>
      </c>
    </row>
    <row r="88" spans="4:6">
      <c r="D88" s="49" t="str">
        <f>IF(Flight!$A77=0,"",Flight!$A77)</f>
        <v>3A010</v>
      </c>
      <c r="F88" s="164" t="str">
        <f>IF(D88="","",VLOOKUP(D88,Flight!$A$68:$C$91,3,FALSE))</f>
        <v>ZYK</v>
      </c>
    </row>
    <row r="89" spans="4:6">
      <c r="D89" s="49" t="str">
        <f>IF(Flight!$A78=0,"",Flight!$A78)</f>
        <v/>
      </c>
      <c r="F89" s="164" t="str">
        <f>IF(D89="","",VLOOKUP(D89,Flight!$A$68:$C$91,3,FALSE))</f>
        <v/>
      </c>
    </row>
    <row r="90" spans="4:6">
      <c r="D90" s="49" t="str">
        <f>IF(Flight!$A80=0,"",Flight!$A80)</f>
        <v>8S7121</v>
      </c>
      <c r="F90" s="164" t="str">
        <f>IF(D90="","",VLOOKUP(D90,Flight!$A$68:$C$91,3,FALSE))</f>
        <v>HKM</v>
      </c>
    </row>
    <row r="91" spans="4:6">
      <c r="D91" s="49" t="str">
        <f>IF(Flight!$A81=0,"",Flight!$A81)</f>
        <v>8S7108</v>
      </c>
      <c r="F91" s="164" t="str">
        <f>IF(D91="","",VLOOKUP(D91,Flight!$A$68:$C$91,3,FALSE))</f>
        <v>ZYK</v>
      </c>
    </row>
    <row r="92" spans="4:6">
      <c r="D92" s="49" t="str">
        <f>IF(Flight!$A82=0,"",Flight!$A82)</f>
        <v>8S7111</v>
      </c>
      <c r="F92" s="164" t="str">
        <f>IF(D92="","",VLOOKUP(D92,Flight!$A$68:$C$91,3,FALSE))</f>
        <v>ZYK</v>
      </c>
    </row>
    <row r="93" spans="4:6">
      <c r="D93" s="49" t="str">
        <f>IF(Flight!$A83=0,"",Flight!$A83)</f>
        <v>8S7131</v>
      </c>
      <c r="F93" s="164" t="str">
        <f>IF(D93="","",VLOOKUP(D93,Flight!$A$68:$C$91,3,FALSE))</f>
        <v>?</v>
      </c>
    </row>
    <row r="94" spans="4:6">
      <c r="D94" s="49" t="str">
        <f>IF(Flight!$A84=0,"",Flight!$A84)</f>
        <v>8S7119</v>
      </c>
      <c r="F94" s="164" t="str">
        <f>IF(D94="","",VLOOKUP(D94,Flight!$A$68:$C$91,3,FALSE))</f>
        <v>HKM</v>
      </c>
    </row>
    <row r="95" spans="4:6">
      <c r="D95" s="49" t="str">
        <f>IF(Flight!$A85=0,"",Flight!$A85)</f>
        <v>8S7126</v>
      </c>
      <c r="F95" s="164" t="str">
        <f>IF(D95="","",VLOOKUP(D95,Flight!$A$68:$C$91,3,FALSE))</f>
        <v>HKM</v>
      </c>
    </row>
    <row r="96" spans="4:6">
      <c r="D96" s="49" t="str">
        <f>IF(Flight!$A86=0,"",Flight!$A86)</f>
        <v>8S7128</v>
      </c>
      <c r="F96" s="164" t="str">
        <f>IF(D96="","",VLOOKUP(D96,Flight!$A$68:$C$91,3,FALSE))</f>
        <v>HKM</v>
      </c>
    </row>
    <row r="97" spans="4:6">
      <c r="D97" s="49" t="str">
        <f>IF(Flight!$A87=0,"",Flight!$A87)</f>
        <v>3A8010</v>
      </c>
      <c r="F97" s="164" t="str">
        <f>IF(D97="","",VLOOKUP(D97,Flight!$A$68:$C$91,3,FALSE))</f>
        <v>HZI</v>
      </c>
    </row>
    <row r="98" spans="4:6">
      <c r="D98" s="49" t="str">
        <f>IF(Flight!$A88=0,"",Flight!$A88)</f>
        <v>3A8015</v>
      </c>
      <c r="F98" s="164" t="str">
        <f>IF(D98="","",VLOOKUP(D98,Flight!$A$68:$C$91,3,FALSE))</f>
        <v>?</v>
      </c>
    </row>
    <row r="99" spans="4:6">
      <c r="D99" s="49" t="str">
        <f>IF(Flight!$A89=0,"",Flight!$A89)</f>
        <v>3A8016</v>
      </c>
      <c r="F99" s="164" t="str">
        <f>IF(D99="","",VLOOKUP(D99,Flight!$A$68:$C$91,3,FALSE))</f>
        <v>HZI</v>
      </c>
    </row>
    <row r="100" spans="4:6">
      <c r="D100" s="49" t="str">
        <f>IF(Flight!$A91=0,"",Flight!$A91)</f>
        <v xml:space="preserve">Last </v>
      </c>
      <c r="F100" s="164" t="str">
        <f>IF(D100="","",VLOOKUP(D100,Flight!$A$68:$C$91,3,FALSE))</f>
        <v>↑</v>
      </c>
    </row>
    <row r="101" spans="4:6">
      <c r="D101" s="49" t="str">
        <f>IF(Flight!$A92=0,"",Flight!$A92)</f>
        <v/>
      </c>
      <c r="F101" s="164" t="str">
        <f>IF(D101="","",VLOOKUP(D101,Flight!$A$68:$C$91,3,FALSE))</f>
        <v/>
      </c>
    </row>
    <row r="102" spans="4:6">
      <c r="D102" s="186"/>
      <c r="F102" s="187"/>
    </row>
    <row r="103" spans="4:6">
      <c r="D103" s="406" t="str">
        <f>IF(Flight!$A$93=0,"",Flight!$A$93)</f>
        <v>Target Flight</v>
      </c>
      <c r="E103" s="406"/>
      <c r="F103" s="406"/>
    </row>
    <row r="104" spans="4:6">
      <c r="D104" s="27" t="s">
        <v>59</v>
      </c>
      <c r="E104" s="158"/>
      <c r="F104" s="10" t="s">
        <v>38</v>
      </c>
    </row>
    <row r="105" spans="4:6">
      <c r="D105" s="27" t="s">
        <v>89</v>
      </c>
      <c r="E105" s="158"/>
      <c r="F105" s="10" t="s">
        <v>38</v>
      </c>
    </row>
    <row r="106" spans="4:6">
      <c r="D106" s="27" t="s">
        <v>254</v>
      </c>
      <c r="E106" s="158"/>
      <c r="F106" s="10" t="s">
        <v>38</v>
      </c>
    </row>
    <row r="107" spans="4:6">
      <c r="D107" s="27" t="s">
        <v>57</v>
      </c>
      <c r="E107" s="158"/>
      <c r="F107" s="10" t="s">
        <v>58</v>
      </c>
    </row>
    <row r="108" spans="4:6">
      <c r="D108" s="27" t="s">
        <v>198</v>
      </c>
      <c r="E108" s="158"/>
      <c r="F108" s="10" t="s">
        <v>199</v>
      </c>
    </row>
    <row r="109" spans="4:6">
      <c r="D109" s="27" t="s">
        <v>55</v>
      </c>
      <c r="E109" s="158"/>
      <c r="F109" s="10" t="s">
        <v>54</v>
      </c>
    </row>
    <row r="110" spans="4:6">
      <c r="D110" s="27" t="s">
        <v>39</v>
      </c>
      <c r="E110" s="158"/>
      <c r="F110" s="10" t="s">
        <v>38</v>
      </c>
    </row>
    <row r="111" spans="4:6">
      <c r="D111" s="27" t="s">
        <v>200</v>
      </c>
      <c r="E111" s="158"/>
      <c r="F111" s="10" t="s">
        <v>54</v>
      </c>
    </row>
    <row r="112" spans="4:6">
      <c r="D112" s="27" t="s">
        <v>201</v>
      </c>
      <c r="E112" s="158"/>
      <c r="F112" s="10" t="s">
        <v>38</v>
      </c>
    </row>
    <row r="113" spans="4:6">
      <c r="D113" s="161"/>
      <c r="E113" s="158"/>
      <c r="F113" s="159"/>
    </row>
    <row r="114" spans="4:6">
      <c r="D114" s="161"/>
      <c r="E114" s="158"/>
      <c r="F114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5:E45"/>
    <mergeCell ref="G45:H45"/>
    <mergeCell ref="I45:J45"/>
    <mergeCell ref="K44:M44"/>
    <mergeCell ref="H6:H7"/>
    <mergeCell ref="I6:I7"/>
    <mergeCell ref="J6:J7"/>
    <mergeCell ref="K6:M6"/>
    <mergeCell ref="A41:F41"/>
    <mergeCell ref="I41:M42"/>
    <mergeCell ref="A42:H42"/>
    <mergeCell ref="A6:A7"/>
    <mergeCell ref="B6:C6"/>
    <mergeCell ref="D6:D7"/>
    <mergeCell ref="E6:E7"/>
    <mergeCell ref="F6:F7"/>
    <mergeCell ref="A43:H43"/>
    <mergeCell ref="A44:B44"/>
    <mergeCell ref="D44:E44"/>
    <mergeCell ref="G44:H44"/>
    <mergeCell ref="I44:J44"/>
    <mergeCell ref="K45:M45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G46:H46"/>
    <mergeCell ref="I46:J46"/>
    <mergeCell ref="A45:B45"/>
    <mergeCell ref="D52:E52"/>
    <mergeCell ref="F52:G52"/>
    <mergeCell ref="H52:I52"/>
    <mergeCell ref="D49:I49"/>
    <mergeCell ref="K49:M49"/>
    <mergeCell ref="A51:B51"/>
    <mergeCell ref="C51:E51"/>
    <mergeCell ref="F51:G51"/>
    <mergeCell ref="H51:I51"/>
    <mergeCell ref="K51:M51"/>
    <mergeCell ref="D103:F103"/>
    <mergeCell ref="A53:B53"/>
    <mergeCell ref="C53:E53"/>
    <mergeCell ref="H53:I53"/>
    <mergeCell ref="C54:H54"/>
    <mergeCell ref="I55:J55"/>
    <mergeCell ref="D79:F79"/>
  </mergeCells>
  <phoneticPr fontId="2" type="noConversion"/>
  <conditionalFormatting sqref="H8:H40 E8:E40">
    <cfRule type="cellIs" dxfId="54" priority="4" operator="equal">
      <formula>""</formula>
    </cfRule>
  </conditionalFormatting>
  <conditionalFormatting sqref="F60:H77">
    <cfRule type="cellIs" dxfId="53" priority="3" operator="equal">
      <formula>"?"</formula>
    </cfRule>
  </conditionalFormatting>
  <conditionalFormatting sqref="D40:D997">
    <cfRule type="duplicateValues" dxfId="52" priority="153"/>
  </conditionalFormatting>
  <conditionalFormatting sqref="D8:D39">
    <cfRule type="duplicateValues" dxfId="51" priority="205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Staff!$G$2:$G$9</xm:f>
          </x14:formula1>
          <xm:sqref>K44:M45</xm:sqref>
        </x14:dataValidation>
        <x14:dataValidation type="list" allowBlank="1" showInputMessage="1">
          <x14:formula1>
            <xm:f>Staff!$G$12:$G$52</xm:f>
          </x14:formula1>
          <xm:sqref>G47:I48</xm:sqref>
        </x14:dataValidation>
        <x14:dataValidation type="list" allowBlank="1" showInputMessage="1">
          <x14:formula1>
            <xm:f>Staff!$G$23:$G$52</xm:f>
          </x14:formula1>
          <xm:sqref>K47:M51</xm:sqref>
        </x14:dataValidation>
        <x14:dataValidation type="list" allowBlank="1" showInputMessage="1">
          <x14:formula1>
            <xm:f>Staff!$B$15:$B$39</xm:f>
          </x14:formula1>
          <xm:sqref>D44:E44</xm:sqref>
        </x14:dataValidation>
        <x14:dataValidation type="list" errorStyle="warning" allowBlank="1" showInputMessage="1">
          <x14:formula1>
            <xm:f>Staff!$B$15:$B$39</xm:f>
          </x14:formula1>
          <xm:sqref>D45:E45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4"/>
  <sheetViews>
    <sheetView view="pageBreakPreview" zoomScale="90" zoomScaleNormal="100" zoomScaleSheetLayoutView="90" workbookViewId="0">
      <selection activeCell="D32" sqref="D32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45766</v>
      </c>
      <c r="E1" s="355"/>
      <c r="F1" s="333" t="s">
        <v>23</v>
      </c>
      <c r="G1" s="110">
        <f>D1</f>
        <v>45766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S5(0) </v>
      </c>
      <c r="C4" s="367"/>
      <c r="D4" s="366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S9(0)  &lt;S12(0)&gt;  </v>
      </c>
      <c r="E4" s="367"/>
      <c r="F4" s="366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>-</v>
      </c>
      <c r="G4" s="367"/>
      <c r="H4" s="366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S10(0) </v>
      </c>
      <c r="I4" s="367"/>
      <c r="J4" s="366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S6(0)  &lt;S7(0)&gt;  </v>
      </c>
      <c r="K4" s="367"/>
      <c r="L4" s="366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S8(0)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0" si="0">IF($E8&lt;&gt;"",IF($E8-715&lt;0,VLOOKUP($B$3,$E$60:$J$71,6,FALSE),IF(AND($E8-2130&gt;0,_xlfn.IFNA(MATCH($D8,$D$104:$D$114,0)&lt;20,"")=TRUE),VLOOKUP($L$3,$E$60:$J$71,6,FALSE),"-")),"")</f>
        <v>S5</v>
      </c>
      <c r="C8" s="9" t="str">
        <f t="shared" ref="C8:C40" si="1">IF($E8&lt;&gt;"",IF(ISNUMBER(SEARCH("Hall Operation",$K8)),"-",IF($E8-715&lt;0,VLOOKUP($B$3,$E$60:$J$71,6,FALSE),IF($E8-2129&gt;0,VLOOKUP($L$3,$E$60:$J$71,6,FALSE),""))),"")</f>
        <v>-</v>
      </c>
      <c r="D8" s="27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0" si="2">IF($D8=0,"",IF(OR(ISNUMBER(SEARCH("S",$B8)),_xlfn.IFNA(MATCH($D8,$D$104:$D$114,0)&lt;20,"")=TRUE),"&lt;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 t="shared" ref="A9:A40" si="3">IF($A7="S/N",1,IF($F9="Wavied","-",IF($D9=0,"",ROW($A9)-ROW($A$7)-COUNTIF($A$7:$A$8,"@")-COUNTIF($A$7:$A$8,"-"))))</f>
        <v>2</v>
      </c>
      <c r="B9" s="9" t="str">
        <f t="shared" si="0"/>
        <v>S5</v>
      </c>
      <c r="C9" s="9" t="str">
        <f t="shared" si="1"/>
        <v>-</v>
      </c>
      <c r="D9" s="27" t="s">
        <v>367</v>
      </c>
      <c r="E9" s="172" t="str">
        <f>IF($D9&gt;0,VLOOKUP($D9,Flight!$A$1:$E$91,2,FALSE),"")</f>
        <v>0545</v>
      </c>
      <c r="F9" s="45"/>
      <c r="G9" s="43" t="str">
        <f t="shared" ref="G9:G40" si="4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 t="shared" si="3"/>
        <v>3</v>
      </c>
      <c r="B10" s="9" t="str">
        <f t="shared" si="0"/>
        <v>S5</v>
      </c>
      <c r="C10" s="9" t="str">
        <f t="shared" si="1"/>
        <v>-</v>
      </c>
      <c r="D10" s="27" t="s">
        <v>368</v>
      </c>
      <c r="E10" s="172" t="str">
        <f>IF($D10&gt;0,VLOOKUP($D10,Flight!$A$1:$E$91,2,FALSE),"")</f>
        <v>0555</v>
      </c>
      <c r="F10" s="45"/>
      <c r="G10" s="43" t="str">
        <f t="shared" si="4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 t="shared" si="3"/>
        <v>4</v>
      </c>
      <c r="B11" s="9" t="str">
        <f t="shared" si="0"/>
        <v>S5</v>
      </c>
      <c r="C11" s="9" t="str">
        <f t="shared" si="1"/>
        <v>-</v>
      </c>
      <c r="D11" s="213" t="s">
        <v>89</v>
      </c>
      <c r="E11" s="172" t="str">
        <f>IF($D11&gt;0,VLOOKUP($D11,Flight!$A$1:$E$91,2,FALSE),"")</f>
        <v>0615</v>
      </c>
      <c r="F11" s="43"/>
      <c r="G11" s="43" t="str">
        <f t="shared" si="4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si="3"/>
        <v>5</v>
      </c>
      <c r="B12" s="9" t="str">
        <f t="shared" si="0"/>
        <v>S5</v>
      </c>
      <c r="C12" s="9" t="str">
        <f t="shared" si="1"/>
        <v>-</v>
      </c>
      <c r="D12" s="213" t="s">
        <v>365</v>
      </c>
      <c r="E12" s="172" t="str">
        <f>IF($D12&gt;0,VLOOKUP($D12,Flight!$A$1:$E$91,2,FALSE),"")</f>
        <v>0640</v>
      </c>
      <c r="F12" s="45"/>
      <c r="G12" s="43" t="str">
        <f t="shared" si="4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si="3"/>
        <v>6</v>
      </c>
      <c r="B13" s="9" t="str">
        <f t="shared" si="0"/>
        <v>S5</v>
      </c>
      <c r="C13" s="9" t="str">
        <f t="shared" si="1"/>
        <v>-</v>
      </c>
      <c r="D13" s="213" t="s">
        <v>393</v>
      </c>
      <c r="E13" s="172" t="str">
        <f>IF($D13&gt;0,VLOOKUP($D13,Flight!$A$1:$E$91,2,FALSE),"")</f>
        <v>0700</v>
      </c>
      <c r="F13" s="46"/>
      <c r="G13" s="43" t="str">
        <f t="shared" si="4"/>
        <v/>
      </c>
      <c r="H13" s="44" t="str">
        <f>IF($D13&gt;0,VLOOKUP($D13,Flight!$A$1:$E$91,3,FALSE),"")</f>
        <v>BOM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f t="shared" si="3"/>
        <v>7</v>
      </c>
      <c r="B14" s="9" t="str">
        <f t="shared" si="0"/>
        <v>-</v>
      </c>
      <c r="C14" s="9" t="str">
        <f t="shared" si="1"/>
        <v>-</v>
      </c>
      <c r="D14" s="213" t="s">
        <v>369</v>
      </c>
      <c r="E14" s="172" t="str">
        <f>IF($D14&gt;0,VLOOKUP($D14,Flight!$A$1:$E$91,2,FALSE),"")</f>
        <v>0905</v>
      </c>
      <c r="F14" s="46"/>
      <c r="G14" s="43" t="str">
        <f t="shared" si="4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 t="shared" si="3"/>
        <v>8</v>
      </c>
      <c r="B15" s="9" t="str">
        <f t="shared" si="0"/>
        <v>-</v>
      </c>
      <c r="C15" s="9" t="str">
        <f t="shared" si="1"/>
        <v>-</v>
      </c>
      <c r="D15" s="213" t="s">
        <v>370</v>
      </c>
      <c r="E15" s="172" t="str">
        <f>IF($D15&gt;0,VLOOKUP($D15,Flight!$A$1:$E$91,2,FALSE),"")</f>
        <v>0935</v>
      </c>
      <c r="F15" s="46"/>
      <c r="G15" s="43" t="str">
        <f t="shared" si="4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f t="shared" si="3"/>
        <v>9</v>
      </c>
      <c r="B16" s="9" t="str">
        <f t="shared" si="0"/>
        <v>-</v>
      </c>
      <c r="C16" s="9" t="str">
        <f t="shared" si="1"/>
        <v>-</v>
      </c>
      <c r="D16" s="213" t="s">
        <v>198</v>
      </c>
      <c r="E16" s="172" t="str">
        <f>IF($D16&gt;0,VLOOKUP($D16,Flight!$A$1:$E$91,2,FALSE),"")</f>
        <v>0950</v>
      </c>
      <c r="F16" s="45"/>
      <c r="G16" s="43" t="str">
        <f t="shared" si="4"/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f t="shared" si="3"/>
        <v>10</v>
      </c>
      <c r="B17" s="9" t="str">
        <f t="shared" si="0"/>
        <v>-</v>
      </c>
      <c r="C17" s="9" t="str">
        <f t="shared" si="1"/>
        <v>-</v>
      </c>
      <c r="D17" s="213" t="s">
        <v>55</v>
      </c>
      <c r="E17" s="172" t="str">
        <f>IF($D17&gt;0,VLOOKUP($D17,Flight!$A$1:$E$91,2,FALSE),"")</f>
        <v>0955</v>
      </c>
      <c r="F17" s="45"/>
      <c r="G17" s="43" t="str">
        <f t="shared" si="4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 t="shared" si="3"/>
        <v>11</v>
      </c>
      <c r="B18" s="9" t="str">
        <f t="shared" si="0"/>
        <v>-</v>
      </c>
      <c r="C18" s="9" t="str">
        <f t="shared" si="1"/>
        <v/>
      </c>
      <c r="D18" s="27" t="s">
        <v>372</v>
      </c>
      <c r="E18" s="172" t="str">
        <f>IF($D18&gt;0,VLOOKUP($D18,Flight!$A$1:$E$91,2,FALSE),"")</f>
        <v>1000</v>
      </c>
      <c r="F18" s="45"/>
      <c r="G18" s="43" t="str">
        <f t="shared" si="4"/>
        <v/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>
        <f t="shared" si="3"/>
        <v>12</v>
      </c>
      <c r="B19" s="9" t="str">
        <f t="shared" si="0"/>
        <v>-</v>
      </c>
      <c r="C19" s="9" t="str">
        <f t="shared" si="1"/>
        <v/>
      </c>
      <c r="D19" s="27" t="s">
        <v>373</v>
      </c>
      <c r="E19" s="172" t="str">
        <f>IF($D19&gt;0,VLOOKUP($D19,Flight!$A$1:$E$91,2,FALSE),"")</f>
        <v>1010</v>
      </c>
      <c r="F19" s="45"/>
      <c r="G19" s="43" t="str">
        <f t="shared" si="4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3"/>
        <v>13</v>
      </c>
      <c r="B20" s="9" t="str">
        <f t="shared" si="0"/>
        <v>-</v>
      </c>
      <c r="C20" s="9" t="str">
        <f t="shared" si="1"/>
        <v/>
      </c>
      <c r="D20" s="9" t="s">
        <v>374</v>
      </c>
      <c r="E20" s="172" t="str">
        <f>IF($D20&gt;0,VLOOKUP($D20,Flight!$A$1:$E$91,2,FALSE),"")</f>
        <v>1115</v>
      </c>
      <c r="F20" s="45"/>
      <c r="G20" s="43" t="str">
        <f t="shared" si="4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 ht="15.75" customHeight="1">
      <c r="A21" s="9">
        <f t="shared" si="3"/>
        <v>14</v>
      </c>
      <c r="B21" s="9" t="str">
        <f t="shared" si="0"/>
        <v>-</v>
      </c>
      <c r="C21" s="9" t="str">
        <f t="shared" si="1"/>
        <v/>
      </c>
      <c r="D21" s="9" t="s">
        <v>375</v>
      </c>
      <c r="E21" s="172" t="str">
        <f>IF($D21&gt;0,VLOOKUP($D21,Flight!$A$1:$E$91,2,FALSE),"")</f>
        <v>1145</v>
      </c>
      <c r="F21" s="44"/>
      <c r="G21" s="43" t="str">
        <f t="shared" si="4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3"/>
        <v>15</v>
      </c>
      <c r="B22" s="9" t="str">
        <f t="shared" si="0"/>
        <v>-</v>
      </c>
      <c r="C22" s="9" t="str">
        <f t="shared" si="1"/>
        <v/>
      </c>
      <c r="D22" s="9" t="s">
        <v>456</v>
      </c>
      <c r="E22" s="172" t="str">
        <f>IF($D22&gt;0,VLOOKUP($D22,Flight!$A$1:$E$91,2,FALSE),"")</f>
        <v>1210</v>
      </c>
      <c r="F22" s="44"/>
      <c r="G22" s="43" t="str">
        <f t="shared" si="4"/>
        <v/>
      </c>
      <c r="H22" s="44" t="str">
        <f>IF($D22&gt;0,VLOOKUP($D22,Flight!$A$1:$E$91,3,FALSE),"")</f>
        <v>BKK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>
        <f t="shared" si="3"/>
        <v>16</v>
      </c>
      <c r="B23" s="9" t="str">
        <f t="shared" si="0"/>
        <v>-</v>
      </c>
      <c r="C23" s="9" t="str">
        <f t="shared" si="1"/>
        <v/>
      </c>
      <c r="D23" s="215" t="s">
        <v>376</v>
      </c>
      <c r="E23" s="172" t="str">
        <f>IF($D23&gt;0,VLOOKUP($D23,Flight!$A$1:$E$91,2,FALSE),"")</f>
        <v>1305</v>
      </c>
      <c r="F23" s="44"/>
      <c r="G23" s="43" t="str">
        <f t="shared" si="4"/>
        <v/>
      </c>
      <c r="H23" s="44" t="str">
        <f>IF($D23&gt;0,VLOOKUP($D23,Flight!$A$1:$E$91,3,FALSE),"")</f>
        <v>DMK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3"/>
        <v>17</v>
      </c>
      <c r="B24" s="9" t="str">
        <f t="shared" si="0"/>
        <v>-</v>
      </c>
      <c r="C24" s="9" t="str">
        <f t="shared" si="1"/>
        <v>-</v>
      </c>
      <c r="D24" s="213" t="s">
        <v>377</v>
      </c>
      <c r="E24" s="172" t="str">
        <f>IF($D24&gt;0,VLOOKUP($D24,Flight!$A$1:$E$91,2,FALSE),"")</f>
        <v>1310</v>
      </c>
      <c r="F24" s="45"/>
      <c r="G24" s="43" t="str">
        <f t="shared" si="4"/>
        <v/>
      </c>
      <c r="H24" s="44" t="str">
        <f>IF($D24&gt;0,VLOOKUP($D24,Flight!$A$1:$E$91,3,FALSE),"")</f>
        <v>DEL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>&lt;   Hall Operation   &gt;</v>
      </c>
      <c r="L24" s="166"/>
      <c r="M24" s="166"/>
      <c r="O24" s="114"/>
    </row>
    <row r="25" spans="1:15">
      <c r="A25" s="9">
        <f t="shared" si="3"/>
        <v>18</v>
      </c>
      <c r="B25" s="9" t="str">
        <f t="shared" si="0"/>
        <v>-</v>
      </c>
      <c r="C25" s="9" t="str">
        <f t="shared" si="1"/>
        <v/>
      </c>
      <c r="D25" s="27" t="s">
        <v>378</v>
      </c>
      <c r="E25" s="172" t="str">
        <f>IF($D25&gt;0,VLOOKUP($D25,Flight!$A$1:$E$91,2,FALSE),"")</f>
        <v>1415</v>
      </c>
      <c r="F25" s="45"/>
      <c r="G25" s="43" t="str">
        <f t="shared" si="4"/>
        <v/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3"/>
        <v>19</v>
      </c>
      <c r="B26" s="9" t="str">
        <f t="shared" si="0"/>
        <v>-</v>
      </c>
      <c r="C26" s="9" t="str">
        <f t="shared" si="1"/>
        <v/>
      </c>
      <c r="D26" s="27" t="s">
        <v>379</v>
      </c>
      <c r="E26" s="172" t="str">
        <f>IF($D26&gt;0,VLOOKUP($D26,Flight!$A$1:$E$91,2,FALSE),"")</f>
        <v>1420</v>
      </c>
      <c r="F26" s="44"/>
      <c r="G26" s="43" t="str">
        <f t="shared" si="4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IF($D26&gt;0,IF(VLOOKUP($D26,Flight!$A$1:$E$91,4,FALSE)&gt;1,VLOOKUP($D26,Flight!$A$1:$E109,4,FALSE),""),"")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 t="shared" si="3"/>
        <v>20</v>
      </c>
      <c r="B27" s="9" t="str">
        <f t="shared" si="0"/>
        <v>-</v>
      </c>
      <c r="C27" s="9" t="str">
        <f t="shared" si="1"/>
        <v/>
      </c>
      <c r="D27" s="27" t="s">
        <v>380</v>
      </c>
      <c r="E27" s="172" t="str">
        <f>IF($D27&gt;0,VLOOKUP($D27,Flight!$A$1:$E$91,2,FALSE),"")</f>
        <v>1455</v>
      </c>
      <c r="F27" s="45"/>
      <c r="G27" s="43" t="str">
        <f t="shared" si="4"/>
        <v/>
      </c>
      <c r="H27" s="44" t="str">
        <f>IF($D27&gt;0,VLOOKUP($D27,Flight!$A$1:$E$91,3,FALSE),"")</f>
        <v>ADD</v>
      </c>
      <c r="I27" s="44" t="str">
        <f>IF($D27&gt;0,IF(VLOOKUP($D27,Flight!$A$1:$E$91,4,FALSE)&gt;1,VLOOKUP($D27,Flight!$A$1:$E111,4,FALSE),""),"")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</row>
    <row r="28" spans="1:15">
      <c r="A28" s="9">
        <f t="shared" si="3"/>
        <v>21</v>
      </c>
      <c r="B28" s="9" t="str">
        <f t="shared" si="0"/>
        <v>-</v>
      </c>
      <c r="C28" s="9" t="str">
        <f t="shared" si="1"/>
        <v/>
      </c>
      <c r="D28" s="27" t="s">
        <v>381</v>
      </c>
      <c r="E28" s="172" t="str">
        <f>IF($D28&gt;0,VLOOKUP($D28,Flight!$A$1:$E$91,2,FALSE),"")</f>
        <v>1510</v>
      </c>
      <c r="F28" s="49"/>
      <c r="G28" s="43" t="str">
        <f t="shared" si="4"/>
        <v/>
      </c>
      <c r="H28" s="44" t="str">
        <f>IF($D28&gt;0,VLOOKUP($D28,Flight!$A$1:$E$91,3,FALSE),"")</f>
        <v>DOH</v>
      </c>
      <c r="I28" s="44" t="str">
        <f>IF($D28&gt;0,IF(VLOOKUP($D28,Flight!$A$1:$E$91,4,FALSE)&gt;1,VLOOKUP($D28,Flight!$A$1:$E112,4,FALSE),""),"")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</row>
    <row r="29" spans="1:15">
      <c r="A29" s="9">
        <f t="shared" si="3"/>
        <v>22</v>
      </c>
      <c r="B29" s="9" t="str">
        <f t="shared" si="0"/>
        <v>-</v>
      </c>
      <c r="C29" s="9" t="str">
        <f t="shared" si="1"/>
        <v/>
      </c>
      <c r="D29" s="27" t="s">
        <v>382</v>
      </c>
      <c r="E29" s="172" t="str">
        <f>IF($D29&gt;0,VLOOKUP($D29,Flight!$A$1:$E$91,2,FALSE),"")</f>
        <v>1715</v>
      </c>
      <c r="F29" s="45"/>
      <c r="G29" s="43" t="str">
        <f t="shared" si="4"/>
        <v/>
      </c>
      <c r="H29" s="44" t="str">
        <f>IF($D29&gt;0,VLOOKUP($D29,Flight!$A$1:$E$91,3,FALSE),"")</f>
        <v>IST</v>
      </c>
      <c r="I29" s="44" t="str">
        <f>IF($D29&gt;0,IF(VLOOKUP($D29,Flight!$A$1:$E$91,4,FALSE)&gt;1,VLOOKUP($D29,Flight!$A$1:$E113,4,FALSE),""),"")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3"/>
        <v>23</v>
      </c>
      <c r="B30" s="9" t="str">
        <f t="shared" si="0"/>
        <v>-</v>
      </c>
      <c r="C30" s="9" t="str">
        <f t="shared" si="1"/>
        <v/>
      </c>
      <c r="D30" s="27" t="s">
        <v>398</v>
      </c>
      <c r="E30" s="172" t="str">
        <f>IF($D30&gt;0,VLOOKUP($D30,Flight!$A$1:$E$91,2,FALSE),"")</f>
        <v>1720</v>
      </c>
      <c r="F30" s="45"/>
      <c r="G30" s="43" t="str">
        <f t="shared" si="4"/>
        <v/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IF($D30&gt;0,IF(VLOOKUP($D30,Flight!$A$1:$E$91,4,FALSE)&gt;1,VLOOKUP($D30,Flight!$A$1:$E114,4,FALSE),""),"")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 s="349" customFormat="1">
      <c r="A31" s="9">
        <f t="shared" si="3"/>
        <v>24</v>
      </c>
      <c r="B31" s="9" t="str">
        <f t="shared" si="0"/>
        <v>-</v>
      </c>
      <c r="C31" s="9" t="str">
        <f t="shared" si="1"/>
        <v/>
      </c>
      <c r="D31" s="27" t="s">
        <v>1006</v>
      </c>
      <c r="E31" s="172" t="str">
        <f>IF($D31&gt;0,VLOOKUP($D31,Flight!$A$1:$E$91,2,FALSE),"")</f>
        <v>1745</v>
      </c>
      <c r="F31" s="45"/>
      <c r="G31" s="43" t="str">
        <f t="shared" ref="G31" si="5">IF(A31="@",IF(H31="ZYK","Berth 3",IF(H31="HKM","Bay 7","")),"")</f>
        <v/>
      </c>
      <c r="H31" s="44" t="str">
        <f>IF($D31&gt;0,VLOOKUP($D31,Flight!$A$1:$E$91,3,FALSE),"")</f>
        <v>BKK</v>
      </c>
      <c r="I31" s="44"/>
      <c r="J31" s="44"/>
      <c r="K31" s="166"/>
      <c r="L31" s="166"/>
      <c r="M31" s="166"/>
      <c r="O31" s="112"/>
    </row>
    <row r="32" spans="1:15">
      <c r="A32" s="9">
        <f>IF($A29="S/N",1,IF($F32="Wavied","-",IF($D32=0,"",ROW($A32)-ROW($A$7)-COUNTIF($A$7:$A$8,"@")-COUNTIF($A$7:$A$8,"-"))))</f>
        <v>25</v>
      </c>
      <c r="B32" s="9" t="str">
        <f t="shared" si="0"/>
        <v>-</v>
      </c>
      <c r="C32" s="9" t="str">
        <f t="shared" si="1"/>
        <v/>
      </c>
      <c r="D32" s="27" t="s">
        <v>383</v>
      </c>
      <c r="E32" s="172" t="str">
        <f>IF($D32&gt;0,VLOOKUP($D32,Flight!$A$1:$E$91,2,FALSE),"")</f>
        <v>1755</v>
      </c>
      <c r="F32" s="46"/>
      <c r="G32" s="43" t="str">
        <f t="shared" si="4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IF($D32&gt;0,IF(VLOOKUP($D32,Flight!$A$1:$E$91,4,FALSE)&gt;1,VLOOKUP($D32,Flight!$A$1:$E115,4,FALSE),""),"")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ref="K32:K40" si="6">IF($D32=0,"",IF(OR(ISNUMBER(SEARCH("S",$B32)),_xlfn.IFNA(MATCH($D32,$D$104:$D$114,0)&lt;20,"")=TRUE),"&lt;   Hall Operation   &gt;",""))</f>
        <v/>
      </c>
      <c r="L32" s="166"/>
      <c r="M32" s="166"/>
    </row>
    <row r="33" spans="1:18">
      <c r="A33" s="9">
        <f>IF($A30="S/N",1,IF($F33="Wavied","-",IF($D33=0,"",ROW($A33)-ROW($A$7)-COUNTIF($A$7:$A$8,"@")-COUNTIF($A$7:$A$8,"-"))))</f>
        <v>26</v>
      </c>
      <c r="B33" s="9" t="str">
        <f t="shared" si="0"/>
        <v>-</v>
      </c>
      <c r="C33" s="9" t="str">
        <f t="shared" si="1"/>
        <v/>
      </c>
      <c r="D33" s="27" t="s">
        <v>384</v>
      </c>
      <c r="E33" s="172" t="str">
        <f>IF($D33&gt;0,VLOOKUP($D33,Flight!$A$1:$E$91,2,FALSE),"")</f>
        <v>1805</v>
      </c>
      <c r="F33" s="45"/>
      <c r="G33" s="43" t="str">
        <f t="shared" si="4"/>
        <v/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IF($D33&gt;0,IF(VLOOKUP($D33,Flight!$A$1:$E$91,4,FALSE)&gt;1,VLOOKUP($D33,Flight!$A$1:$E116,4,FALSE),""),"")</f>
        <v>BKK</v>
      </c>
      <c r="J33" s="44" t="str">
        <f>IF($D33&gt;0,IF(VLOOKUP($D33,Flight!$A$1:$E$91,5,FALSE)&gt;1,VLOOKUP($D33,Flight!$A$1:$E$91,5,FALSE),""),"")</f>
        <v/>
      </c>
      <c r="K33" s="166" t="str">
        <f t="shared" si="6"/>
        <v/>
      </c>
      <c r="L33" s="166"/>
      <c r="M33" s="166"/>
    </row>
    <row r="34" spans="1:18">
      <c r="A34" s="9">
        <f t="shared" si="3"/>
        <v>27</v>
      </c>
      <c r="B34" s="9" t="str">
        <f t="shared" si="0"/>
        <v>-</v>
      </c>
      <c r="C34" s="9" t="str">
        <f t="shared" si="1"/>
        <v/>
      </c>
      <c r="D34" s="27" t="s">
        <v>49</v>
      </c>
      <c r="E34" s="172" t="str">
        <f>IF($D34&gt;0,VLOOKUP($D34,Flight!$A$1:$E$91,2,FALSE),"")</f>
        <v>1810</v>
      </c>
      <c r="F34" s="45"/>
      <c r="G34" s="43" t="str">
        <f t="shared" si="4"/>
        <v/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IF($D34&gt;0,IF(VLOOKUP($D34,Flight!$A$1:$E$91,4,FALSE)&gt;1,VLOOKUP($D34,Flight!$A$1:$E117,4,FALSE),""),"")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6"/>
        <v/>
      </c>
      <c r="L34" s="166"/>
      <c r="M34" s="167"/>
      <c r="P34" s="84"/>
    </row>
    <row r="35" spans="1:18">
      <c r="A35" s="9">
        <f t="shared" si="3"/>
        <v>28</v>
      </c>
      <c r="B35" s="9" t="str">
        <f t="shared" si="0"/>
        <v>-</v>
      </c>
      <c r="C35" s="9" t="str">
        <f t="shared" si="1"/>
        <v/>
      </c>
      <c r="D35" s="27" t="s">
        <v>387</v>
      </c>
      <c r="E35" s="172" t="str">
        <f>IF($D35&gt;0,VLOOKUP($D35,Flight!$A$1:$E$91,2,FALSE),"")</f>
        <v>1920</v>
      </c>
      <c r="F35" s="45"/>
      <c r="G35" s="43" t="str">
        <f t="shared" si="4"/>
        <v/>
      </c>
      <c r="H35" s="44" t="str">
        <f>IF($D35&gt;0,VLOOKUP($D35,Flight!$A$1:$E$91,3,FALSE),"")</f>
        <v>DMK</v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O35" s="115"/>
      <c r="P35" s="87"/>
    </row>
    <row r="36" spans="1:18" ht="16.5">
      <c r="A36" s="9">
        <f t="shared" si="3"/>
        <v>29</v>
      </c>
      <c r="B36" s="9" t="str">
        <f t="shared" si="0"/>
        <v>-</v>
      </c>
      <c r="C36" s="9" t="str">
        <f t="shared" si="1"/>
        <v/>
      </c>
      <c r="D36" s="27" t="s">
        <v>388</v>
      </c>
      <c r="E36" s="172" t="str">
        <f>IF($D36&gt;0,VLOOKUP($D36,Flight!$A$1:$E$91,2,FALSE),"")</f>
        <v>1950</v>
      </c>
      <c r="F36" s="45"/>
      <c r="G36" s="43" t="str">
        <f t="shared" si="4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4"/>
      <c r="P36" s="88"/>
      <c r="Q36" s="4"/>
      <c r="R36" s="4"/>
    </row>
    <row r="37" spans="1:18">
      <c r="A37" s="9">
        <f t="shared" si="3"/>
        <v>30</v>
      </c>
      <c r="B37" s="9" t="str">
        <f t="shared" si="0"/>
        <v>-</v>
      </c>
      <c r="C37" s="9" t="str">
        <f t="shared" si="1"/>
        <v/>
      </c>
      <c r="D37" s="27" t="s">
        <v>64</v>
      </c>
      <c r="E37" s="172" t="str">
        <f>IF($D37&gt;0,VLOOKUP($D37,Flight!$A$1:$E$91,2,FALSE),"")</f>
        <v>2030</v>
      </c>
      <c r="F37" s="45"/>
      <c r="G37" s="43" t="str">
        <f t="shared" si="4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4"/>
      <c r="P37" s="4"/>
      <c r="Q37" s="4"/>
      <c r="R37" s="4"/>
    </row>
    <row r="38" spans="1:18" ht="16.5">
      <c r="A38" s="9">
        <f t="shared" si="3"/>
        <v>31</v>
      </c>
      <c r="B38" s="9" t="str">
        <f t="shared" si="0"/>
        <v>-</v>
      </c>
      <c r="C38" s="9" t="str">
        <f t="shared" si="1"/>
        <v/>
      </c>
      <c r="D38" s="27" t="s">
        <v>979</v>
      </c>
      <c r="E38" s="172">
        <v>2100</v>
      </c>
      <c r="F38" s="45"/>
      <c r="G38" s="43" t="str">
        <f t="shared" si="4"/>
        <v/>
      </c>
      <c r="H38" s="44" t="str">
        <f>IF($D38&gt;0,VLOOKUP($D38,Flight!$A$1:$E$91,3,FALSE),"")</f>
        <v>SIN</v>
      </c>
      <c r="I38" s="44" t="str">
        <f>IF($D38&gt;0,IF(VLOOKUP($D38,Flight!$A$1:$E$91,4,FALSE)&gt;1,VLOOKUP($D38,Flight!$A$1:$E123,4,FALSE),""),"")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6"/>
      <c r="O38" s="4"/>
      <c r="P38" s="89"/>
      <c r="Q38" s="4"/>
      <c r="R38" s="4"/>
    </row>
    <row r="39" spans="1:18" ht="16.5">
      <c r="A39" s="9">
        <f t="shared" si="3"/>
        <v>32</v>
      </c>
      <c r="B39" s="9" t="str">
        <f t="shared" si="0"/>
        <v>-</v>
      </c>
      <c r="C39" s="9" t="str">
        <f t="shared" si="1"/>
        <v>S8</v>
      </c>
      <c r="D39" s="27" t="s">
        <v>978</v>
      </c>
      <c r="E39" s="172" t="str">
        <f>IF($D39&gt;0,VLOOKUP($D39,Flight!$A$1:$E$91,2,FALSE),"")</f>
        <v>2155</v>
      </c>
      <c r="F39" s="45"/>
      <c r="G39" s="43" t="str">
        <f t="shared" si="4"/>
        <v/>
      </c>
      <c r="H39" s="44" t="str">
        <f>IF($D39&gt;0,VLOOKUP($D39,Flight!$A$1:$E$91,3,FALSE),"")</f>
        <v>DOH</v>
      </c>
      <c r="I39" s="44" t="str">
        <f>IF($D39&gt;0,IF(VLOOKUP($D39,Flight!$A$1:$E$91,4,FALSE)&gt;1,VLOOKUP($D39,Flight!$A$1:$E124,4,FALSE),""),"")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 t="str">
        <f t="shared" si="3"/>
        <v/>
      </c>
      <c r="B40" s="9" t="str">
        <f t="shared" si="0"/>
        <v/>
      </c>
      <c r="C40" s="9" t="str">
        <f t="shared" si="1"/>
        <v/>
      </c>
      <c r="D40" s="27"/>
      <c r="E40" s="172" t="str">
        <f>IF($D40&gt;0,VLOOKUP($D40,Flight!$A$1:$E$91,2,FALSE),"")</f>
        <v/>
      </c>
      <c r="F40" s="45"/>
      <c r="G40" s="43" t="str">
        <f t="shared" si="4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IF($D40&gt;0,IF(VLOOKUP($D40,Flight!$A$1:$E$91,4,FALSE)&gt;1,VLOOKUP($D40,Flight!$A$1:$E125,4,FALSE),""),"")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>
      <c r="A41" s="376" t="s">
        <v>5</v>
      </c>
      <c r="B41" s="376"/>
      <c r="C41" s="376"/>
      <c r="D41" s="376"/>
      <c r="E41" s="376"/>
      <c r="F41" s="376"/>
      <c r="G41" s="50"/>
      <c r="H41" s="321" t="s">
        <v>40</v>
      </c>
      <c r="I41" s="377"/>
      <c r="J41" s="377"/>
      <c r="K41" s="377"/>
      <c r="L41" s="377"/>
      <c r="M41" s="377"/>
      <c r="N41" s="5"/>
    </row>
    <row r="42" spans="1:18">
      <c r="A42" s="379" t="s">
        <v>35</v>
      </c>
      <c r="B42" s="379"/>
      <c r="C42" s="379" t="s">
        <v>31</v>
      </c>
      <c r="D42" s="379"/>
      <c r="E42" s="379"/>
      <c r="F42" s="379"/>
      <c r="G42" s="379"/>
      <c r="H42" s="379"/>
      <c r="I42" s="378"/>
      <c r="J42" s="378"/>
      <c r="K42" s="378"/>
      <c r="L42" s="378"/>
      <c r="M42" s="378"/>
    </row>
    <row r="43" spans="1:18">
      <c r="A43" s="379"/>
      <c r="B43" s="379"/>
      <c r="C43" s="379"/>
      <c r="D43" s="379"/>
      <c r="E43" s="379"/>
      <c r="F43" s="379"/>
      <c r="G43" s="379"/>
      <c r="H43" s="379"/>
      <c r="I43" s="51"/>
      <c r="J43" s="51"/>
      <c r="K43" s="6"/>
      <c r="L43" s="6"/>
      <c r="M43" s="6"/>
    </row>
    <row r="44" spans="1:18">
      <c r="A44" s="389" t="s">
        <v>216</v>
      </c>
      <c r="B44" s="389"/>
      <c r="C44" s="323" t="str">
        <f>VLOOKUP($D$44,Staff!$B$2:$D$41,2,FALSE)</f>
        <v>CIA</v>
      </c>
      <c r="D44" s="375" t="str">
        <f>VLOOKUP(VLOOKUP($E$56,$E$60:$J$71,6,FALSE),Staff!$A$2:$D$13,2,FALSE)</f>
        <v>KY LAU</v>
      </c>
      <c r="E44" s="375"/>
      <c r="F44" s="325" t="s">
        <v>215</v>
      </c>
      <c r="G44" s="390" t="str">
        <f>VLOOKUP($D$44,Staff!$B$2:$D$39,3,FALSE)</f>
        <v>9861 1888</v>
      </c>
      <c r="H44" s="390"/>
      <c r="I44" s="391" t="s">
        <v>223</v>
      </c>
      <c r="J44" s="391"/>
      <c r="K44" s="375" t="str">
        <f>IF(COUNTIF($E$60:$E$63,$E$56)&gt;0,Staff!$G$2,"")&amp;IF(COUNTIF($E$64:$E$67,$E$56)&gt;0,Staff!$G$3,"")&amp;IF(COUNTIF($E$68:$E$71,$E$56)&gt;0,Staff!$G$4,"")</f>
        <v>WONG, TSZ MING</v>
      </c>
      <c r="L44" s="375"/>
      <c r="M44" s="375"/>
    </row>
    <row r="45" spans="1:18">
      <c r="A45" s="389" t="s">
        <v>217</v>
      </c>
      <c r="B45" s="389"/>
      <c r="C45" s="323" t="str">
        <f>VLOOKUP($D$45,Staff!$B$2:$D$41,2,FALSE)</f>
        <v>CIA</v>
      </c>
      <c r="D45" s="375" t="str">
        <f>VLOOKUP(VLOOKUP($E$57,$E$60:$J$71,6,FALSE),Staff!$A$2:$D$13,2,FALSE)</f>
        <v>YM KWOK</v>
      </c>
      <c r="E45" s="375"/>
      <c r="F45" s="325" t="s">
        <v>215</v>
      </c>
      <c r="G45" s="390" t="str">
        <f>VLOOKUP($D$45,Staff!$B$2:$D$39,3,FALSE)</f>
        <v>9786 1247</v>
      </c>
      <c r="H45" s="390"/>
      <c r="I45" s="391" t="s">
        <v>224</v>
      </c>
      <c r="J45" s="391"/>
      <c r="K45" s="375" t="str">
        <f>IF(COUNTIF($E$60:$E$63,$E$57)&gt;0,Staff!$G$2,"")&amp;IF(COUNTIF($E$64:$E$67,$E$57)&gt;0,Staff!$G$3,"")&amp;IF(COUNTIF($E$68:$E$71,$E$57)&gt;0,Staff!$G$4,"")</f>
        <v>HO, KING KAI</v>
      </c>
      <c r="L45" s="375"/>
      <c r="M45" s="375"/>
    </row>
    <row r="46" spans="1:18">
      <c r="A46" s="329"/>
      <c r="B46" s="329"/>
      <c r="C46" s="327"/>
      <c r="D46" s="395"/>
      <c r="E46" s="395"/>
      <c r="F46" s="324"/>
      <c r="G46" s="396"/>
      <c r="H46" s="396"/>
      <c r="I46" s="390"/>
      <c r="J46" s="390"/>
      <c r="K46" s="143"/>
      <c r="L46" s="143"/>
      <c r="M46" s="143"/>
    </row>
    <row r="47" spans="1:18">
      <c r="A47" s="397" t="s">
        <v>4</v>
      </c>
      <c r="B47" s="397"/>
      <c r="C47" s="396" t="s">
        <v>218</v>
      </c>
      <c r="D47" s="396"/>
      <c r="E47" s="396"/>
      <c r="F47" s="154" t="s">
        <v>213</v>
      </c>
      <c r="G47" s="398" t="str">
        <f>IF(COUNTIF($E$60:$E$63,$E$56)&gt;0,Staff!$G$14,"")&amp;IF(COUNTIF($E$64:$E$67,$E$56)&gt;0,Staff!$G$13,"")&amp;IF(COUNTIF($E$68:$E$71,$E$56)&gt;0,Staff!$G$12,"")</f>
        <v>CHONG, MAN LOK</v>
      </c>
      <c r="H47" s="398"/>
      <c r="I47" s="398"/>
      <c r="J47" s="333" t="s">
        <v>209</v>
      </c>
      <c r="K47" s="390" t="str">
        <f>VLOOKUP(VLOOKUP($B$3,$E$60:$J$71,6,FALSE),Staff!$F$22:$G$47,2,FALSE)</f>
        <v>AU, NELSON</v>
      </c>
      <c r="L47" s="390"/>
      <c r="M47" s="390"/>
      <c r="N47" s="12"/>
    </row>
    <row r="48" spans="1:18">
      <c r="A48" s="155"/>
      <c r="B48" s="155"/>
      <c r="C48" s="396" t="s">
        <v>219</v>
      </c>
      <c r="D48" s="396"/>
      <c r="E48" s="396"/>
      <c r="F48" s="154" t="s">
        <v>214</v>
      </c>
      <c r="G48" s="375" t="str">
        <f>IF(COUNTIF($E$60:$E$63,$E$57)&gt;0,Staff!$G$14,"")&amp;IF(COUNTIF($E$64:$E$67,$E$57)&gt;0,Staff!$G$13,"")&amp;IF(COUNTIF($E$68:$E$71,$E$57)&gt;0,Staff!$G$12,"")</f>
        <v>CHIU, OI YU (F)</v>
      </c>
      <c r="H48" s="375"/>
      <c r="I48" s="375"/>
      <c r="J48" s="333" t="s">
        <v>208</v>
      </c>
      <c r="K48" s="390"/>
      <c r="L48" s="390"/>
      <c r="M48" s="390"/>
    </row>
    <row r="49" spans="1:13">
      <c r="A49" s="320"/>
      <c r="B49" s="320"/>
      <c r="C49" s="327"/>
      <c r="D49" s="401"/>
      <c r="E49" s="401"/>
      <c r="F49" s="401"/>
      <c r="G49" s="401"/>
      <c r="H49" s="401"/>
      <c r="I49" s="401"/>
      <c r="J49" s="333" t="s">
        <v>210</v>
      </c>
      <c r="K49" s="390"/>
      <c r="L49" s="390"/>
      <c r="M49" s="390"/>
    </row>
    <row r="50" spans="1:13">
      <c r="A50" s="392" t="s">
        <v>3</v>
      </c>
      <c r="B50" s="393"/>
      <c r="C50" s="394" t="s">
        <v>220</v>
      </c>
      <c r="D50" s="394"/>
      <c r="E50" s="394"/>
      <c r="F50" s="397" t="s">
        <v>408</v>
      </c>
      <c r="G50" s="397"/>
      <c r="H50" s="397"/>
      <c r="I50" s="397"/>
      <c r="J50" s="333" t="s">
        <v>211</v>
      </c>
      <c r="K50" s="390"/>
      <c r="L50" s="390"/>
      <c r="M50" s="390"/>
    </row>
    <row r="51" spans="1:13">
      <c r="A51" s="393" t="s">
        <v>2</v>
      </c>
      <c r="B51" s="393"/>
      <c r="C51" s="411" t="s">
        <v>221</v>
      </c>
      <c r="D51" s="411"/>
      <c r="E51" s="411"/>
      <c r="F51" s="412" t="s">
        <v>1</v>
      </c>
      <c r="G51" s="412"/>
      <c r="H51" s="400" t="s">
        <v>409</v>
      </c>
      <c r="I51" s="400"/>
      <c r="J51" s="333" t="s">
        <v>212</v>
      </c>
      <c r="K51" s="390"/>
      <c r="L51" s="390"/>
      <c r="M51" s="390"/>
    </row>
    <row r="52" spans="1:13">
      <c r="A52" s="155"/>
      <c r="B52" s="155"/>
      <c r="C52" s="320"/>
      <c r="D52" s="399"/>
      <c r="E52" s="399"/>
      <c r="F52" s="391"/>
      <c r="G52" s="391"/>
      <c r="H52" s="400" t="s">
        <v>410</v>
      </c>
      <c r="I52" s="400"/>
      <c r="J52" s="326"/>
      <c r="K52" s="329"/>
      <c r="L52" s="329"/>
      <c r="M52" s="47"/>
    </row>
    <row r="53" spans="1:13" ht="16.5" customHeight="1">
      <c r="A53" s="392" t="s">
        <v>0</v>
      </c>
      <c r="B53" s="392"/>
      <c r="C53" s="407" t="s">
        <v>222</v>
      </c>
      <c r="D53" s="407"/>
      <c r="E53" s="407"/>
      <c r="F53" s="326"/>
      <c r="G53" s="333"/>
      <c r="H53" s="394" t="s">
        <v>411</v>
      </c>
      <c r="I53" s="394"/>
      <c r="J53" s="332"/>
      <c r="K53" s="329"/>
      <c r="L53" s="329"/>
      <c r="M53" s="47"/>
    </row>
    <row r="54" spans="1:13">
      <c r="C54" s="408"/>
      <c r="D54" s="408"/>
      <c r="E54" s="408"/>
      <c r="F54" s="408"/>
      <c r="G54" s="408"/>
      <c r="H54" s="408"/>
      <c r="J54" s="53"/>
      <c r="K54" s="112"/>
      <c r="L54" s="112"/>
    </row>
    <row r="55" spans="1:13" ht="16.5" thickBot="1">
      <c r="A55" s="3"/>
      <c r="B55" s="3"/>
      <c r="C55" s="3"/>
      <c r="D55" s="2"/>
      <c r="E55" s="39"/>
      <c r="F55" s="331"/>
      <c r="G55" s="331"/>
      <c r="I55" s="409"/>
      <c r="J55" s="409"/>
      <c r="K55" s="112"/>
      <c r="L55" s="112"/>
    </row>
    <row r="56" spans="1:13">
      <c r="D56" s="330"/>
      <c r="E56" s="90" t="s">
        <v>133</v>
      </c>
      <c r="F56" s="91" t="s">
        <v>135</v>
      </c>
      <c r="G56" s="91"/>
      <c r="H56" s="92"/>
      <c r="I56" s="330"/>
      <c r="J56" s="330"/>
    </row>
    <row r="57" spans="1:13" ht="16.5" thickBot="1">
      <c r="D57" s="330"/>
      <c r="E57" s="93" t="s">
        <v>134</v>
      </c>
      <c r="F57" s="94" t="s">
        <v>136</v>
      </c>
      <c r="G57" s="94"/>
      <c r="H57" s="95"/>
      <c r="I57" s="330"/>
      <c r="J57" s="330"/>
    </row>
    <row r="58" spans="1:13">
      <c r="D58" s="330"/>
      <c r="E58" s="330"/>
      <c r="F58" s="330"/>
      <c r="G58" s="330"/>
      <c r="H58" s="330"/>
      <c r="I58" s="330"/>
      <c r="J58" s="330"/>
    </row>
    <row r="59" spans="1:13" ht="16.5" thickBot="1">
      <c r="D59" s="85" t="s">
        <v>132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98</v>
      </c>
      <c r="J59" s="330"/>
      <c r="K59" s="96" t="s">
        <v>302</v>
      </c>
      <c r="L59" s="96" t="s">
        <v>303</v>
      </c>
      <c r="M59" s="96"/>
    </row>
    <row r="60" spans="1:13">
      <c r="D60" s="97" t="s">
        <v>86</v>
      </c>
      <c r="E60" s="98" t="str">
        <f>_xlfn.IFNA(VLOOKUP(MOD((($D$1-WEEKDAY($D$1,2)+1)-45523)/7+21,24),Shift!$A$2:$H$25,WEEKDAY($D$1,2)+1),VLOOKUP(24,Shift!$A$2:$H$25,WEEKDAY($D$1,2)+1))</f>
        <v>L</v>
      </c>
      <c r="F60" s="98">
        <f>IF(OR($E60="L",$E60="L#"),0,"?")</f>
        <v>0</v>
      </c>
      <c r="G60" s="98">
        <f>IF(OR($E60="L",$E60="L#"),0,"?")</f>
        <v>0</v>
      </c>
      <c r="H60" s="98">
        <f>IF(OR($E60="L",$E60="L#"),0,"?")</f>
        <v>0</v>
      </c>
      <c r="I60" s="99">
        <f t="shared" ref="I60:I71" si="7">IF(OR($E60="L",$E60="L#"),0,SUM($F60:$H60))</f>
        <v>0</v>
      </c>
      <c r="J60" s="136" t="s">
        <v>86</v>
      </c>
      <c r="K60" s="112" t="str">
        <f>IF(AND($F60&gt;1,$F60&lt;&gt;"?"),$F60-1,"")</f>
        <v/>
      </c>
      <c r="L60" s="112" t="str">
        <f>IF(AND($G60&gt;1,$G60&lt;&gt;"?"),$G60-1,"")</f>
        <v/>
      </c>
      <c r="M60" s="112"/>
    </row>
    <row r="61" spans="1:13">
      <c r="D61" s="100" t="s">
        <v>85</v>
      </c>
      <c r="E61" s="101" t="str">
        <f>_xlfn.IFNA(VLOOKUP(MOD((($D$1-WEEKDAY($D$1,2)+1)-45523)/7+3,24),Shift!$A$2:$H$25,WEEKDAY($D$1,2)+1),VLOOKUP(24,Shift!$A$2:$H$25,WEEKDAY($D$1,2)+1))</f>
        <v>L#</v>
      </c>
      <c r="F61" s="101">
        <f t="shared" ref="F61:H71" si="8">IF(OR($E61="L",$E61="L#"),0,"?")</f>
        <v>0</v>
      </c>
      <c r="G61" s="101">
        <f t="shared" si="8"/>
        <v>0</v>
      </c>
      <c r="H61" s="101">
        <f t="shared" si="8"/>
        <v>0</v>
      </c>
      <c r="I61" s="102">
        <f t="shared" si="7"/>
        <v>0</v>
      </c>
      <c r="J61" s="137" t="s">
        <v>85</v>
      </c>
      <c r="K61" s="112" t="str">
        <f t="shared" ref="K61:K71" si="9">IF(AND($F61&gt;1,$F61&lt;&gt;"?"),$F61-1,"")</f>
        <v/>
      </c>
      <c r="L61" s="112" t="str">
        <f t="shared" ref="L61:L71" si="10">IF(AND($G61&gt;1,$G61&lt;&gt;"?"),$G61-1,"")</f>
        <v/>
      </c>
      <c r="M61" s="112"/>
    </row>
    <row r="62" spans="1:13">
      <c r="D62" s="100" t="s">
        <v>99</v>
      </c>
      <c r="E62" s="101" t="str">
        <f>_xlfn.IFNA(VLOOKUP(MOD((($D$1-WEEKDAY($D$1,2)+1)-45523)/7+9,24),Shift!$A$2:$H$25,WEEKDAY($D$1,2)+1),VLOOKUP(24,Shift!$A$2:$H$25,WEEKDAY($D$1,2)+1))</f>
        <v>L</v>
      </c>
      <c r="F62" s="101">
        <f t="shared" si="8"/>
        <v>0</v>
      </c>
      <c r="G62" s="101">
        <f t="shared" si="8"/>
        <v>0</v>
      </c>
      <c r="H62" s="101">
        <f t="shared" si="8"/>
        <v>0</v>
      </c>
      <c r="I62" s="102">
        <f t="shared" si="7"/>
        <v>0</v>
      </c>
      <c r="J62" s="137" t="s">
        <v>99</v>
      </c>
      <c r="K62" s="112" t="str">
        <f t="shared" si="9"/>
        <v/>
      </c>
      <c r="L62" s="112" t="str">
        <f t="shared" si="10"/>
        <v/>
      </c>
      <c r="M62" s="112"/>
    </row>
    <row r="63" spans="1:13" ht="16.5" thickBot="1">
      <c r="D63" s="103" t="s">
        <v>100</v>
      </c>
      <c r="E63" s="104" t="str">
        <f>_xlfn.IFNA(VLOOKUP(MOD((($D$1-WEEKDAY($D$1,2)+1)-45523)/7+15,24),Shift!$A$2:$H$25,WEEKDAY($D$1,2)+1),VLOOKUP(24,Shift!$A$2:$H$25,WEEKDAY($D$1,2)+1))</f>
        <v>L</v>
      </c>
      <c r="F63" s="104">
        <f t="shared" si="8"/>
        <v>0</v>
      </c>
      <c r="G63" s="104">
        <f t="shared" si="8"/>
        <v>0</v>
      </c>
      <c r="H63" s="104">
        <f t="shared" si="8"/>
        <v>0</v>
      </c>
      <c r="I63" s="105">
        <f t="shared" si="7"/>
        <v>0</v>
      </c>
      <c r="J63" s="138" t="s">
        <v>100</v>
      </c>
      <c r="K63" s="112" t="str">
        <f t="shared" si="9"/>
        <v/>
      </c>
      <c r="L63" s="112" t="str">
        <f t="shared" si="10"/>
        <v/>
      </c>
      <c r="M63" s="112"/>
    </row>
    <row r="64" spans="1:13">
      <c r="D64" s="97" t="s">
        <v>101</v>
      </c>
      <c r="E64" s="98" t="str">
        <f>_xlfn.IFNA(VLOOKUP(MOD((($D$1-WEEKDAY($D$1,2)+1)-45523)/7+19,24),Shift!$A$2:$H$25,WEEKDAY($D$1,2)+1),VLOOKUP(24,Shift!$A$2:$H$25,WEEKDAY($D$1,2)+1))</f>
        <v>A</v>
      </c>
      <c r="F64" s="98" t="str">
        <f t="shared" si="8"/>
        <v>?</v>
      </c>
      <c r="G64" s="98" t="str">
        <f t="shared" si="8"/>
        <v>?</v>
      </c>
      <c r="H64" s="98" t="str">
        <f t="shared" si="8"/>
        <v>?</v>
      </c>
      <c r="I64" s="99">
        <f t="shared" si="7"/>
        <v>0</v>
      </c>
      <c r="J64" s="136" t="s">
        <v>101</v>
      </c>
      <c r="K64" s="112" t="str">
        <f t="shared" si="9"/>
        <v/>
      </c>
      <c r="L64" s="112" t="str">
        <f t="shared" si="10"/>
        <v/>
      </c>
      <c r="M64" s="112"/>
    </row>
    <row r="65" spans="4:13">
      <c r="D65" s="100" t="s">
        <v>102</v>
      </c>
      <c r="E65" s="101" t="str">
        <f>_xlfn.IFNA(VLOOKUP(MOD((($D$1-WEEKDAY($D$1,2)+1)-45523)/7+1,24),Shift!$A$2:$H$25,WEEKDAY($D$1,2)+1),VLOOKUP(24,Shift!$A$2:$H$25,WEEKDAY($D$1,2)+1))</f>
        <v>P1</v>
      </c>
      <c r="F65" s="101" t="str">
        <f t="shared" si="8"/>
        <v>?</v>
      </c>
      <c r="G65" s="101" t="str">
        <f t="shared" si="8"/>
        <v>?</v>
      </c>
      <c r="H65" s="101" t="str">
        <f t="shared" si="8"/>
        <v>?</v>
      </c>
      <c r="I65" s="102">
        <f t="shared" si="7"/>
        <v>0</v>
      </c>
      <c r="J65" s="137" t="s">
        <v>102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100" t="s">
        <v>103</v>
      </c>
      <c r="E66" s="101" t="str">
        <f>_xlfn.IFNA(VLOOKUP(MOD((($D$1-WEEKDAY($D$1,2)+1)-45523)/7+7,24),Shift!$A$2:$H$25,WEEKDAY($D$1,2)+1),VLOOKUP(24,Shift!$A$2:$H$25,WEEKDAY($D$1,2)+1))</f>
        <v>P1 @</v>
      </c>
      <c r="F66" s="101" t="str">
        <f t="shared" si="8"/>
        <v>?</v>
      </c>
      <c r="G66" s="101" t="str">
        <f t="shared" si="8"/>
        <v>?</v>
      </c>
      <c r="H66" s="101" t="str">
        <f t="shared" si="8"/>
        <v>?</v>
      </c>
      <c r="I66" s="102">
        <f t="shared" si="7"/>
        <v>0</v>
      </c>
      <c r="J66" s="137" t="s">
        <v>103</v>
      </c>
      <c r="K66" s="112" t="str">
        <f t="shared" si="9"/>
        <v/>
      </c>
      <c r="L66" s="112" t="str">
        <f t="shared" si="10"/>
        <v/>
      </c>
      <c r="M66" s="112"/>
    </row>
    <row r="67" spans="4:13" ht="16.5" thickBot="1">
      <c r="D67" s="103" t="s">
        <v>104</v>
      </c>
      <c r="E67" s="104" t="str">
        <f>_xlfn.IFNA(VLOOKUP(MOD((($D$1-WEEKDAY($D$1,2)+1)-45523)/7+13,24),Shift!$A$2:$H$25,WEEKDAY($D$1,2)+1),VLOOKUP(24,Shift!$A$2:$H$25,WEEKDAY($D$1,2)+1))</f>
        <v>P4</v>
      </c>
      <c r="F67" s="104" t="str">
        <f t="shared" si="8"/>
        <v>?</v>
      </c>
      <c r="G67" s="104" t="str">
        <f t="shared" si="8"/>
        <v>?</v>
      </c>
      <c r="H67" s="104" t="str">
        <f t="shared" si="8"/>
        <v>?</v>
      </c>
      <c r="I67" s="105">
        <f t="shared" si="7"/>
        <v>0</v>
      </c>
      <c r="J67" s="138" t="s">
        <v>104</v>
      </c>
      <c r="K67" s="112" t="str">
        <f t="shared" si="9"/>
        <v/>
      </c>
      <c r="L67" s="112" t="str">
        <f t="shared" si="10"/>
        <v/>
      </c>
      <c r="M67" s="112"/>
    </row>
    <row r="68" spans="4:13">
      <c r="D68" s="97" t="s">
        <v>105</v>
      </c>
      <c r="E68" s="98" t="str">
        <f>_xlfn.IFNA(VLOOKUP(MOD((($D$1-WEEKDAY($D$1,2)+1)-45523)/7+17,24),Shift!$A$2:$H$25,WEEKDAY($D$1,2)+1),VLOOKUP(24,Shift!$A$2:$H$25,WEEKDAY($D$1,2)+1))</f>
        <v>M</v>
      </c>
      <c r="F68" s="98" t="str">
        <f t="shared" si="8"/>
        <v>?</v>
      </c>
      <c r="G68" s="98" t="str">
        <f t="shared" si="8"/>
        <v>?</v>
      </c>
      <c r="H68" s="98" t="str">
        <f t="shared" si="8"/>
        <v>?</v>
      </c>
      <c r="I68" s="99">
        <f t="shared" si="7"/>
        <v>0</v>
      </c>
      <c r="J68" s="136" t="s">
        <v>105</v>
      </c>
      <c r="K68" s="112" t="str">
        <f t="shared" si="9"/>
        <v/>
      </c>
      <c r="L68" s="112" t="str">
        <f t="shared" si="10"/>
        <v/>
      </c>
      <c r="M68" s="112"/>
    </row>
    <row r="69" spans="4:13">
      <c r="D69" s="100" t="s">
        <v>106</v>
      </c>
      <c r="E69" s="101" t="str">
        <f>_xlfn.IFNA(VLOOKUP(MOD((($D$1-WEEKDAY($D$1,2)+1)-45523)/7+23,24),Shift!$A$2:$H$25,WEEKDAY($D$1,2)+1),VLOOKUP(24,Shift!$A$2:$H$25,WEEKDAY($D$1,2)+1))</f>
        <v>G1</v>
      </c>
      <c r="F69" s="101" t="str">
        <f t="shared" si="8"/>
        <v>?</v>
      </c>
      <c r="G69" s="101" t="str">
        <f t="shared" si="8"/>
        <v>?</v>
      </c>
      <c r="H69" s="101" t="str">
        <f t="shared" si="8"/>
        <v>?</v>
      </c>
      <c r="I69" s="102">
        <f t="shared" si="7"/>
        <v>0</v>
      </c>
      <c r="J69" s="137" t="s">
        <v>106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100" t="s">
        <v>107</v>
      </c>
      <c r="E70" s="101" t="str">
        <f>_xlfn.IFNA(VLOOKUP(MOD((($D$1-WEEKDAY($D$1,2)+1)-45523)/7+5,24),Shift!$A$2:$H$25,WEEKDAY($D$1,2)+1),VLOOKUP(24,Shift!$A$2:$H$25,WEEKDAY($D$1,2)+1))</f>
        <v>L</v>
      </c>
      <c r="F70" s="101">
        <f t="shared" si="8"/>
        <v>0</v>
      </c>
      <c r="G70" s="101">
        <f t="shared" si="8"/>
        <v>0</v>
      </c>
      <c r="H70" s="101">
        <f t="shared" si="8"/>
        <v>0</v>
      </c>
      <c r="I70" s="102">
        <f t="shared" si="7"/>
        <v>0</v>
      </c>
      <c r="J70" s="137" t="s">
        <v>107</v>
      </c>
      <c r="K70" s="112" t="str">
        <f t="shared" si="9"/>
        <v/>
      </c>
      <c r="L70" s="112" t="str">
        <f t="shared" si="10"/>
        <v/>
      </c>
      <c r="M70" s="112"/>
    </row>
    <row r="71" spans="4:13" ht="16.5" thickBot="1">
      <c r="D71" s="103" t="s">
        <v>108</v>
      </c>
      <c r="E71" s="104" t="str">
        <f>_xlfn.IFNA(VLOOKUP(MOD((($D$1-WEEKDAY($D$1,2)+1)-45523)/7+11,24),Shift!$A$2:$H$25,WEEKDAY($D$1,2)+1),VLOOKUP(24,Shift!$A$2:$H$25,WEEKDAY($D$1,2)+1))</f>
        <v>M @</v>
      </c>
      <c r="F71" s="104" t="str">
        <f t="shared" si="8"/>
        <v>?</v>
      </c>
      <c r="G71" s="104" t="str">
        <f t="shared" si="8"/>
        <v>?</v>
      </c>
      <c r="H71" s="104" t="str">
        <f t="shared" si="8"/>
        <v>?</v>
      </c>
      <c r="I71" s="105">
        <f t="shared" si="7"/>
        <v>0</v>
      </c>
      <c r="J71" s="138" t="s">
        <v>108</v>
      </c>
      <c r="K71" s="112" t="str">
        <f t="shared" si="9"/>
        <v/>
      </c>
      <c r="L71" s="112" t="str">
        <f t="shared" si="10"/>
        <v/>
      </c>
      <c r="M71" s="112"/>
    </row>
    <row r="72" spans="4:13">
      <c r="D72" s="144" t="s">
        <v>86</v>
      </c>
      <c r="E72" s="98" t="s">
        <v>127</v>
      </c>
      <c r="F72" s="98"/>
      <c r="G72" s="98"/>
      <c r="H72" s="98"/>
      <c r="I72" s="99">
        <f>IF(OR($E72="L",$E72="L#",$E72="?"),0,SUM($F72:$H72))</f>
        <v>0</v>
      </c>
      <c r="J72" s="330"/>
    </row>
    <row r="73" spans="4:13">
      <c r="D73" s="145" t="s">
        <v>137</v>
      </c>
      <c r="E73" s="101" t="s">
        <v>127</v>
      </c>
      <c r="F73" s="101"/>
      <c r="G73" s="101"/>
      <c r="H73" s="101"/>
      <c r="I73" s="102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 ht="16.5" thickBot="1">
      <c r="D75" s="146" t="s">
        <v>137</v>
      </c>
      <c r="E75" s="104" t="s">
        <v>127</v>
      </c>
      <c r="F75" s="106"/>
      <c r="G75" s="106"/>
      <c r="H75" s="106"/>
      <c r="I75" s="105">
        <f>IF(OR($E75="L",$E75="L#",$E75="?"),0,SUM($F75:$H75))</f>
        <v>0</v>
      </c>
      <c r="J75" s="330"/>
    </row>
    <row r="76" spans="4:13">
      <c r="D76" s="330"/>
      <c r="E76" s="96" t="s">
        <v>98</v>
      </c>
      <c r="F76" s="96" t="str">
        <f>SUM($F$60:$F$75)&amp;IF(SUM($F$60:$H$75)&gt;$I$76,"?","")</f>
        <v>0</v>
      </c>
      <c r="G76" s="96" t="str">
        <f>SUM($G$60:$G$75)&amp;IF(SUM($F$60:$H$75)&gt;$I$76,"?","")</f>
        <v>0</v>
      </c>
      <c r="H76" s="96" t="str">
        <f>SUM($H$60:$H$75)&amp;IF(SUM($F$60:$H$75)&gt;$I$76,"?","")</f>
        <v>0</v>
      </c>
      <c r="I76" s="96">
        <f>SUM(I60:I75)</f>
        <v>0</v>
      </c>
      <c r="J76" s="330"/>
    </row>
    <row r="77" spans="4:13">
      <c r="D77" s="330"/>
      <c r="E77" s="330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330"/>
      <c r="J77" s="330"/>
    </row>
    <row r="79" spans="4:13">
      <c r="D79" s="410" t="s">
        <v>281</v>
      </c>
      <c r="E79" s="410"/>
      <c r="F79" s="410"/>
    </row>
    <row r="80" spans="4:13">
      <c r="D80" s="49" t="str">
        <f>IF(Flight!$A$68=0,"",Flight!$A$68)</f>
        <v/>
      </c>
      <c r="E80" s="163"/>
      <c r="F80" s="164" t="str">
        <f>IF(D80="","",VLOOKUP(D80,Flight!$A$68:$C$91,3,FALSE))</f>
        <v/>
      </c>
    </row>
    <row r="81" spans="4:6">
      <c r="D81" s="49" t="str">
        <f>IF(Flight!$A69=0,"",Flight!$A69)</f>
        <v/>
      </c>
      <c r="F81" s="164" t="str">
        <f>IF(D81="","",VLOOKUP(D81,Flight!$A$68:$C$91,3,FALSE))</f>
        <v/>
      </c>
    </row>
    <row r="82" spans="4:6">
      <c r="D82" s="49" t="str">
        <f>IF(Flight!$A71=0,"",Flight!$A71)</f>
        <v>3A031</v>
      </c>
      <c r="F82" s="164" t="str">
        <f>IF(D82="","",VLOOKUP(D82,Flight!$A$68:$C$91,3,FALSE))</f>
        <v>ZTI</v>
      </c>
    </row>
    <row r="83" spans="4:6">
      <c r="D83" s="49" t="str">
        <f>IF(Flight!$A72=0,"",Flight!$A72)</f>
        <v>3A003</v>
      </c>
      <c r="F83" s="164" t="str">
        <f>IF(D83="","",VLOOKUP(D83,Flight!$A$68:$C$91,3,FALSE))</f>
        <v>ZYK</v>
      </c>
    </row>
    <row r="84" spans="4:6">
      <c r="D84" s="49" t="str">
        <f>IF(Flight!$A73=0,"",Flight!$A73)</f>
        <v>3A005</v>
      </c>
      <c r="F84" s="164" t="str">
        <f>IF(D84="","",VLOOKUP(D84,Flight!$A$68:$C$91,3,FALSE))</f>
        <v>HKM</v>
      </c>
    </row>
    <row r="85" spans="4:6">
      <c r="D85" s="49" t="str">
        <f>IF(Flight!$A74=0,"",Flight!$A74)</f>
        <v>3A007</v>
      </c>
      <c r="F85" s="164" t="str">
        <f>IF(D85="","",VLOOKUP(D85,Flight!$A$68:$C$91,3,FALSE))</f>
        <v>ZYK</v>
      </c>
    </row>
    <row r="86" spans="4:6">
      <c r="D86" s="49" t="str">
        <f>IF(Flight!$A75=0,"",Flight!$A75)</f>
        <v>3A008</v>
      </c>
      <c r="F86" s="164" t="str">
        <f>IF(D86="","",VLOOKUP(D86,Flight!$A$68:$C$91,3,FALSE))</f>
        <v>ZYK</v>
      </c>
    </row>
    <row r="87" spans="4:6">
      <c r="D87" s="49" t="str">
        <f>IF(Flight!$A76=0,"",Flight!$A76)</f>
        <v>3A009</v>
      </c>
      <c r="F87" s="164" t="str">
        <f>IF(D87="","",VLOOKUP(D87,Flight!$A$68:$C$91,3,FALSE))</f>
        <v>ZYK</v>
      </c>
    </row>
    <row r="88" spans="4:6">
      <c r="D88" s="49" t="str">
        <f>IF(Flight!$A77=0,"",Flight!$A77)</f>
        <v>3A010</v>
      </c>
      <c r="F88" s="164" t="str">
        <f>IF(D88="","",VLOOKUP(D88,Flight!$A$68:$C$91,3,FALSE))</f>
        <v>ZYK</v>
      </c>
    </row>
    <row r="89" spans="4:6">
      <c r="D89" s="49" t="str">
        <f>IF(Flight!$A78=0,"",Flight!$A78)</f>
        <v/>
      </c>
      <c r="F89" s="164" t="str">
        <f>IF(D89="","",VLOOKUP(D89,Flight!$A$68:$C$91,3,FALSE))</f>
        <v/>
      </c>
    </row>
    <row r="90" spans="4:6">
      <c r="D90" s="49" t="str">
        <f>IF(Flight!$A80=0,"",Flight!$A80)</f>
        <v>8S7121</v>
      </c>
      <c r="F90" s="164" t="str">
        <f>IF(D90="","",VLOOKUP(D90,Flight!$A$68:$C$91,3,FALSE))</f>
        <v>HKM</v>
      </c>
    </row>
    <row r="91" spans="4:6">
      <c r="D91" s="49" t="str">
        <f>IF(Flight!$A81=0,"",Flight!$A81)</f>
        <v>8S7108</v>
      </c>
      <c r="F91" s="164" t="str">
        <f>IF(D91="","",VLOOKUP(D91,Flight!$A$68:$C$91,3,FALSE))</f>
        <v>ZYK</v>
      </c>
    </row>
    <row r="92" spans="4:6">
      <c r="D92" s="49" t="str">
        <f>IF(Flight!$A82=0,"",Flight!$A82)</f>
        <v>8S7111</v>
      </c>
      <c r="F92" s="164" t="str">
        <f>IF(D92="","",VLOOKUP(D92,Flight!$A$68:$C$91,3,FALSE))</f>
        <v>ZYK</v>
      </c>
    </row>
    <row r="93" spans="4:6">
      <c r="D93" s="49" t="str">
        <f>IF(Flight!$A83=0,"",Flight!$A83)</f>
        <v>8S7131</v>
      </c>
      <c r="F93" s="164" t="str">
        <f>IF(D93="","",VLOOKUP(D93,Flight!$A$68:$C$91,3,FALSE))</f>
        <v>?</v>
      </c>
    </row>
    <row r="94" spans="4:6">
      <c r="D94" s="49" t="str">
        <f>IF(Flight!$A84=0,"",Flight!$A84)</f>
        <v>8S7119</v>
      </c>
      <c r="F94" s="164" t="str">
        <f>IF(D94="","",VLOOKUP(D94,Flight!$A$68:$C$91,3,FALSE))</f>
        <v>HKM</v>
      </c>
    </row>
    <row r="95" spans="4:6">
      <c r="D95" s="49" t="str">
        <f>IF(Flight!$A85=0,"",Flight!$A85)</f>
        <v>8S7126</v>
      </c>
      <c r="F95" s="164" t="str">
        <f>IF(D95="","",VLOOKUP(D95,Flight!$A$68:$C$91,3,FALSE))</f>
        <v>HKM</v>
      </c>
    </row>
    <row r="96" spans="4:6">
      <c r="D96" s="49" t="str">
        <f>IF(Flight!$A86=0,"",Flight!$A86)</f>
        <v>8S7128</v>
      </c>
      <c r="F96" s="164" t="str">
        <f>IF(D96="","",VLOOKUP(D96,Flight!$A$68:$C$91,3,FALSE))</f>
        <v>HKM</v>
      </c>
    </row>
    <row r="97" spans="4:6">
      <c r="D97" s="49" t="str">
        <f>IF(Flight!$A87=0,"",Flight!$A87)</f>
        <v>3A8010</v>
      </c>
      <c r="F97" s="164" t="str">
        <f>IF(D97="","",VLOOKUP(D97,Flight!$A$68:$C$91,3,FALSE))</f>
        <v>HZI</v>
      </c>
    </row>
    <row r="98" spans="4:6">
      <c r="D98" s="49" t="str">
        <f>IF(Flight!$A88=0,"",Flight!$A88)</f>
        <v>3A8015</v>
      </c>
      <c r="F98" s="164" t="str">
        <f>IF(D98="","",VLOOKUP(D98,Flight!$A$68:$C$91,3,FALSE))</f>
        <v>?</v>
      </c>
    </row>
    <row r="99" spans="4:6">
      <c r="D99" s="49" t="str">
        <f>IF(Flight!$A89=0,"",Flight!$A89)</f>
        <v>3A8016</v>
      </c>
      <c r="F99" s="164" t="str">
        <f>IF(D99="","",VLOOKUP(D99,Flight!$A$68:$C$91,3,FALSE))</f>
        <v>HZI</v>
      </c>
    </row>
    <row r="100" spans="4:6">
      <c r="D100" s="49" t="str">
        <f>IF(Flight!$A91=0,"",Flight!$A91)</f>
        <v xml:space="preserve">Last </v>
      </c>
      <c r="F100" s="164" t="str">
        <f>IF(D100="","",VLOOKUP(D100,Flight!$A$68:$C$91,3,FALSE))</f>
        <v>↑</v>
      </c>
    </row>
    <row r="101" spans="4:6">
      <c r="D101" s="49" t="str">
        <f>IF(Flight!$A92=0,"",Flight!$A92)</f>
        <v/>
      </c>
      <c r="F101" s="164" t="str">
        <f>IF(D101="","",VLOOKUP(D101,Flight!$A$68:$C$91,3,FALSE))</f>
        <v/>
      </c>
    </row>
    <row r="102" spans="4:6">
      <c r="D102" s="186"/>
      <c r="F102" s="187"/>
    </row>
    <row r="103" spans="4:6">
      <c r="D103" s="406" t="str">
        <f>IF(Flight!$A$93=0,"",Flight!$A$93)</f>
        <v>Target Flight</v>
      </c>
      <c r="E103" s="406"/>
      <c r="F103" s="406"/>
    </row>
    <row r="104" spans="4:6">
      <c r="D104" s="27" t="s">
        <v>59</v>
      </c>
      <c r="E104" s="158"/>
      <c r="F104" s="10" t="s">
        <v>38</v>
      </c>
    </row>
    <row r="105" spans="4:6">
      <c r="D105" s="27" t="s">
        <v>89</v>
      </c>
      <c r="E105" s="158"/>
      <c r="F105" s="10" t="s">
        <v>38</v>
      </c>
    </row>
    <row r="106" spans="4:6">
      <c r="D106" s="27" t="s">
        <v>254</v>
      </c>
      <c r="E106" s="158"/>
      <c r="F106" s="10" t="s">
        <v>38</v>
      </c>
    </row>
    <row r="107" spans="4:6">
      <c r="D107" s="27" t="s">
        <v>57</v>
      </c>
      <c r="E107" s="158"/>
      <c r="F107" s="10" t="s">
        <v>58</v>
      </c>
    </row>
    <row r="108" spans="4:6">
      <c r="D108" s="27" t="s">
        <v>198</v>
      </c>
      <c r="E108" s="158"/>
      <c r="F108" s="10" t="s">
        <v>199</v>
      </c>
    </row>
    <row r="109" spans="4:6">
      <c r="D109" s="27" t="s">
        <v>55</v>
      </c>
      <c r="E109" s="158"/>
      <c r="F109" s="10" t="s">
        <v>54</v>
      </c>
    </row>
    <row r="110" spans="4:6">
      <c r="D110" s="27" t="s">
        <v>39</v>
      </c>
      <c r="E110" s="158"/>
      <c r="F110" s="10" t="s">
        <v>38</v>
      </c>
    </row>
    <row r="111" spans="4:6">
      <c r="D111" s="27" t="s">
        <v>200</v>
      </c>
      <c r="E111" s="158"/>
      <c r="F111" s="10" t="s">
        <v>54</v>
      </c>
    </row>
    <row r="112" spans="4:6">
      <c r="D112" s="27" t="s">
        <v>201</v>
      </c>
      <c r="E112" s="158"/>
      <c r="F112" s="10" t="s">
        <v>38</v>
      </c>
    </row>
    <row r="113" spans="4:6">
      <c r="D113" s="161"/>
      <c r="E113" s="158"/>
      <c r="F113" s="159"/>
    </row>
    <row r="114" spans="4:6">
      <c r="D114" s="161"/>
      <c r="E114" s="158"/>
      <c r="F114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5:E45"/>
    <mergeCell ref="G45:H45"/>
    <mergeCell ref="I45:J45"/>
    <mergeCell ref="K44:M44"/>
    <mergeCell ref="H6:H7"/>
    <mergeCell ref="I6:I7"/>
    <mergeCell ref="J6:J7"/>
    <mergeCell ref="K6:M6"/>
    <mergeCell ref="A41:F41"/>
    <mergeCell ref="I41:M42"/>
    <mergeCell ref="A42:H42"/>
    <mergeCell ref="A6:A7"/>
    <mergeCell ref="B6:C6"/>
    <mergeCell ref="D6:D7"/>
    <mergeCell ref="E6:E7"/>
    <mergeCell ref="F6:F7"/>
    <mergeCell ref="A43:H43"/>
    <mergeCell ref="A44:B44"/>
    <mergeCell ref="D44:E44"/>
    <mergeCell ref="G44:H44"/>
    <mergeCell ref="I44:J44"/>
    <mergeCell ref="K45:M45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G46:H46"/>
    <mergeCell ref="I46:J46"/>
    <mergeCell ref="A45:B45"/>
    <mergeCell ref="D52:E52"/>
    <mergeCell ref="F52:G52"/>
    <mergeCell ref="H52:I52"/>
    <mergeCell ref="D49:I49"/>
    <mergeCell ref="K49:M49"/>
    <mergeCell ref="A51:B51"/>
    <mergeCell ref="C51:E51"/>
    <mergeCell ref="F51:G51"/>
    <mergeCell ref="H51:I51"/>
    <mergeCell ref="K51:M51"/>
    <mergeCell ref="D103:F103"/>
    <mergeCell ref="A53:B53"/>
    <mergeCell ref="C53:E53"/>
    <mergeCell ref="H53:I53"/>
    <mergeCell ref="C54:H54"/>
    <mergeCell ref="I55:J55"/>
    <mergeCell ref="D79:F79"/>
  </mergeCells>
  <phoneticPr fontId="2" type="noConversion"/>
  <conditionalFormatting sqref="H8:H40 E8:E40">
    <cfRule type="cellIs" dxfId="50" priority="4" operator="equal">
      <formula>""</formula>
    </cfRule>
  </conditionalFormatting>
  <conditionalFormatting sqref="F60:H77">
    <cfRule type="cellIs" dxfId="49" priority="3" operator="equal">
      <formula>"?"</formula>
    </cfRule>
  </conditionalFormatting>
  <conditionalFormatting sqref="D40:D997">
    <cfRule type="duplicateValues" dxfId="48" priority="2"/>
  </conditionalFormatting>
  <conditionalFormatting sqref="D8:D39">
    <cfRule type="duplicateValues" dxfId="47" priority="215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Staff!$G$2:$G$9</xm:f>
          </x14:formula1>
          <xm:sqref>K44:M45</xm:sqref>
        </x14:dataValidation>
        <x14:dataValidation type="list" allowBlank="1" showInputMessage="1">
          <x14:formula1>
            <xm:f>Staff!$G$12:$G$52</xm:f>
          </x14:formula1>
          <xm:sqref>G47:I48</xm:sqref>
        </x14:dataValidation>
        <x14:dataValidation type="list" allowBlank="1" showInputMessage="1">
          <x14:formula1>
            <xm:f>Staff!$G$23:$G$52</xm:f>
          </x14:formula1>
          <xm:sqref>K47:M51</xm:sqref>
        </x14:dataValidation>
        <x14:dataValidation type="list" allowBlank="1" showInputMessage="1">
          <x14:formula1>
            <xm:f>Staff!$B$15:$B$39</xm:f>
          </x14:formula1>
          <xm:sqref>D44:E44</xm:sqref>
        </x14:dataValidation>
        <x14:dataValidation type="list" errorStyle="warning" allowBlank="1" showInputMessage="1">
          <x14:formula1>
            <xm:f>Staff!$B$15:$B$39</xm:f>
          </x14:formula1>
          <xm:sqref>D45:E45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topLeftCell="A4" zoomScale="90" zoomScaleNormal="100" zoomScaleSheetLayoutView="90" workbookViewId="0">
      <selection activeCell="D34" sqref="D34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45767</v>
      </c>
      <c r="E1" s="355"/>
      <c r="F1" s="333" t="s">
        <v>23</v>
      </c>
      <c r="G1" s="110">
        <f>D1</f>
        <v>45767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S8(0)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S9(0)  &lt;S10(0)&gt; 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 xml:space="preserve">S11(0) 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S12(0)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S1(0)  &lt;S2(0)&gt;  S4(0)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S3(0)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2" si="0">IF($E8&lt;&gt;"",IF($E8-715&lt;0,VLOOKUP($B$3,$E$62:$J$73,6,FALSE),IF(AND($E8-2130&gt;0,_xlfn.IFNA(MATCH($D8,$D$106:$D$116,0)&lt;20,"")=TRUE),VLOOKUP($L$3,$E$62:$J$73,6,FALSE),"-")),"")</f>
        <v>S8</v>
      </c>
      <c r="C8" s="9" t="str">
        <f t="shared" ref="C8:C42" si="1">IF($E8&lt;&gt;"",IF(ISNUMBER(SEARCH("Hall Operation",$K8)),"-",IF($E8-715&lt;0,VLOOKUP($B$3,$E$62:$J$73,6,FALSE),IF($E8-2129&gt;0,VLOOKUP($L$3,$E$62:$J$73,6,FALSE),""))),"")</f>
        <v>-</v>
      </c>
      <c r="D8" s="336" t="s">
        <v>77</v>
      </c>
      <c r="E8" s="172" t="s">
        <v>984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2" si="2">IF($D8=0,"",IF(OR(ISNUMBER(SEARCH("S",$B8)),_xlfn.IFNA(MATCH($D8,$D$106:$D$116,0)&lt;20,"")=TRUE),"&lt;   Hall Operation   &gt;",""))</f>
        <v>&lt;   Hall Operation   &gt;</v>
      </c>
      <c r="L8" s="166"/>
      <c r="M8" s="166"/>
      <c r="N8" s="173"/>
    </row>
    <row r="9" spans="1:16" s="346" customFormat="1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S8</v>
      </c>
      <c r="C9" s="9" t="str">
        <f t="shared" si="1"/>
        <v>-</v>
      </c>
      <c r="D9" s="165" t="s">
        <v>982</v>
      </c>
      <c r="E9" s="172" t="s">
        <v>983</v>
      </c>
      <c r="F9" s="43"/>
      <c r="G9" s="43"/>
      <c r="H9" s="44" t="s">
        <v>963</v>
      </c>
      <c r="I9" s="44"/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  <c r="N9" s="173"/>
      <c r="O9" s="112"/>
    </row>
    <row r="10" spans="1:16" ht="16.5" customHeight="1">
      <c r="A10" s="9">
        <f>IF($A7="S/N",1,IF($F10="Wavied","-",IF($D10=0,"",ROW($A10)-ROW($A$7)-COUNTIF($A$7:$A$8,"@")-COUNTIF($A$7:$A$8,"-"))))</f>
        <v>3</v>
      </c>
      <c r="B10" s="9" t="str">
        <f t="shared" si="0"/>
        <v>S8</v>
      </c>
      <c r="C10" s="9" t="str">
        <f t="shared" si="1"/>
        <v>-</v>
      </c>
      <c r="D10" s="336" t="s">
        <v>63</v>
      </c>
      <c r="E10" s="172" t="str">
        <f>IF($D10&gt;0,VLOOKUP($D10,Flight!$A$1:$E$91,2,FALSE),"")</f>
        <v>0545</v>
      </c>
      <c r="F10" s="45"/>
      <c r="G10" s="43" t="str">
        <f t="shared" ref="G10:G42" si="3">IF(A10="@",IF(H10="ZYK","Berth 3",IF(H10="HKM","Bay 7","")),"")</f>
        <v/>
      </c>
      <c r="H10" s="44" t="str">
        <f>IF($D10&gt;0,VLOOKUP($D10,Flight!$A$1:$E$91,3,FALSE),"")</f>
        <v>CGK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IF($A8="S/N",1,IF($F11="Wavied","-",IF($D11=0,"",ROW($A11)-ROW($A$7)-COUNTIF($A$7:$A$8,"@")-COUNTIF($A$7:$A$8,"-"))))</f>
        <v>4</v>
      </c>
      <c r="B11" s="9" t="str">
        <f t="shared" si="0"/>
        <v>S8</v>
      </c>
      <c r="C11" s="9" t="str">
        <f t="shared" si="1"/>
        <v>-</v>
      </c>
      <c r="D11" s="10" t="s">
        <v>238</v>
      </c>
      <c r="E11" s="172" t="str">
        <f>IF($D11&gt;0,VLOOKUP($D11,Flight!$A$1:$E$91,2,FALSE),"")</f>
        <v>0555</v>
      </c>
      <c r="F11" s="45"/>
      <c r="G11" s="43" t="str">
        <f t="shared" si="3"/>
        <v/>
      </c>
      <c r="H11" s="44" t="str">
        <f>IF($D11&gt;0,VLOOKUP($D11,Flight!$A$1:$E$91,3,FALSE),"")</f>
        <v>BKK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ref="A12:A42" si="4">IF($A10="S/N",1,IF($F12="Wavied","-",IF($D12=0,"",ROW($A12)-ROW($A$7)-COUNTIF($A$7:$A$8,"@")-COUNTIF($A$7:$A$8,"-"))))</f>
        <v>5</v>
      </c>
      <c r="B12" s="9" t="str">
        <f t="shared" si="0"/>
        <v>S8</v>
      </c>
      <c r="C12" s="9" t="str">
        <f t="shared" si="1"/>
        <v>-</v>
      </c>
      <c r="D12" s="213" t="s">
        <v>89</v>
      </c>
      <c r="E12" s="172" t="str">
        <f>IF($D12&gt;0,VLOOKUP($D12,Flight!$A$1:$E$91,2,FALSE),"")</f>
        <v>0615</v>
      </c>
      <c r="F12" s="43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si="4"/>
        <v>6</v>
      </c>
      <c r="B13" s="9" t="str">
        <f t="shared" si="0"/>
        <v>S8</v>
      </c>
      <c r="C13" s="9" t="str">
        <f t="shared" si="1"/>
        <v>-</v>
      </c>
      <c r="D13" s="217" t="s">
        <v>201</v>
      </c>
      <c r="E13" s="172" t="str">
        <f>IF($D13&gt;0,VLOOKUP($D13,Flight!$A$1:$E$91,2,FALSE),"")</f>
        <v>0640</v>
      </c>
      <c r="F13" s="45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6">
      <c r="A14" s="9">
        <f t="shared" si="4"/>
        <v>7</v>
      </c>
      <c r="B14" s="9" t="str">
        <f t="shared" si="0"/>
        <v>S8</v>
      </c>
      <c r="C14" s="9" t="str">
        <f t="shared" si="1"/>
        <v>-</v>
      </c>
      <c r="D14" s="213" t="s">
        <v>200</v>
      </c>
      <c r="E14" s="172" t="str">
        <f>IF($D14&gt;0,VLOOKUP($D14,Flight!$A$1:$E$91,2,FALSE),"")</f>
        <v>0700</v>
      </c>
      <c r="F14" s="46"/>
      <c r="G14" s="43" t="str">
        <f t="shared" si="3"/>
        <v/>
      </c>
      <c r="H14" s="44" t="str">
        <f>IF($D14&gt;0,VLOOKUP($D14,Flight!$A$1:$E$91,3,FALSE),"")</f>
        <v>BOM</v>
      </c>
      <c r="I14" s="44" t="str">
        <f>IF($D14&gt;0,IF(VLOOKUP($D14,Flight!$A$1:$E$91,4,FALSE)&gt;1,VLOOKUP($D14,Flight!$A$1:$E96,4,FALSE),""),"")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  <c r="P14" s="87"/>
    </row>
    <row r="15" spans="1:16">
      <c r="A15" s="9">
        <f t="shared" si="4"/>
        <v>8</v>
      </c>
      <c r="B15" s="9" t="str">
        <f t="shared" si="0"/>
        <v>-</v>
      </c>
      <c r="C15" s="9" t="str">
        <f t="shared" si="1"/>
        <v>-</v>
      </c>
      <c r="D15" s="217" t="s">
        <v>39</v>
      </c>
      <c r="E15" s="172" t="str">
        <f>IF($D15&gt;0,VLOOKUP($D15,Flight!$A$1:$E$91,2,FALSE),"")</f>
        <v>0905</v>
      </c>
      <c r="F15" s="46"/>
      <c r="G15" s="43" t="str">
        <f t="shared" si="3"/>
        <v/>
      </c>
      <c r="H15" s="44" t="str">
        <f>IF($D15&gt;0,VLOOKUP($D15,Flight!$A$1:$E$91,3,FALSE),"")</f>
        <v>DEL</v>
      </c>
      <c r="I15" s="44" t="str">
        <f>IF($D15&gt;0,IF(VLOOKUP($D15,Flight!$A$1:$E$91,4,FALSE)&gt;1,VLOOKUP($D15,Flight!$A$1:$E97,4,FALSE),""),"")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/>
      </c>
      <c r="D16" s="213" t="s">
        <v>404</v>
      </c>
      <c r="E16" s="172" t="str">
        <f>IF($D16&gt;0,VLOOKUP($D16,Flight!$A$1:$E$91,2,FALSE),"")</f>
        <v>0930</v>
      </c>
      <c r="F16" s="46"/>
      <c r="G16" s="43" t="str">
        <f t="shared" si="3"/>
        <v/>
      </c>
      <c r="H16" s="44" t="str">
        <f>IF($D16&gt;0,VLOOKUP($D16,Flight!$A$1:$E$91,3,FALSE),"")</f>
        <v>HYD</v>
      </c>
      <c r="I16" s="44" t="str">
        <f>IF($D16&gt;0,IF(VLOOKUP($D16,Flight!$A$1:$E$91,4,FALSE)&gt;1,VLOOKUP($D16,Flight!$A$1:$E98,4,FALSE),""),"")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/>
      </c>
      <c r="L16" s="166"/>
      <c r="M16" s="166"/>
      <c r="O16" s="114"/>
    </row>
    <row r="17" spans="1:15">
      <c r="A17" s="9">
        <f t="shared" si="4"/>
        <v>10</v>
      </c>
      <c r="B17" s="9" t="str">
        <f t="shared" si="0"/>
        <v>-</v>
      </c>
      <c r="C17" s="9" t="str">
        <f t="shared" si="1"/>
        <v>-</v>
      </c>
      <c r="D17" s="213" t="s">
        <v>57</v>
      </c>
      <c r="E17" s="172" t="str">
        <f>IF($D17&gt;0,VLOOKUP($D17,Flight!$A$1:$E$91,2,FALSE),"")</f>
        <v>0935</v>
      </c>
      <c r="F17" s="45"/>
      <c r="G17" s="43" t="str">
        <f t="shared" si="3"/>
        <v/>
      </c>
      <c r="H17" s="44" t="str">
        <f>IF($D17&gt;0,VLOOKUP($D17,Flight!$A$1:$E$91,3,FALSE),"")</f>
        <v>BLR</v>
      </c>
      <c r="I17" s="44" t="str">
        <f>IF($D17&gt;0,IF(VLOOKUP($D17,Flight!$A$1:$E$91,4,FALSE)&gt;1,VLOOKUP($D17,Flight!$A$1:$E99,4,FALSE),""),"")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 ht="16.5" customHeight="1">
      <c r="A18" s="9">
        <f t="shared" si="4"/>
        <v>11</v>
      </c>
      <c r="B18" s="9" t="str">
        <f t="shared" si="0"/>
        <v>-</v>
      </c>
      <c r="C18" s="9" t="str">
        <f t="shared" si="1"/>
        <v>-</v>
      </c>
      <c r="D18" s="217" t="s">
        <v>198</v>
      </c>
      <c r="E18" s="172" t="str">
        <f>IF($D18&gt;0,VLOOKUP($D18,Flight!$A$1:$E$91,2,FALSE),"")</f>
        <v>0950</v>
      </c>
      <c r="F18" s="45"/>
      <c r="G18" s="43" t="str">
        <f t="shared" si="3"/>
        <v/>
      </c>
      <c r="H18" s="44" t="str">
        <f>IF($D18&gt;0,VLOOKUP($D18,Flight!$A$1:$E$91,3,FALSE),"")</f>
        <v>MAA</v>
      </c>
      <c r="I18" s="44" t="str">
        <f>IF($D18&gt;0,IF(VLOOKUP($D18,Flight!$A$1:$E$91,4,FALSE)&gt;1,VLOOKUP($D18,Flight!$A$1:$E100,4,FALSE),""),"")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>&lt;   Hall Operation   &gt;</v>
      </c>
      <c r="L18" s="166"/>
      <c r="M18" s="166"/>
      <c r="O18" s="114"/>
    </row>
    <row r="19" spans="1:15">
      <c r="A19" s="9">
        <f t="shared" si="4"/>
        <v>12</v>
      </c>
      <c r="B19" s="9" t="str">
        <f t="shared" si="0"/>
        <v>-</v>
      </c>
      <c r="C19" s="9" t="str">
        <f t="shared" si="1"/>
        <v>-</v>
      </c>
      <c r="D19" s="213" t="s">
        <v>55</v>
      </c>
      <c r="E19" s="172" t="str">
        <f>IF($D19&gt;0,VLOOKUP($D19,Flight!$A$1:$E$91,2,FALSE),"")</f>
        <v>0955</v>
      </c>
      <c r="F19" s="45"/>
      <c r="G19" s="43" t="str">
        <f t="shared" si="3"/>
        <v/>
      </c>
      <c r="H19" s="44" t="str">
        <f>IF($D19&gt;0,VLOOKUP($D19,Flight!$A$1:$E$91,3,FALSE),"")</f>
        <v>BOM</v>
      </c>
      <c r="I19" s="44" t="str">
        <f>IF($D19&gt;0,IF(VLOOKUP($D19,Flight!$A$1:$E$91,4,FALSE)&gt;1,VLOOKUP($D19,Flight!$A$1:$E101,4,FALSE),""),"")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>&lt;   Hall Operation   &gt;</v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10" t="s">
        <v>43</v>
      </c>
      <c r="E20" s="172" t="str">
        <f>IF($D20&gt;0,VLOOKUP($D20,Flight!$A$1:$E$91,2,FALSE),"")</f>
        <v>1000</v>
      </c>
      <c r="F20" s="45"/>
      <c r="G20" s="43" t="str">
        <f t="shared" si="3"/>
        <v/>
      </c>
      <c r="H20" s="44" t="str">
        <f>IF($D20&gt;0,VLOOKUP($D20,Flight!$A$1:$E$91,3,FALSE),"")</f>
        <v>DMK</v>
      </c>
      <c r="I20" s="44" t="str">
        <f>IF($D20&gt;0,IF(VLOOKUP($D20,Flight!$A$1:$E$91,4,FALSE)&gt;1,VLOOKUP($D20,Flight!$A$1:$E102,4,FALSE),""),"")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27" t="s">
        <v>42</v>
      </c>
      <c r="E21" s="172" t="str">
        <f>IF($D21&gt;0,VLOOKUP($D21,Flight!$A$1:$E$91,2,FALSE),"")</f>
        <v>1010</v>
      </c>
      <c r="F21" s="45"/>
      <c r="G21" s="43" t="str">
        <f t="shared" si="3"/>
        <v/>
      </c>
      <c r="H21" s="44" t="str">
        <f>IF($D21&gt;0,VLOOKUP($D21,Flight!$A$1:$E$91,3,FALSE),"")</f>
        <v>MNL</v>
      </c>
      <c r="I21" s="44" t="str">
        <f>IF($D21&gt;0,IF(VLOOKUP($D21,Flight!$A$1:$E$91,4,FALSE)&gt;1,VLOOKUP($D21,Flight!$A$1:$E103,4,FALSE),""),"")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 ht="15.75" customHeight="1">
      <c r="A22" s="9">
        <f t="shared" si="4"/>
        <v>15</v>
      </c>
      <c r="B22" s="9" t="str">
        <f t="shared" si="0"/>
        <v>-</v>
      </c>
      <c r="C22" s="9" t="str">
        <f t="shared" si="1"/>
        <v/>
      </c>
      <c r="D22" s="27" t="s">
        <v>36</v>
      </c>
      <c r="E22" s="172" t="str">
        <f>IF($D22&gt;0,VLOOKUP($D22,Flight!$A$1:$E$91,2,FALSE),"")</f>
        <v>1115</v>
      </c>
      <c r="F22" s="44"/>
      <c r="G22" s="43" t="str">
        <f t="shared" si="3"/>
        <v/>
      </c>
      <c r="H22" s="44" t="str">
        <f>IF($D22&gt;0,VLOOKUP($D22,Flight!$A$1:$E$91,3,FALSE),"")</f>
        <v>KUL</v>
      </c>
      <c r="I22" s="44" t="str">
        <f>IF($D22&gt;0,IF(VLOOKUP($D22,Flight!$A$1:$E$91,4,FALSE)&gt;1,VLOOKUP($D22,Flight!$A$1:$E104,4,FALSE),""),"")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27" t="s">
        <v>576</v>
      </c>
      <c r="E23" s="172" t="str">
        <f>IF($D23&gt;0,VLOOKUP($D23,Flight!$A$1:$E$91,2,FALSE),"")</f>
        <v>1145</v>
      </c>
      <c r="F23" s="44"/>
      <c r="G23" s="43" t="str">
        <f t="shared" si="3"/>
        <v/>
      </c>
      <c r="H23" s="44" t="str">
        <f>IF($D23&gt;0,VLOOKUP($D23,Flight!$A$1:$E$91,3,FALSE),"")</f>
        <v>BKK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/>
      </c>
      <c r="D24" s="27" t="s">
        <v>456</v>
      </c>
      <c r="E24" s="172" t="str">
        <f>IF($D24&gt;0,VLOOKUP($D24,Flight!$A$1:$E$91,2,FALSE),"")</f>
        <v>1210</v>
      </c>
      <c r="F24" s="44"/>
      <c r="G24" s="43" t="str">
        <f t="shared" si="3"/>
        <v/>
      </c>
      <c r="H24" s="44" t="str">
        <f>IF($D24&gt;0,VLOOKUP($D24,Flight!$A$1:$E$91,3,FALSE),"")</f>
        <v>BKK</v>
      </c>
      <c r="I24" s="44" t="str">
        <f>IF($D24&gt;0,IF(VLOOKUP($D24,Flight!$A$1:$E$91,4,FALSE)&gt;1,VLOOKUP($D24,Flight!$A$1:$E106,4,FALSE),""),"")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1"/>
        <v/>
      </c>
      <c r="D25" s="9" t="s">
        <v>376</v>
      </c>
      <c r="E25" s="172" t="str">
        <f>IF($D25&gt;0,VLOOKUP($D25,Flight!$A$1:$E$91,2,FALSE),"")</f>
        <v>1305</v>
      </c>
      <c r="F25" s="45"/>
      <c r="G25" s="43" t="str">
        <f t="shared" si="3"/>
        <v/>
      </c>
      <c r="H25" s="44" t="str">
        <f>IF($D25&gt;0,VLOOKUP($D25,Flight!$A$1:$E$91,3,FALSE),"")</f>
        <v>DMK</v>
      </c>
      <c r="I25" s="44" t="str">
        <f>IF($D25&gt;0,IF(VLOOKUP($D25,Flight!$A$1:$E$91,4,FALSE)&gt;1,VLOOKUP($D25,Flight!$A$1:$E107,4,FALSE),""),"")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>-</v>
      </c>
      <c r="D26" s="214" t="s">
        <v>377</v>
      </c>
      <c r="E26" s="172" t="str">
        <f>IF($D26&gt;0,VLOOKUP($D26,Flight!$A$1:$E$91,2,FALSE),"")</f>
        <v>1310</v>
      </c>
      <c r="F26" s="45"/>
      <c r="G26" s="43" t="str">
        <f t="shared" si="3"/>
        <v/>
      </c>
      <c r="H26" s="44" t="str">
        <f>IF($D26&gt;0,VLOOKUP($D26,Flight!$A$1:$E$91,3,FALSE),"")</f>
        <v>DEL</v>
      </c>
      <c r="I26" s="44" t="str">
        <f>IF($D26&gt;0,IF(VLOOKUP($D26,Flight!$A$1:$E$91,4,FALSE)&gt;1,VLOOKUP($D26,Flight!$A$1:$E108,4,FALSE),""),"")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>&lt;   Hall Operation   &gt;</v>
      </c>
      <c r="L26" s="166"/>
      <c r="M26" s="166"/>
      <c r="O26" s="114"/>
    </row>
    <row r="27" spans="1:15">
      <c r="A27" s="9">
        <f t="shared" si="4"/>
        <v>20</v>
      </c>
      <c r="B27" s="9" t="str">
        <f t="shared" si="0"/>
        <v>-</v>
      </c>
      <c r="C27" s="9" t="str">
        <f t="shared" si="1"/>
        <v/>
      </c>
      <c r="D27" s="27" t="s">
        <v>378</v>
      </c>
      <c r="E27" s="172" t="str">
        <f>IF($D27&gt;0,VLOOKUP($D27,Flight!$A$1:$E$91,2,FALSE),"")</f>
        <v>1415</v>
      </c>
      <c r="F27" s="44"/>
      <c r="G27" s="43" t="str">
        <f t="shared" si="3"/>
        <v/>
      </c>
      <c r="H27" s="44" t="str">
        <f>IF($D27&gt;0,VLOOKUP($D27,Flight!$A$1:$E$91,3,FALSE),"")</f>
        <v>KUL</v>
      </c>
      <c r="I27" s="44" t="str">
        <f>IF($D27&gt;0,IF(VLOOKUP($D27,Flight!$A$1:$E$91,4,FALSE)&gt;1,VLOOKUP($D27,Flight!$A$1:$E109,4,FALSE),""),"")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 t="shared" si="4"/>
        <v>21</v>
      </c>
      <c r="B28" s="9" t="str">
        <f t="shared" si="0"/>
        <v>-</v>
      </c>
      <c r="C28" s="9" t="str">
        <f t="shared" si="1"/>
        <v/>
      </c>
      <c r="D28" s="27" t="s">
        <v>379</v>
      </c>
      <c r="E28" s="172" t="str">
        <f>IF($D28&gt;0,VLOOKUP($D28,Flight!$A$1:$E$91,2,FALSE),"")</f>
        <v>1420</v>
      </c>
      <c r="F28" s="45"/>
      <c r="G28" s="43" t="str">
        <f t="shared" si="3"/>
        <v/>
      </c>
      <c r="H28" s="44" t="str">
        <f>IF($D28&gt;0,VLOOKUP($D28,Flight!$A$1:$E$91,3,FALSE),"")</f>
        <v>BKK</v>
      </c>
      <c r="I28" s="44" t="str">
        <f>IF($D28&gt;0,IF(VLOOKUP($D28,Flight!$A$1:$E$91,4,FALSE)&gt;1,VLOOKUP($D28,Flight!$A$1:$E110,4,FALSE),""),"")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  <c r="O28" s="114"/>
    </row>
    <row r="29" spans="1:15">
      <c r="A29" s="9">
        <f t="shared" si="4"/>
        <v>22</v>
      </c>
      <c r="B29" s="9" t="str">
        <f t="shared" si="0"/>
        <v>-</v>
      </c>
      <c r="C29" s="9" t="str">
        <f t="shared" si="1"/>
        <v/>
      </c>
      <c r="D29" s="27" t="s">
        <v>45</v>
      </c>
      <c r="E29" s="172" t="str">
        <f>IF($D29&gt;0,VLOOKUP($D29,Flight!$A$1:$E$91,2,FALSE),"")</f>
        <v>1455</v>
      </c>
      <c r="F29" s="49"/>
      <c r="G29" s="43" t="str">
        <f t="shared" si="3"/>
        <v/>
      </c>
      <c r="H29" s="44" t="str">
        <f>IF($D29&gt;0,VLOOKUP($D29,Flight!$A$1:$E$91,3,FALSE),"")</f>
        <v>ADD</v>
      </c>
      <c r="I29" s="44" t="str">
        <f>IF($D29&gt;0,IF(VLOOKUP($D29,Flight!$A$1:$E$91,4,FALSE)&gt;1,VLOOKUP($D29,Flight!$A$1:$E112,4,FALSE),""),"")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4"/>
        <v>23</v>
      </c>
      <c r="B30" s="9" t="str">
        <f t="shared" si="0"/>
        <v>-</v>
      </c>
      <c r="C30" s="9" t="str">
        <f t="shared" si="1"/>
        <v/>
      </c>
      <c r="D30" s="27" t="s">
        <v>47</v>
      </c>
      <c r="E30" s="172" t="str">
        <f>IF($D30&gt;0,VLOOKUP($D30,Flight!$A$1:$E$91,2,FALSE),"")</f>
        <v>1510</v>
      </c>
      <c r="F30" s="45"/>
      <c r="G30" s="43" t="str">
        <f t="shared" si="3"/>
        <v/>
      </c>
      <c r="H30" s="44" t="str">
        <f>IF($D30&gt;0,VLOOKUP($D30,Flight!$A$1:$E$91,3,FALSE),"")</f>
        <v>DOH</v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>
      <c r="A31" s="9">
        <f t="shared" si="4"/>
        <v>24</v>
      </c>
      <c r="B31" s="9" t="str">
        <f t="shared" si="0"/>
        <v>-</v>
      </c>
      <c r="C31" s="9" t="str">
        <f t="shared" si="1"/>
        <v/>
      </c>
      <c r="D31" s="27" t="s">
        <v>73</v>
      </c>
      <c r="E31" s="172" t="str">
        <f>IF($D31&gt;0,VLOOKUP($D31,Flight!$A$1:$E$91,2,FALSE),"")</f>
        <v>1715</v>
      </c>
      <c r="F31" s="45"/>
      <c r="G31" s="43" t="str">
        <f t="shared" si="3"/>
        <v/>
      </c>
      <c r="H31" s="44" t="str">
        <f>IF($D31&gt;0,VLOOKUP($D31,Flight!$A$1:$E$91,3,FALSE),"")</f>
        <v>IST</v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2"/>
        <v/>
      </c>
      <c r="L31" s="166"/>
      <c r="M31" s="166"/>
    </row>
    <row r="32" spans="1:15">
      <c r="A32" s="9">
        <f t="shared" si="4"/>
        <v>25</v>
      </c>
      <c r="B32" s="9" t="str">
        <f t="shared" si="0"/>
        <v>-</v>
      </c>
      <c r="C32" s="9" t="str">
        <f t="shared" si="1"/>
        <v/>
      </c>
      <c r="D32" s="27" t="s">
        <v>398</v>
      </c>
      <c r="E32" s="172" t="str">
        <f>IF($D32&gt;0,VLOOKUP($D32,Flight!$A$1:$E$91,2,FALSE),"")</f>
        <v>1720</v>
      </c>
      <c r="F32" s="46"/>
      <c r="G32" s="43" t="str">
        <f t="shared" si="3"/>
        <v/>
      </c>
      <c r="H32" s="44" t="str">
        <f>IF($D32&gt;0,VLOOKUP($D32,Flight!$A$1:$E$91,3,FALSE),"")</f>
        <v>MNL</v>
      </c>
      <c r="I32" s="44" t="str">
        <f>IF($D32&gt;0,IF(VLOOKUP($D32,Flight!$A$1:$E$91,4,FALSE)&gt;1,VLOOKUP($D32,Flight!$A$1:$E115,4,FALSE),""),"")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2"/>
        <v/>
      </c>
      <c r="L32" s="166"/>
      <c r="M32" s="166"/>
    </row>
    <row r="33" spans="1:18" s="349" customFormat="1">
      <c r="A33" s="9">
        <f t="shared" si="4"/>
        <v>26</v>
      </c>
      <c r="B33" s="9" t="str">
        <f t="shared" si="0"/>
        <v>-</v>
      </c>
      <c r="C33" s="9" t="str">
        <f t="shared" si="1"/>
        <v/>
      </c>
      <c r="D33" s="27" t="s">
        <v>1005</v>
      </c>
      <c r="E33" s="172" t="str">
        <f>IF($D33&gt;0,VLOOKUP($D33,Flight!$A$1:$E$91,2,FALSE),"")</f>
        <v>1745</v>
      </c>
      <c r="F33" s="46"/>
      <c r="G33" s="43" t="str">
        <f t="shared" ref="G33" si="5">IF(A33="@",IF(H33="ZYK","Berth 3",IF(H33="HKM","Bay 7","")),"")</f>
        <v/>
      </c>
      <c r="H33" s="44" t="str">
        <f>IF($D33&gt;0,VLOOKUP($D33,Flight!$A$1:$E$91,3,FALSE),"")</f>
        <v>BKK</v>
      </c>
      <c r="I33" s="44"/>
      <c r="J33" s="44"/>
      <c r="K33" s="166"/>
      <c r="L33" s="166"/>
      <c r="M33" s="166"/>
      <c r="O33" s="112"/>
    </row>
    <row r="34" spans="1:18">
      <c r="A34" s="9">
        <f>IF($A31="S/N",1,IF($F34="Wavied","-",IF($D34=0,"",ROW($A34)-ROW($A$7)-COUNTIF($A$7:$A$8,"@")-COUNTIF($A$7:$A$8,"-"))))</f>
        <v>27</v>
      </c>
      <c r="B34" s="9" t="str">
        <f t="shared" si="0"/>
        <v>-</v>
      </c>
      <c r="C34" s="9" t="str">
        <f t="shared" si="1"/>
        <v/>
      </c>
      <c r="D34" s="27" t="s">
        <v>78</v>
      </c>
      <c r="E34" s="172" t="str">
        <f>IF($D34&gt;0,VLOOKUP($D34,Flight!$A$1:$E$91,2,FALSE),"")</f>
        <v>1755</v>
      </c>
      <c r="F34" s="45"/>
      <c r="G34" s="43" t="str">
        <f t="shared" si="3"/>
        <v/>
      </c>
      <c r="H34" s="44" t="str">
        <f>IF($D34&gt;0,VLOOKUP($D34,Flight!$A$1:$E$91,3,FALSE),"")</f>
        <v>KUL</v>
      </c>
      <c r="I34" s="44" t="str">
        <f>IF($D34&gt;0,IF(VLOOKUP($D34,Flight!$A$1:$E$91,4,FALSE)&gt;1,VLOOKUP($D34,Flight!$A$1:$E116,4,FALSE),""),"")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ref="K34:K42" si="6">IF($D34=0,"",IF(OR(ISNUMBER(SEARCH("S",$B34)),_xlfn.IFNA(MATCH($D34,$D$106:$D$116,0)&lt;20,"")=TRUE),"&lt;   Hall Operation   &gt;",""))</f>
        <v/>
      </c>
      <c r="L34" s="166"/>
      <c r="M34" s="166"/>
    </row>
    <row r="35" spans="1:18">
      <c r="A35" s="9">
        <f>IF($A32="S/N",1,IF($F35="Wavied","-",IF($D35=0,"",ROW($A35)-ROW($A$7)-COUNTIF($A$7:$A$8,"@")-COUNTIF($A$7:$A$8,"-"))))</f>
        <v>28</v>
      </c>
      <c r="B35" s="9" t="str">
        <f t="shared" si="0"/>
        <v>-</v>
      </c>
      <c r="C35" s="9" t="str">
        <f t="shared" si="1"/>
        <v/>
      </c>
      <c r="D35" s="27" t="s">
        <v>68</v>
      </c>
      <c r="E35" s="172" t="str">
        <f>IF($D35&gt;0,VLOOKUP($D35,Flight!$A$1:$E$91,2,FALSE),"")</f>
        <v>1805</v>
      </c>
      <c r="F35" s="45"/>
      <c r="G35" s="43" t="str">
        <f t="shared" si="3"/>
        <v/>
      </c>
      <c r="H35" s="44" t="str">
        <f>IF($D35&gt;0,VLOOKUP($D35,Flight!$A$1:$E$91,3,FALSE),"")</f>
        <v>DXB</v>
      </c>
      <c r="I35" s="44" t="str">
        <f>IF($D35&gt;0,IF(VLOOKUP($D35,Flight!$A$1:$E$91,4,FALSE)&gt;1,VLOOKUP($D35,Flight!$A$1:$E117,4,FALSE),""),"")</f>
        <v>BKK</v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P35" s="84"/>
    </row>
    <row r="36" spans="1:18">
      <c r="A36" s="9">
        <f t="shared" si="4"/>
        <v>29</v>
      </c>
      <c r="B36" s="9" t="str">
        <f t="shared" si="0"/>
        <v>-</v>
      </c>
      <c r="C36" s="9" t="str">
        <f t="shared" si="1"/>
        <v/>
      </c>
      <c r="D36" s="27" t="s">
        <v>49</v>
      </c>
      <c r="E36" s="172" t="str">
        <f>IF($D36&gt;0,VLOOKUP($D36,Flight!$A$1:$E$91,2,FALSE),"")</f>
        <v>1810</v>
      </c>
      <c r="F36" s="45"/>
      <c r="G36" s="43" t="str">
        <f t="shared" si="3"/>
        <v/>
      </c>
      <c r="H36" s="44" t="str">
        <f>IF($D36&gt;0,VLOOKUP($D36,Flight!$A$1:$E$91,3,FALSE),"")</f>
        <v>MNL</v>
      </c>
      <c r="I36" s="44" t="str">
        <f>IF($D36&gt;0,IF(VLOOKUP($D36,Flight!$A$1:$E$91,4,FALSE)&gt;1,VLOOKUP($D36,Flight!$A$1:$E118,4,FALSE),""),"")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115"/>
      <c r="P36" s="87"/>
    </row>
    <row r="37" spans="1:18" ht="16.5">
      <c r="A37" s="9">
        <f t="shared" si="4"/>
        <v>30</v>
      </c>
      <c r="B37" s="9" t="str">
        <f t="shared" si="0"/>
        <v>-</v>
      </c>
      <c r="C37" s="9" t="str">
        <f t="shared" si="1"/>
        <v/>
      </c>
      <c r="D37" s="27" t="s">
        <v>203</v>
      </c>
      <c r="E37" s="172" t="str">
        <f>IF($D37&gt;0,VLOOKUP($D37,Flight!$A$1:$E$91,2,FALSE),"")</f>
        <v>1820</v>
      </c>
      <c r="F37" s="45"/>
      <c r="G37" s="43" t="str">
        <f t="shared" si="3"/>
        <v/>
      </c>
      <c r="H37" s="44" t="str">
        <f>IF($D37&gt;0,VLOOKUP($D37,Flight!$A$1:$E$91,3,FALSE),"")</f>
        <v>SIN</v>
      </c>
      <c r="I37" s="44" t="str">
        <f>IF($D37&gt;0,IF(VLOOKUP($D37,Flight!$A$1:$E$91,4,FALSE)&gt;1,VLOOKUP($D37,Flight!$A$1:$E119,4,FALSE),""),"")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4"/>
      <c r="P37" s="88"/>
      <c r="Q37" s="4"/>
      <c r="R37" s="4"/>
    </row>
    <row r="38" spans="1:18">
      <c r="A38" s="9">
        <f t="shared" si="4"/>
        <v>31</v>
      </c>
      <c r="B38" s="9" t="str">
        <f t="shared" si="0"/>
        <v>-</v>
      </c>
      <c r="C38" s="9" t="str">
        <f t="shared" si="1"/>
        <v/>
      </c>
      <c r="D38" s="10" t="s">
        <v>71</v>
      </c>
      <c r="E38" s="172" t="str">
        <f>IF($D38&gt;0,VLOOKUP($D38,Flight!$A$1:$E$91,2,FALSE),"")</f>
        <v>1920</v>
      </c>
      <c r="F38" s="45"/>
      <c r="G38" s="43" t="str">
        <f t="shared" si="3"/>
        <v/>
      </c>
      <c r="H38" s="44" t="str">
        <f>IF($D38&gt;0,VLOOKUP($D38,Flight!$A$1:$E$91,3,FALSE),"")</f>
        <v>DMK</v>
      </c>
      <c r="I38" s="44" t="str">
        <f>IF($D38&gt;0,IF(VLOOKUP($D38,Flight!$A$1:$E$91,4,FALSE)&gt;1,VLOOKUP($D38,Flight!$A$1:$E120,4,FALSE),""),"")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7"/>
      <c r="O38" s="4"/>
      <c r="P38" s="4"/>
      <c r="Q38" s="4"/>
      <c r="R38" s="4"/>
    </row>
    <row r="39" spans="1:18" ht="16.5">
      <c r="A39" s="9">
        <f t="shared" si="4"/>
        <v>32</v>
      </c>
      <c r="B39" s="9" t="str">
        <f t="shared" si="0"/>
        <v>-</v>
      </c>
      <c r="C39" s="9" t="str">
        <f t="shared" si="1"/>
        <v/>
      </c>
      <c r="D39" s="10" t="s">
        <v>72</v>
      </c>
      <c r="E39" s="172" t="str">
        <f>IF($D39&gt;0,VLOOKUP($D39,Flight!$A$1:$E$91,2,FALSE),"")</f>
        <v>1950</v>
      </c>
      <c r="F39" s="45"/>
      <c r="G39" s="43" t="str">
        <f t="shared" si="3"/>
        <v/>
      </c>
      <c r="H39" s="44" t="str">
        <f>IF($D39&gt;0,VLOOKUP($D39,Flight!$A$1:$E$91,3,FALSE),"")</f>
        <v>BKK</v>
      </c>
      <c r="I39" s="44" t="str">
        <f>IF($D39&gt;0,IF(VLOOKUP($D39,Flight!$A$1:$E$91,4,FALSE)&gt;1,VLOOKUP($D39,Flight!$A$1:$E121,4,FALSE),""),"")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>
        <f t="shared" si="4"/>
        <v>33</v>
      </c>
      <c r="B40" s="9" t="str">
        <f t="shared" si="0"/>
        <v>-</v>
      </c>
      <c r="C40" s="9" t="str">
        <f t="shared" si="1"/>
        <v/>
      </c>
      <c r="D40" s="27" t="s">
        <v>64</v>
      </c>
      <c r="E40" s="172" t="str">
        <f>IF($D40&gt;0,VLOOKUP($D40,Flight!$A$1:$E$91,2,FALSE),"")</f>
        <v>2030</v>
      </c>
      <c r="F40" s="45"/>
      <c r="G40" s="43" t="str">
        <f t="shared" si="3"/>
        <v/>
      </c>
      <c r="H40" s="44" t="str">
        <f>IF($D40&gt;0,VLOOKUP($D40,Flight!$A$1:$E$91,3,FALSE),"")</f>
        <v>CGK</v>
      </c>
      <c r="I40" s="44" t="str">
        <f>IF($D40&gt;0,IF(VLOOKUP($D40,Flight!$A$1:$E$91,4,FALSE)&gt;1,VLOOKUP($D40,Flight!$A$1:$E122,4,FALSE),""),"")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 ht="16.5">
      <c r="A41" s="9">
        <f t="shared" si="4"/>
        <v>34</v>
      </c>
      <c r="B41" s="9" t="str">
        <f t="shared" si="0"/>
        <v>-</v>
      </c>
      <c r="C41" s="9" t="str">
        <f t="shared" si="1"/>
        <v>S3</v>
      </c>
      <c r="D41" s="27" t="s">
        <v>50</v>
      </c>
      <c r="E41" s="172" t="str">
        <f>IF($D41&gt;0,VLOOKUP($D41,Flight!$A$1:$E$91,2,FALSE),"")</f>
        <v>2155</v>
      </c>
      <c r="F41" s="45"/>
      <c r="G41" s="43" t="str">
        <f t="shared" si="3"/>
        <v/>
      </c>
      <c r="H41" s="44" t="str">
        <f>IF($D41&gt;0,VLOOKUP($D41,Flight!$A$1:$E$91,3,FALSE),"")</f>
        <v>DOH</v>
      </c>
      <c r="I41" s="44" t="str">
        <f>IF($D41&gt;0,IF(VLOOKUP($D41,Flight!$A$1:$E$91,4,FALSE)&gt;1,VLOOKUP($D41,Flight!$A$1:$E124,4,FALSE),""),"")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6"/>
        <v/>
      </c>
      <c r="L41" s="166"/>
      <c r="M41" s="166"/>
      <c r="O41" s="4"/>
      <c r="P41" s="89"/>
      <c r="Q41" s="4"/>
      <c r="R41" s="4"/>
    </row>
    <row r="42" spans="1:18" ht="16.5">
      <c r="A42" s="9">
        <f t="shared" si="4"/>
        <v>35</v>
      </c>
      <c r="B42" s="9" t="str">
        <f t="shared" si="0"/>
        <v>-</v>
      </c>
      <c r="C42" s="9" t="str">
        <f t="shared" si="1"/>
        <v>S3</v>
      </c>
      <c r="D42" s="27" t="s">
        <v>77</v>
      </c>
      <c r="E42" s="172" t="str">
        <f>IF($D42&gt;0,VLOOKUP($D42,Flight!$A$1:$E$91,2,FALSE),"")</f>
        <v>2320</v>
      </c>
      <c r="F42" s="45"/>
      <c r="G42" s="43" t="str">
        <f t="shared" si="3"/>
        <v/>
      </c>
      <c r="H42" s="44" t="str">
        <f>IF($D42&gt;0,VLOOKUP($D42,Flight!$A$1:$E$91,3,FALSE),"")</f>
        <v>BKK</v>
      </c>
      <c r="I42" s="44" t="str">
        <f>IF($D42&gt;0,IF(VLOOKUP($D42,Flight!$A$1:$E$91,4,FALSE)&gt;1,VLOOKUP($D42,Flight!$A$1:$E125,4,FALSE),""),"")</f>
        <v/>
      </c>
      <c r="J42" s="44" t="str">
        <f>IF($D42&gt;0,IF(VLOOKUP($D42,Flight!$A$1:$E$91,5,FALSE)&gt;1,VLOOKUP($D42,Flight!$A$1:$E$91,5,FALSE),""),"")</f>
        <v/>
      </c>
      <c r="K42" s="166" t="str">
        <f t="shared" si="6"/>
        <v/>
      </c>
      <c r="L42" s="166"/>
      <c r="M42" s="166"/>
      <c r="O42" s="4"/>
      <c r="P42" s="89"/>
      <c r="Q42" s="4"/>
      <c r="R42" s="4"/>
    </row>
    <row r="43" spans="1:18">
      <c r="A43" s="376" t="s">
        <v>5</v>
      </c>
      <c r="B43" s="376"/>
      <c r="C43" s="376"/>
      <c r="D43" s="376"/>
      <c r="E43" s="376"/>
      <c r="F43" s="376"/>
      <c r="G43" s="50"/>
      <c r="H43" s="321" t="s">
        <v>40</v>
      </c>
      <c r="I43" s="377"/>
      <c r="J43" s="377"/>
      <c r="K43" s="377"/>
      <c r="L43" s="377"/>
      <c r="M43" s="377"/>
      <c r="N43" s="5"/>
    </row>
    <row r="44" spans="1:18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</row>
    <row r="45" spans="1:18">
      <c r="A45" s="379"/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</row>
    <row r="46" spans="1:18">
      <c r="A46" s="389" t="s">
        <v>216</v>
      </c>
      <c r="B46" s="389"/>
      <c r="C46" s="323" t="str">
        <f>VLOOKUP($D$46,Staff!$B$2:$D$41,2,FALSE)</f>
        <v>CIA</v>
      </c>
      <c r="D46" s="375" t="str">
        <f>VLOOKUP(VLOOKUP($E$58,$E$62:$J$73,6,FALSE),Staff!$A$2:$D$13,2,FALSE)</f>
        <v>WS CHENG</v>
      </c>
      <c r="E46" s="375"/>
      <c r="F46" s="325" t="s">
        <v>215</v>
      </c>
      <c r="G46" s="390" t="str">
        <f>VLOOKUP($D$46,Staff!$B$2:$D$39,3,FALSE)</f>
        <v>9850 0581</v>
      </c>
      <c r="H46" s="390"/>
      <c r="I46" s="391" t="s">
        <v>223</v>
      </c>
      <c r="J46" s="391"/>
      <c r="K46" s="375" t="str">
        <f>IF(COUNTIF($E$62:$E$65,$E$58)&gt;0,Staff!$G$2,"")&amp;IF(COUNTIF($E$66:$E$69,$E$58)&gt;0,Staff!$G$3,"")&amp;IF(COUNTIF($E$70:$E$73,$E$58)&gt;0,Staff!$G$4,"")</f>
        <v>WONG, TSZ MING</v>
      </c>
      <c r="L46" s="375"/>
      <c r="M46" s="375"/>
    </row>
    <row r="47" spans="1:18">
      <c r="A47" s="389" t="s">
        <v>217</v>
      </c>
      <c r="B47" s="389"/>
      <c r="C47" s="323" t="str">
        <f>VLOOKUP($D$47,Staff!$B$2:$D$41,2,FALSE)</f>
        <v>CIA</v>
      </c>
      <c r="D47" s="375" t="str">
        <f>VLOOKUP(VLOOKUP($E$59,$E$62:$J$73,6,FALSE),Staff!$A$2:$D$13,2,FALSE)</f>
        <v>KS CHU</v>
      </c>
      <c r="E47" s="375"/>
      <c r="F47" s="325" t="s">
        <v>215</v>
      </c>
      <c r="G47" s="390" t="str">
        <f>VLOOKUP($D$47,Staff!$B$2:$D$39,3,FALSE)</f>
        <v>9078 2260</v>
      </c>
      <c r="H47" s="390"/>
      <c r="I47" s="391" t="s">
        <v>224</v>
      </c>
      <c r="J47" s="391"/>
      <c r="K47" s="375" t="str">
        <f>IF(COUNTIF($E$62:$E$65,$E$59)&gt;0,Staff!$G$2,"")&amp;IF(COUNTIF($E$66:$E$69,$E$59)&gt;0,Staff!$G$3,"")&amp;IF(COUNTIF($E$70:$E$73,$E$59)&gt;0,Staff!$G$4,"")</f>
        <v>LIU, WAI FUN (F)</v>
      </c>
      <c r="L47" s="375"/>
      <c r="M47" s="375"/>
    </row>
    <row r="48" spans="1:18">
      <c r="A48" s="329"/>
      <c r="B48" s="329"/>
      <c r="C48" s="327"/>
      <c r="D48" s="395"/>
      <c r="E48" s="395"/>
      <c r="F48" s="324"/>
      <c r="G48" s="396"/>
      <c r="H48" s="396"/>
      <c r="I48" s="390"/>
      <c r="J48" s="390"/>
      <c r="K48" s="143"/>
      <c r="L48" s="143"/>
      <c r="M48" s="143"/>
    </row>
    <row r="49" spans="1:14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tr">
        <f>IF(COUNTIF($E$62:$E$65,$E$58)&gt;0,Staff!$G$14,"")&amp;IF(COUNTIF($E$66:$E$69,$E$58)&gt;0,Staff!$G$13,"")&amp;IF(COUNTIF($E$70:$E$73,$E$58)&gt;0,Staff!$G$12,"")</f>
        <v>CHONG, MAN LOK</v>
      </c>
      <c r="H49" s="398"/>
      <c r="I49" s="398"/>
      <c r="J49" s="333" t="s">
        <v>209</v>
      </c>
      <c r="K49" s="390" t="str">
        <f>VLOOKUP(VLOOKUP($B$3,$E$62:$J$73,6,FALSE),Staff!$F$22:$G$47,2,FALSE)</f>
        <v>LAUW, NAM FAI</v>
      </c>
      <c r="L49" s="390"/>
      <c r="M49" s="390"/>
      <c r="N49" s="12"/>
    </row>
    <row r="50" spans="1:14">
      <c r="A50" s="155"/>
      <c r="B50" s="155"/>
      <c r="C50" s="396" t="s">
        <v>219</v>
      </c>
      <c r="D50" s="396"/>
      <c r="E50" s="396"/>
      <c r="F50" s="154" t="s">
        <v>214</v>
      </c>
      <c r="G50" s="375" t="str">
        <f>IF(COUNTIF($E$62:$E$65,$E$59)&gt;0,Staff!$G$14,"")&amp;IF(COUNTIF($E$66:$E$69,$E$59)&gt;0,Staff!$G$13,"")&amp;IF(COUNTIF($E$70:$E$73,$E$59)&gt;0,Staff!$G$12,"")</f>
        <v>HO, KWOK WUN D</v>
      </c>
      <c r="H50" s="375"/>
      <c r="I50" s="375"/>
      <c r="J50" s="333" t="s">
        <v>208</v>
      </c>
      <c r="K50" s="390"/>
      <c r="L50" s="390"/>
      <c r="M50" s="390"/>
    </row>
    <row r="51" spans="1:14">
      <c r="A51" s="320"/>
      <c r="B51" s="320"/>
      <c r="C51" s="327"/>
      <c r="D51" s="401"/>
      <c r="E51" s="401"/>
      <c r="F51" s="401"/>
      <c r="G51" s="401"/>
      <c r="H51" s="401"/>
      <c r="I51" s="401"/>
      <c r="J51" s="333" t="s">
        <v>210</v>
      </c>
      <c r="K51" s="390"/>
      <c r="L51" s="390"/>
      <c r="M51" s="390"/>
    </row>
    <row r="52" spans="1:14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333" t="s">
        <v>211</v>
      </c>
      <c r="K52" s="390"/>
      <c r="L52" s="390"/>
      <c r="M52" s="390"/>
    </row>
    <row r="53" spans="1:14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333" t="s">
        <v>212</v>
      </c>
      <c r="K53" s="390"/>
      <c r="L53" s="390"/>
      <c r="M53" s="390"/>
    </row>
    <row r="54" spans="1:14">
      <c r="A54" s="155"/>
      <c r="B54" s="155"/>
      <c r="C54" s="320"/>
      <c r="D54" s="399"/>
      <c r="E54" s="399"/>
      <c r="F54" s="391"/>
      <c r="G54" s="391"/>
      <c r="H54" s="400" t="s">
        <v>410</v>
      </c>
      <c r="I54" s="400"/>
      <c r="J54" s="326"/>
      <c r="K54" s="329"/>
      <c r="L54" s="329"/>
      <c r="M54" s="47"/>
    </row>
    <row r="55" spans="1:14" ht="16.5" customHeight="1">
      <c r="A55" s="392" t="s">
        <v>0</v>
      </c>
      <c r="B55" s="392"/>
      <c r="C55" s="407" t="s">
        <v>222</v>
      </c>
      <c r="D55" s="407"/>
      <c r="E55" s="407"/>
      <c r="F55" s="326"/>
      <c r="G55" s="333"/>
      <c r="H55" s="394" t="s">
        <v>411</v>
      </c>
      <c r="I55" s="394"/>
      <c r="J55" s="332"/>
      <c r="K55" s="329"/>
      <c r="L55" s="329"/>
      <c r="M55" s="47"/>
    </row>
    <row r="56" spans="1:14">
      <c r="C56" s="408"/>
      <c r="D56" s="408"/>
      <c r="E56" s="408"/>
      <c r="F56" s="408"/>
      <c r="G56" s="408"/>
      <c r="H56" s="408"/>
      <c r="J56" s="53"/>
      <c r="K56" s="112"/>
      <c r="L56" s="112"/>
    </row>
    <row r="57" spans="1:14" ht="16.5" thickBot="1">
      <c r="A57" s="3"/>
      <c r="B57" s="3"/>
      <c r="C57" s="3"/>
      <c r="D57" s="2"/>
      <c r="E57" s="39"/>
      <c r="F57" s="331"/>
      <c r="G57" s="331"/>
      <c r="I57" s="409"/>
      <c r="J57" s="409"/>
      <c r="K57" s="112"/>
      <c r="L57" s="112"/>
    </row>
    <row r="58" spans="1:14">
      <c r="D58" s="330"/>
      <c r="E58" s="90" t="s">
        <v>133</v>
      </c>
      <c r="F58" s="91" t="s">
        <v>135</v>
      </c>
      <c r="G58" s="91"/>
      <c r="H58" s="92"/>
      <c r="I58" s="330"/>
      <c r="J58" s="330"/>
    </row>
    <row r="59" spans="1:14" ht="16.5" thickBot="1">
      <c r="D59" s="330"/>
      <c r="E59" s="93" t="s">
        <v>134</v>
      </c>
      <c r="F59" s="94" t="s">
        <v>136</v>
      </c>
      <c r="G59" s="94"/>
      <c r="H59" s="95"/>
      <c r="I59" s="330"/>
      <c r="J59" s="330"/>
    </row>
    <row r="60" spans="1:14">
      <c r="D60" s="330"/>
      <c r="E60" s="330"/>
      <c r="F60" s="330"/>
      <c r="G60" s="330"/>
      <c r="H60" s="330"/>
      <c r="I60" s="330"/>
      <c r="J60" s="330"/>
    </row>
    <row r="61" spans="1:14" ht="16.5" thickBot="1">
      <c r="D61" s="85" t="s">
        <v>132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98</v>
      </c>
      <c r="J61" s="330"/>
      <c r="K61" s="96" t="s">
        <v>302</v>
      </c>
      <c r="L61" s="96" t="s">
        <v>303</v>
      </c>
      <c r="M61" s="96"/>
    </row>
    <row r="62" spans="1:14">
      <c r="D62" s="97" t="s">
        <v>86</v>
      </c>
      <c r="E62" s="98" t="str">
        <f>_xlfn.IFNA(VLOOKUP(MOD((($D$1-WEEKDAY($D$1,2)+1)-45523)/7+21,24),Shift!$A$2:$H$25,WEEKDAY($D$1,2)+1),VLOOKUP(24,Shift!$A$2:$H$25,WEEKDAY($D$1,2)+1))</f>
        <v>P1</v>
      </c>
      <c r="F62" s="98" t="str">
        <f>IF(OR($E62="L",$E62="L#"),0,"?")</f>
        <v>?</v>
      </c>
      <c r="G62" s="98" t="str">
        <f>IF(OR($E62="L",$E62="L#"),0,"?")</f>
        <v>?</v>
      </c>
      <c r="H62" s="98" t="str">
        <f>IF(OR($E62="L",$E62="L#"),0,"?")</f>
        <v>?</v>
      </c>
      <c r="I62" s="99">
        <f t="shared" ref="I62:I73" si="7">IF(OR($E62="L",$E62="L#"),0,SUM($F62:$H62))</f>
        <v>0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M62" s="112"/>
    </row>
    <row r="63" spans="1:14">
      <c r="D63" s="100" t="s">
        <v>85</v>
      </c>
      <c r="E63" s="101" t="str">
        <f>_xlfn.IFNA(VLOOKUP(MOD((($D$1-WEEKDAY($D$1,2)+1)-45523)/7+3,24),Shift!$A$2:$H$25,WEEKDAY($D$1,2)+1),VLOOKUP(24,Shift!$A$2:$H$25,WEEKDAY($D$1,2)+1))</f>
        <v>P1 @</v>
      </c>
      <c r="F63" s="101" t="str">
        <f t="shared" ref="F63:H73" si="8">IF(OR($E63="L",$E63="L#"),0,"?")</f>
        <v>?</v>
      </c>
      <c r="G63" s="101" t="str">
        <f t="shared" si="8"/>
        <v>?</v>
      </c>
      <c r="H63" s="101" t="str">
        <f t="shared" si="8"/>
        <v>?</v>
      </c>
      <c r="I63" s="102">
        <f t="shared" si="7"/>
        <v>0</v>
      </c>
      <c r="J63" s="137" t="s">
        <v>85</v>
      </c>
      <c r="K63" s="112" t="str">
        <f t="shared" ref="K63:K73" si="9">IF(AND($F63&gt;1,$F63&lt;&gt;"?"),$F63-1,"")</f>
        <v/>
      </c>
      <c r="L63" s="112" t="str">
        <f t="shared" ref="L63:L73" si="10">IF(AND($G63&gt;1,$G63&lt;&gt;"?"),$G63-1,"")</f>
        <v/>
      </c>
      <c r="M63" s="112"/>
    </row>
    <row r="64" spans="1:14">
      <c r="D64" s="100" t="s">
        <v>99</v>
      </c>
      <c r="E64" s="101" t="str">
        <f>_xlfn.IFNA(VLOOKUP(MOD((($D$1-WEEKDAY($D$1,2)+1)-45523)/7+9,24),Shift!$A$2:$H$25,WEEKDAY($D$1,2)+1),VLOOKUP(24,Shift!$A$2:$H$25,WEEKDAY($D$1,2)+1))</f>
        <v>P4</v>
      </c>
      <c r="F64" s="101" t="str">
        <f t="shared" si="8"/>
        <v>?</v>
      </c>
      <c r="G64" s="101" t="str">
        <f t="shared" si="8"/>
        <v>?</v>
      </c>
      <c r="H64" s="101" t="str">
        <f t="shared" si="8"/>
        <v>?</v>
      </c>
      <c r="I64" s="102">
        <f t="shared" si="7"/>
        <v>0</v>
      </c>
      <c r="J64" s="137" t="s">
        <v>99</v>
      </c>
      <c r="K64" s="112" t="str">
        <f t="shared" si="9"/>
        <v/>
      </c>
      <c r="L64" s="112" t="str">
        <f t="shared" si="10"/>
        <v/>
      </c>
      <c r="M64" s="112"/>
    </row>
    <row r="65" spans="4:13" ht="16.5" thickBot="1">
      <c r="D65" s="103" t="s">
        <v>100</v>
      </c>
      <c r="E65" s="104" t="str">
        <f>_xlfn.IFNA(VLOOKUP(MOD((($D$1-WEEKDAY($D$1,2)+1)-45523)/7+15,24),Shift!$A$2:$H$25,WEEKDAY($D$1,2)+1),VLOOKUP(24,Shift!$A$2:$H$25,WEEKDAY($D$1,2)+1))</f>
        <v>P1</v>
      </c>
      <c r="F65" s="104" t="str">
        <f t="shared" si="8"/>
        <v>?</v>
      </c>
      <c r="G65" s="104" t="str">
        <f t="shared" si="8"/>
        <v>?</v>
      </c>
      <c r="H65" s="104" t="str">
        <f t="shared" si="8"/>
        <v>?</v>
      </c>
      <c r="I65" s="105">
        <f t="shared" si="7"/>
        <v>0</v>
      </c>
      <c r="J65" s="138" t="s">
        <v>100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97" t="s">
        <v>101</v>
      </c>
      <c r="E66" s="98" t="str">
        <f>_xlfn.IFNA(VLOOKUP(MOD((($D$1-WEEKDAY($D$1,2)+1)-45523)/7+19,24),Shift!$A$2:$H$25,WEEKDAY($D$1,2)+1),VLOOKUP(24,Shift!$A$2:$H$25,WEEKDAY($D$1,2)+1))</f>
        <v>L</v>
      </c>
      <c r="F66" s="98">
        <f t="shared" si="8"/>
        <v>0</v>
      </c>
      <c r="G66" s="98">
        <f t="shared" si="8"/>
        <v>0</v>
      </c>
      <c r="H66" s="98">
        <f t="shared" si="8"/>
        <v>0</v>
      </c>
      <c r="I66" s="99">
        <f t="shared" si="7"/>
        <v>0</v>
      </c>
      <c r="J66" s="136" t="s">
        <v>101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102</v>
      </c>
      <c r="E67" s="101" t="str">
        <f>_xlfn.IFNA(VLOOKUP(MOD((($D$1-WEEKDAY($D$1,2)+1)-45523)/7+1,24),Shift!$A$2:$H$25,WEEKDAY($D$1,2)+1),VLOOKUP(24,Shift!$A$2:$H$25,WEEKDAY($D$1,2)+1))</f>
        <v>L</v>
      </c>
      <c r="F67" s="101">
        <f t="shared" si="8"/>
        <v>0</v>
      </c>
      <c r="G67" s="101">
        <f t="shared" si="8"/>
        <v>0</v>
      </c>
      <c r="H67" s="101">
        <f t="shared" si="8"/>
        <v>0</v>
      </c>
      <c r="I67" s="102">
        <f t="shared" si="7"/>
        <v>0</v>
      </c>
      <c r="J67" s="137" t="s">
        <v>102</v>
      </c>
      <c r="K67" s="112" t="str">
        <f t="shared" si="9"/>
        <v/>
      </c>
      <c r="L67" s="112" t="str">
        <f t="shared" si="10"/>
        <v/>
      </c>
      <c r="M67" s="112"/>
    </row>
    <row r="68" spans="4:13">
      <c r="D68" s="100" t="s">
        <v>103</v>
      </c>
      <c r="E68" s="101" t="str">
        <f>_xlfn.IFNA(VLOOKUP(MOD((($D$1-WEEKDAY($D$1,2)+1)-45523)/7+7,24),Shift!$A$2:$H$25,WEEKDAY($D$1,2)+1),VLOOKUP(24,Shift!$A$2:$H$25,WEEKDAY($D$1,2)+1))</f>
        <v>L</v>
      </c>
      <c r="F68" s="101">
        <f t="shared" si="8"/>
        <v>0</v>
      </c>
      <c r="G68" s="101">
        <f t="shared" si="8"/>
        <v>0</v>
      </c>
      <c r="H68" s="101">
        <f t="shared" si="8"/>
        <v>0</v>
      </c>
      <c r="I68" s="102">
        <f t="shared" si="7"/>
        <v>0</v>
      </c>
      <c r="J68" s="137" t="s">
        <v>103</v>
      </c>
      <c r="K68" s="112" t="str">
        <f t="shared" si="9"/>
        <v/>
      </c>
      <c r="L68" s="112" t="str">
        <f t="shared" si="10"/>
        <v/>
      </c>
      <c r="M68" s="112"/>
    </row>
    <row r="69" spans="4:13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A</v>
      </c>
      <c r="F69" s="104" t="str">
        <f t="shared" si="8"/>
        <v>?</v>
      </c>
      <c r="G69" s="104" t="str">
        <f t="shared" si="8"/>
        <v>?</v>
      </c>
      <c r="H69" s="104" t="str">
        <f t="shared" si="8"/>
        <v>?</v>
      </c>
      <c r="I69" s="105">
        <f t="shared" si="7"/>
        <v>0</v>
      </c>
      <c r="J69" s="138" t="s">
        <v>104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97" t="s">
        <v>105</v>
      </c>
      <c r="E70" s="98" t="str">
        <f>_xlfn.IFNA(VLOOKUP(MOD((($D$1-WEEKDAY($D$1,2)+1)-45523)/7+17,24),Shift!$A$2:$H$25,WEEKDAY($D$1,2)+1),VLOOKUP(24,Shift!$A$2:$H$25,WEEKDAY($D$1,2)+1))</f>
        <v>M</v>
      </c>
      <c r="F70" s="98" t="str">
        <f t="shared" si="8"/>
        <v>?</v>
      </c>
      <c r="G70" s="98" t="str">
        <f t="shared" si="8"/>
        <v>?</v>
      </c>
      <c r="H70" s="98" t="str">
        <f t="shared" si="8"/>
        <v>?</v>
      </c>
      <c r="I70" s="99">
        <f t="shared" si="7"/>
        <v>0</v>
      </c>
      <c r="J70" s="136" t="s">
        <v>105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106</v>
      </c>
      <c r="E71" s="101" t="str">
        <f>_xlfn.IFNA(VLOOKUP(MOD((($D$1-WEEKDAY($D$1,2)+1)-45523)/7+23,24),Shift!$A$2:$H$25,WEEKDAY($D$1,2)+1),VLOOKUP(24,Shift!$A$2:$H$25,WEEKDAY($D$1,2)+1))</f>
        <v>M @</v>
      </c>
      <c r="F71" s="101" t="str">
        <f t="shared" si="8"/>
        <v>?</v>
      </c>
      <c r="G71" s="101" t="str">
        <f t="shared" si="8"/>
        <v>?</v>
      </c>
      <c r="H71" s="101" t="str">
        <f t="shared" si="8"/>
        <v>?</v>
      </c>
      <c r="I71" s="102">
        <f t="shared" si="7"/>
        <v>0</v>
      </c>
      <c r="J71" s="137" t="s">
        <v>106</v>
      </c>
      <c r="K71" s="112" t="str">
        <f t="shared" si="9"/>
        <v/>
      </c>
      <c r="L71" s="112" t="str">
        <f t="shared" si="10"/>
        <v/>
      </c>
      <c r="M71" s="112"/>
    </row>
    <row r="72" spans="4:13">
      <c r="D72" s="100" t="s">
        <v>107</v>
      </c>
      <c r="E72" s="101" t="str">
        <f>_xlfn.IFNA(VLOOKUP(MOD((($D$1-WEEKDAY($D$1,2)+1)-45523)/7+5,24),Shift!$A$2:$H$25,WEEKDAY($D$1,2)+1),VLOOKUP(24,Shift!$A$2:$H$25,WEEKDAY($D$1,2)+1))</f>
        <v>M1</v>
      </c>
      <c r="F72" s="101" t="str">
        <f t="shared" si="8"/>
        <v>?</v>
      </c>
      <c r="G72" s="101" t="str">
        <f t="shared" si="8"/>
        <v>?</v>
      </c>
      <c r="H72" s="101" t="str">
        <f t="shared" si="8"/>
        <v>?</v>
      </c>
      <c r="I72" s="102">
        <f t="shared" si="7"/>
        <v>0</v>
      </c>
      <c r="J72" s="137" t="s">
        <v>107</v>
      </c>
      <c r="K72" s="112" t="str">
        <f t="shared" si="9"/>
        <v/>
      </c>
      <c r="L72" s="112" t="str">
        <f t="shared" si="10"/>
        <v/>
      </c>
      <c r="M72" s="112"/>
    </row>
    <row r="73" spans="4:13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G1</v>
      </c>
      <c r="F73" s="104" t="str">
        <f t="shared" si="8"/>
        <v>?</v>
      </c>
      <c r="G73" s="104" t="str">
        <f t="shared" si="8"/>
        <v>?</v>
      </c>
      <c r="H73" s="104" t="str">
        <f t="shared" si="8"/>
        <v>?</v>
      </c>
      <c r="I73" s="105">
        <f t="shared" si="7"/>
        <v>0</v>
      </c>
      <c r="J73" s="138" t="s">
        <v>108</v>
      </c>
      <c r="K73" s="112" t="str">
        <f t="shared" si="9"/>
        <v/>
      </c>
      <c r="L73" s="112" t="str">
        <f t="shared" si="10"/>
        <v/>
      </c>
      <c r="M73" s="112"/>
    </row>
    <row r="74" spans="4:13">
      <c r="D74" s="144" t="s">
        <v>86</v>
      </c>
      <c r="E74" s="98" t="s">
        <v>127</v>
      </c>
      <c r="F74" s="98"/>
      <c r="G74" s="98"/>
      <c r="H74" s="98"/>
      <c r="I74" s="99">
        <f>IF(OR($E74="L",$E74="L#",$E74="?"),0,SUM($F74:$H74))</f>
        <v>0</v>
      </c>
      <c r="J74" s="33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330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330"/>
    </row>
    <row r="77" spans="4:13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330"/>
    </row>
    <row r="78" spans="4:13">
      <c r="D78" s="330"/>
      <c r="E78" s="96" t="s">
        <v>98</v>
      </c>
      <c r="F78" s="96" t="str">
        <f>SUM($F$62:$F$77)&amp;IF(SUM($F$62:$H$77)&gt;$I$78,"?","")</f>
        <v>0</v>
      </c>
      <c r="G78" s="96" t="str">
        <f>SUM($G$62:$G$77)&amp;IF(SUM($F$62:$H$77)&gt;$I$78,"?","")</f>
        <v>0</v>
      </c>
      <c r="H78" s="96" t="str">
        <f>SUM($H$62:$H$77)&amp;IF(SUM($F$62:$H$77)&gt;$I$78,"?","")</f>
        <v>0</v>
      </c>
      <c r="I78" s="96">
        <f>SUM(I62:I77)</f>
        <v>0</v>
      </c>
      <c r="J78" s="330"/>
    </row>
    <row r="79" spans="4:13">
      <c r="D79" s="330"/>
      <c r="E79" s="330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330"/>
      <c r="J79" s="330"/>
    </row>
    <row r="81" spans="4:6">
      <c r="D81" s="410" t="s">
        <v>281</v>
      </c>
      <c r="E81" s="410"/>
      <c r="F81" s="410"/>
    </row>
    <row r="82" spans="4:6">
      <c r="D82" s="49" t="str">
        <f>IF(Flight!$A$68=0,"",Flight!$A$68)</f>
        <v/>
      </c>
      <c r="E82" s="163"/>
      <c r="F82" s="164" t="str">
        <f>IF(D82="","",VLOOKUP(D82,Flight!$A$68:$C$91,3,FALSE))</f>
        <v/>
      </c>
    </row>
    <row r="83" spans="4:6">
      <c r="D83" s="49" t="str">
        <f>IF(Flight!$A69=0,"",Flight!$A69)</f>
        <v/>
      </c>
      <c r="F83" s="164" t="str">
        <f>IF(D83="","",VLOOKUP(D83,Flight!$A$68:$C$91,3,FALSE))</f>
        <v/>
      </c>
    </row>
    <row r="84" spans="4:6">
      <c r="D84" s="49" t="str">
        <f>IF(Flight!$A71=0,"",Flight!$A71)</f>
        <v>3A031</v>
      </c>
      <c r="F84" s="164" t="str">
        <f>IF(D84="","",VLOOKUP(D84,Flight!$A$68:$C$91,3,FALSE))</f>
        <v>ZTI</v>
      </c>
    </row>
    <row r="85" spans="4:6">
      <c r="D85" s="49" t="str">
        <f>IF(Flight!$A72=0,"",Flight!$A72)</f>
        <v>3A003</v>
      </c>
      <c r="F85" s="164" t="str">
        <f>IF(D85="","",VLOOKUP(D85,Flight!$A$68:$C$91,3,FALSE))</f>
        <v>ZYK</v>
      </c>
    </row>
    <row r="86" spans="4:6">
      <c r="D86" s="49" t="str">
        <f>IF(Flight!$A73=0,"",Flight!$A73)</f>
        <v>3A005</v>
      </c>
      <c r="F86" s="164" t="str">
        <f>IF(D86="","",VLOOKUP(D86,Flight!$A$68:$C$91,3,FALSE))</f>
        <v>HKM</v>
      </c>
    </row>
    <row r="87" spans="4:6">
      <c r="D87" s="49" t="str">
        <f>IF(Flight!$A74=0,"",Flight!$A74)</f>
        <v>3A007</v>
      </c>
      <c r="F87" s="164" t="str">
        <f>IF(D87="","",VLOOKUP(D87,Flight!$A$68:$C$91,3,FALSE))</f>
        <v>ZYK</v>
      </c>
    </row>
    <row r="88" spans="4:6">
      <c r="D88" s="49" t="str">
        <f>IF(Flight!$A75=0,"",Flight!$A75)</f>
        <v>3A008</v>
      </c>
      <c r="F88" s="164" t="str">
        <f>IF(D88="","",VLOOKUP(D88,Flight!$A$68:$C$91,3,FALSE))</f>
        <v>ZYK</v>
      </c>
    </row>
    <row r="89" spans="4:6">
      <c r="D89" s="49" t="str">
        <f>IF(Flight!$A76=0,"",Flight!$A76)</f>
        <v>3A009</v>
      </c>
      <c r="F89" s="164" t="str">
        <f>IF(D89="","",VLOOKUP(D89,Flight!$A$68:$C$91,3,FALSE))</f>
        <v>ZYK</v>
      </c>
    </row>
    <row r="90" spans="4:6">
      <c r="D90" s="49" t="str">
        <f>IF(Flight!$A77=0,"",Flight!$A77)</f>
        <v>3A010</v>
      </c>
      <c r="F90" s="164" t="str">
        <f>IF(D90="","",VLOOKUP(D90,Flight!$A$68:$C$91,3,FALSE))</f>
        <v>ZYK</v>
      </c>
    </row>
    <row r="91" spans="4:6">
      <c r="D91" s="49" t="str">
        <f>IF(Flight!$A78=0,"",Flight!$A78)</f>
        <v/>
      </c>
      <c r="F91" s="164" t="str">
        <f>IF(D91="","",VLOOKUP(D91,Flight!$A$68:$C$91,3,FALSE))</f>
        <v/>
      </c>
    </row>
    <row r="92" spans="4:6">
      <c r="D92" s="49" t="str">
        <f>IF(Flight!$A80=0,"",Flight!$A80)</f>
        <v>8S7121</v>
      </c>
      <c r="F92" s="164" t="str">
        <f>IF(D92="","",VLOOKUP(D92,Flight!$A$68:$C$91,3,FALSE))</f>
        <v>HKM</v>
      </c>
    </row>
    <row r="93" spans="4:6">
      <c r="D93" s="49" t="str">
        <f>IF(Flight!$A81=0,"",Flight!$A81)</f>
        <v>8S7108</v>
      </c>
      <c r="F93" s="164" t="str">
        <f>IF(D93="","",VLOOKUP(D93,Flight!$A$68:$C$91,3,FALSE))</f>
        <v>ZYK</v>
      </c>
    </row>
    <row r="94" spans="4:6">
      <c r="D94" s="49" t="str">
        <f>IF(Flight!$A82=0,"",Flight!$A82)</f>
        <v>8S7111</v>
      </c>
      <c r="F94" s="164" t="str">
        <f>IF(D94="","",VLOOKUP(D94,Flight!$A$68:$C$91,3,FALSE))</f>
        <v>ZYK</v>
      </c>
    </row>
    <row r="95" spans="4:6">
      <c r="D95" s="49" t="str">
        <f>IF(Flight!$A83=0,"",Flight!$A83)</f>
        <v>8S7131</v>
      </c>
      <c r="F95" s="164" t="str">
        <f>IF(D95="","",VLOOKUP(D95,Flight!$A$68:$C$91,3,FALSE))</f>
        <v>?</v>
      </c>
    </row>
    <row r="96" spans="4:6">
      <c r="D96" s="49" t="str">
        <f>IF(Flight!$A84=0,"",Flight!$A84)</f>
        <v>8S7119</v>
      </c>
      <c r="F96" s="164" t="str">
        <f>IF(D96="","",VLOOKUP(D96,Flight!$A$68:$C$91,3,FALSE))</f>
        <v>HKM</v>
      </c>
    </row>
    <row r="97" spans="4:6">
      <c r="D97" s="49" t="str">
        <f>IF(Flight!$A85=0,"",Flight!$A85)</f>
        <v>8S7126</v>
      </c>
      <c r="F97" s="164" t="str">
        <f>IF(D97="","",VLOOKUP(D97,Flight!$A$68:$C$91,3,FALSE))</f>
        <v>HKM</v>
      </c>
    </row>
    <row r="98" spans="4:6">
      <c r="D98" s="49" t="str">
        <f>IF(Flight!$A86=0,"",Flight!$A86)</f>
        <v>8S7128</v>
      </c>
      <c r="F98" s="164" t="str">
        <f>IF(D98="","",VLOOKUP(D98,Flight!$A$68:$C$91,3,FALSE))</f>
        <v>HKM</v>
      </c>
    </row>
    <row r="99" spans="4:6">
      <c r="D99" s="49" t="str">
        <f>IF(Flight!$A87=0,"",Flight!$A87)</f>
        <v>3A8010</v>
      </c>
      <c r="F99" s="164" t="str">
        <f>IF(D99="","",VLOOKUP(D99,Flight!$A$68:$C$91,3,FALSE))</f>
        <v>HZI</v>
      </c>
    </row>
    <row r="100" spans="4:6">
      <c r="D100" s="49" t="str">
        <f>IF(Flight!$A88=0,"",Flight!$A88)</f>
        <v>3A8015</v>
      </c>
      <c r="F100" s="164" t="str">
        <f>IF(D100="","",VLOOKUP(D100,Flight!$A$68:$C$91,3,FALSE))</f>
        <v>?</v>
      </c>
    </row>
    <row r="101" spans="4:6">
      <c r="D101" s="49" t="str">
        <f>IF(Flight!$A89=0,"",Flight!$A89)</f>
        <v>3A8016</v>
      </c>
      <c r="F101" s="164" t="str">
        <f>IF(D101="","",VLOOKUP(D101,Flight!$A$68:$C$91,3,FALSE))</f>
        <v>HZI</v>
      </c>
    </row>
    <row r="102" spans="4:6">
      <c r="D102" s="49" t="str">
        <f>IF(Flight!$A91=0,"",Flight!$A91)</f>
        <v xml:space="preserve">Last </v>
      </c>
      <c r="F102" s="164" t="str">
        <f>IF(D102="","",VLOOKUP(D102,Flight!$A$68:$C$91,3,FALSE))</f>
        <v>↑</v>
      </c>
    </row>
    <row r="103" spans="4:6">
      <c r="D103" s="49" t="str">
        <f>IF(Flight!$A92=0,"",Flight!$A92)</f>
        <v/>
      </c>
      <c r="F103" s="164" t="str">
        <f>IF(D103="","",VLOOKUP(D103,Flight!$A$68:$C$91,3,FALSE))</f>
        <v/>
      </c>
    </row>
    <row r="104" spans="4:6">
      <c r="D104" s="186"/>
      <c r="F104" s="187"/>
    </row>
    <row r="105" spans="4:6">
      <c r="D105" s="406" t="str">
        <f>IF(Flight!$A$93=0,"",Flight!$A$93)</f>
        <v>Target Flight</v>
      </c>
      <c r="E105" s="406"/>
      <c r="F105" s="406"/>
    </row>
    <row r="106" spans="4:6">
      <c r="D106" s="27" t="s">
        <v>59</v>
      </c>
      <c r="E106" s="158"/>
      <c r="F106" s="10" t="s">
        <v>38</v>
      </c>
    </row>
    <row r="107" spans="4:6">
      <c r="D107" s="27" t="s">
        <v>89</v>
      </c>
      <c r="E107" s="158"/>
      <c r="F107" s="10" t="s">
        <v>38</v>
      </c>
    </row>
    <row r="108" spans="4:6">
      <c r="D108" s="27" t="s">
        <v>254</v>
      </c>
      <c r="E108" s="158"/>
      <c r="F108" s="10" t="s">
        <v>38</v>
      </c>
    </row>
    <row r="109" spans="4:6">
      <c r="D109" s="27" t="s">
        <v>57</v>
      </c>
      <c r="E109" s="158"/>
      <c r="F109" s="10" t="s">
        <v>58</v>
      </c>
    </row>
    <row r="110" spans="4:6">
      <c r="D110" s="27" t="s">
        <v>198</v>
      </c>
      <c r="E110" s="158"/>
      <c r="F110" s="10" t="s">
        <v>199</v>
      </c>
    </row>
    <row r="111" spans="4:6">
      <c r="D111" s="27" t="s">
        <v>55</v>
      </c>
      <c r="E111" s="158"/>
      <c r="F111" s="10" t="s">
        <v>54</v>
      </c>
    </row>
    <row r="112" spans="4:6">
      <c r="D112" s="27" t="s">
        <v>39</v>
      </c>
      <c r="E112" s="158"/>
      <c r="F112" s="10" t="s">
        <v>38</v>
      </c>
    </row>
    <row r="113" spans="4:6">
      <c r="D113" s="27" t="s">
        <v>200</v>
      </c>
      <c r="E113" s="158"/>
      <c r="F113" s="10" t="s">
        <v>54</v>
      </c>
    </row>
    <row r="114" spans="4:6">
      <c r="D114" s="27" t="s">
        <v>201</v>
      </c>
      <c r="E114" s="158"/>
      <c r="F114" s="10" t="s">
        <v>38</v>
      </c>
    </row>
    <row r="115" spans="4:6">
      <c r="D115" s="161"/>
      <c r="E115" s="158"/>
      <c r="F115" s="159"/>
    </row>
    <row r="116" spans="4:6">
      <c r="D116" s="161"/>
      <c r="E116" s="158"/>
      <c r="F116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7:E47"/>
    <mergeCell ref="G47:H47"/>
    <mergeCell ref="I47:J47"/>
    <mergeCell ref="K46:M46"/>
    <mergeCell ref="H6:H7"/>
    <mergeCell ref="I6:I7"/>
    <mergeCell ref="J6:J7"/>
    <mergeCell ref="K6:M6"/>
    <mergeCell ref="A43:F43"/>
    <mergeCell ref="I43:M44"/>
    <mergeCell ref="A44:H44"/>
    <mergeCell ref="A6:A7"/>
    <mergeCell ref="B6:C6"/>
    <mergeCell ref="D6:D7"/>
    <mergeCell ref="E6:E7"/>
    <mergeCell ref="F6:F7"/>
    <mergeCell ref="A45:H45"/>
    <mergeCell ref="A46:B46"/>
    <mergeCell ref="D46:E46"/>
    <mergeCell ref="G46:H46"/>
    <mergeCell ref="I46:J46"/>
    <mergeCell ref="K47:M47"/>
    <mergeCell ref="A52:B52"/>
    <mergeCell ref="C52:E52"/>
    <mergeCell ref="F52:I52"/>
    <mergeCell ref="K52:M52"/>
    <mergeCell ref="A49:B49"/>
    <mergeCell ref="C49:E49"/>
    <mergeCell ref="G49:I49"/>
    <mergeCell ref="K49:M49"/>
    <mergeCell ref="C50:E50"/>
    <mergeCell ref="G50:I50"/>
    <mergeCell ref="K50:M50"/>
    <mergeCell ref="D48:E48"/>
    <mergeCell ref="G48:H48"/>
    <mergeCell ref="I48:J48"/>
    <mergeCell ref="A47:B47"/>
    <mergeCell ref="D54:E54"/>
    <mergeCell ref="F54:G54"/>
    <mergeCell ref="H54:I54"/>
    <mergeCell ref="D51:I51"/>
    <mergeCell ref="K51:M51"/>
    <mergeCell ref="A53:B53"/>
    <mergeCell ref="C53:E53"/>
    <mergeCell ref="F53:G53"/>
    <mergeCell ref="H53:I53"/>
    <mergeCell ref="K53:M53"/>
    <mergeCell ref="D105:F105"/>
    <mergeCell ref="A55:B55"/>
    <mergeCell ref="C55:E55"/>
    <mergeCell ref="H55:I55"/>
    <mergeCell ref="C56:H56"/>
    <mergeCell ref="I57:J57"/>
    <mergeCell ref="D81:F81"/>
  </mergeCells>
  <phoneticPr fontId="2" type="noConversion"/>
  <conditionalFormatting sqref="H8:H42 E8:E42">
    <cfRule type="cellIs" dxfId="46" priority="4" operator="equal">
      <formula>""</formula>
    </cfRule>
  </conditionalFormatting>
  <conditionalFormatting sqref="F62:H79">
    <cfRule type="cellIs" dxfId="45" priority="3" operator="equal">
      <formula>"?"</formula>
    </cfRule>
  </conditionalFormatting>
  <conditionalFormatting sqref="D43:D999">
    <cfRule type="duplicateValues" dxfId="44" priority="2"/>
  </conditionalFormatting>
  <conditionalFormatting sqref="D8:D42">
    <cfRule type="duplicateValues" dxfId="43" priority="225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>
          <x14:formula1>
            <xm:f>Staff!$G$2:$G$9</xm:f>
          </x14:formula1>
          <xm:sqref>K46:M47</xm:sqref>
        </x14:dataValidation>
        <x14:dataValidation type="list" allowBlank="1" showInputMessage="1">
          <x14:formula1>
            <xm:f>Staff!$G$12:$G$52</xm:f>
          </x14:formula1>
          <xm:sqref>G49:I50</xm:sqref>
        </x14:dataValidation>
        <x14:dataValidation type="list" allowBlank="1" showInputMessage="1">
          <x14:formula1>
            <xm:f>Staff!$G$23:$G$52</xm:f>
          </x14:formula1>
          <xm:sqref>K49:M53</xm:sqref>
        </x14:dataValidation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errorStyle="warning" allowBlank="1" showInputMessage="1">
          <x14:formula1>
            <xm:f>Staff!$B$15:$B$39</xm:f>
          </x14:formula1>
          <xm:sqref>D47:E47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topLeftCell="A4" zoomScale="90" zoomScaleNormal="100" zoomScaleSheetLayoutView="90" workbookViewId="0">
      <selection activeCell="D33" sqref="D33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45768</v>
      </c>
      <c r="E1" s="355"/>
      <c r="F1" s="333" t="s">
        <v>23</v>
      </c>
      <c r="G1" s="110">
        <f>D1</f>
        <v>45768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S3(0)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 &lt;S5(0)&gt;  S7(0)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>-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S6(0)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 &lt;S1(0)&gt;  S2(0)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S4(0)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2" si="0">IF($E8&lt;&gt;"",IF($E8-715&lt;0,VLOOKUP($B$3,$E$62:$J$73,6,FALSE),IF(AND($E8-2130&gt;0,_xlfn.IFNA(MATCH($D8,$D$106:$D$116,0)&lt;20,"")=TRUE),VLOOKUP($L$3,$E$62:$J$73,6,FALSE),"-")),"")</f>
        <v>S3</v>
      </c>
      <c r="C8" s="9" t="str">
        <f t="shared" ref="C8:C42" si="1">IF($E8&lt;&gt;"",IF(ISNUMBER(SEARCH("Hall Operation",$K8)),"-",IF($E8-715&lt;0,VLOOKUP($B$3,$E$62:$J$73,6,FALSE),IF($E8-2129&gt;0,VLOOKUP($L$3,$E$62:$J$73,6,FALSE),""))),"")</f>
        <v>-</v>
      </c>
      <c r="D8" s="9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1" si="2">IF($D8=0,"",IF(OR(ISNUMBER(SEARCH("S",$B8)),_xlfn.IFNA(MATCH($D8,$D$106:$D$116,0)&lt;20,"")=TRUE),"&lt;   Hall Operation   &gt;",""))</f>
        <v>&lt;   Hall Operation   &gt;</v>
      </c>
      <c r="L8" s="166"/>
      <c r="M8" s="166"/>
      <c r="N8" s="173"/>
    </row>
    <row r="9" spans="1:16" s="346" customFormat="1" ht="16.5" customHeight="1">
      <c r="A9" s="9"/>
      <c r="B9" s="9" t="str">
        <f t="shared" si="0"/>
        <v>S3</v>
      </c>
      <c r="C9" s="9" t="str">
        <f t="shared" si="1"/>
        <v>-</v>
      </c>
      <c r="D9" s="9" t="s">
        <v>961</v>
      </c>
      <c r="E9" s="172" t="s">
        <v>962</v>
      </c>
      <c r="F9" s="43"/>
      <c r="G9" s="43" t="str">
        <f>IF(A9="@",IF(H9="ZYK","Berth 3",IF(H9="HKM","Bay 7","")),"")</f>
        <v/>
      </c>
      <c r="H9" s="44" t="s">
        <v>963</v>
      </c>
      <c r="I9" s="44"/>
      <c r="J9" s="44"/>
      <c r="K9" s="166" t="str">
        <f t="shared" si="2"/>
        <v>&lt;   Hall Operation   &gt;</v>
      </c>
      <c r="L9" s="166"/>
      <c r="M9" s="166"/>
      <c r="N9" s="173"/>
      <c r="O9" s="112"/>
    </row>
    <row r="10" spans="1:16" ht="16.5" customHeight="1">
      <c r="A10" s="9">
        <f>IF($A7="S/N",1,IF($F10="Wavied","-",IF($D10=0,"",ROW($A10)-ROW($A$7)-COUNTIF($A$7:$A$8,"@")-COUNTIF($A$7:$A$8,"-"))))</f>
        <v>3</v>
      </c>
      <c r="B10" s="9" t="str">
        <f t="shared" si="0"/>
        <v>S3</v>
      </c>
      <c r="C10" s="9" t="str">
        <f t="shared" si="1"/>
        <v>-</v>
      </c>
      <c r="D10" s="165" t="s">
        <v>63</v>
      </c>
      <c r="E10" s="172" t="str">
        <f>IF($D10&gt;0,VLOOKUP($D10,Flight!$A$1:$E$91,2,FALSE),"")</f>
        <v>0545</v>
      </c>
      <c r="F10" s="45"/>
      <c r="G10" s="43" t="str">
        <f t="shared" ref="G10:G42" si="3">IF(A10="@",IF(H10="ZYK","Berth 3",IF(H10="HKM","Bay 7","")),"")</f>
        <v/>
      </c>
      <c r="H10" s="44" t="str">
        <f>IF($D10&gt;0,VLOOKUP($D10,Flight!$A$1:$E$91,3,FALSE),"")</f>
        <v>CGK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IF($A8="S/N",1,IF($F11="Wavied","-",IF($D11=0,"",ROW($A11)-ROW($A$7)-COUNTIF($A$7:$A$8,"@")-COUNTIF($A$7:$A$8,"-"))))</f>
        <v>4</v>
      </c>
      <c r="B11" s="9" t="str">
        <f t="shared" si="0"/>
        <v>S3</v>
      </c>
      <c r="C11" s="9" t="str">
        <f t="shared" si="1"/>
        <v>-</v>
      </c>
      <c r="D11" s="27" t="s">
        <v>238</v>
      </c>
      <c r="E11" s="172" t="str">
        <f>IF($D11&gt;0,VLOOKUP($D11,Flight!$A$1:$E$91,2,FALSE),"")</f>
        <v>0555</v>
      </c>
      <c r="F11" s="45"/>
      <c r="G11" s="43" t="str">
        <f t="shared" si="3"/>
        <v/>
      </c>
      <c r="H11" s="44" t="str">
        <f>IF($D11&gt;0,VLOOKUP($D11,Flight!$A$1:$E$91,3,FALSE),"")</f>
        <v>BKK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ref="A12:A42" si="4">IF($A10="S/N",1,IF($F12="Wavied","-",IF($D12=0,"",ROW($A12)-ROW($A$7)-COUNTIF($A$7:$A$8,"@")-COUNTIF($A$7:$A$8,"-"))))</f>
        <v>5</v>
      </c>
      <c r="B12" s="9" t="str">
        <f t="shared" si="0"/>
        <v>S3</v>
      </c>
      <c r="C12" s="9" t="str">
        <f t="shared" si="1"/>
        <v>-</v>
      </c>
      <c r="D12" s="217" t="s">
        <v>89</v>
      </c>
      <c r="E12" s="172" t="str">
        <f>IF($D12&gt;0,VLOOKUP($D12,Flight!$A$1:$E$91,2,FALSE),"")</f>
        <v>0615</v>
      </c>
      <c r="F12" s="43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si="4"/>
        <v>6</v>
      </c>
      <c r="B13" s="9" t="str">
        <f t="shared" si="0"/>
        <v>S3</v>
      </c>
      <c r="C13" s="9" t="str">
        <f t="shared" si="1"/>
        <v>-</v>
      </c>
      <c r="D13" s="217" t="s">
        <v>201</v>
      </c>
      <c r="E13" s="172" t="str">
        <f>IF($D13&gt;0,VLOOKUP($D13,Flight!$A$1:$E$91,2,FALSE),"")</f>
        <v>0640</v>
      </c>
      <c r="F13" s="45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6">
      <c r="A14" s="9">
        <f t="shared" si="4"/>
        <v>7</v>
      </c>
      <c r="B14" s="9" t="str">
        <f t="shared" si="0"/>
        <v>-</v>
      </c>
      <c r="C14" s="9" t="str">
        <f t="shared" si="1"/>
        <v>-</v>
      </c>
      <c r="D14" s="217" t="s">
        <v>39</v>
      </c>
      <c r="E14" s="172" t="str">
        <f>IF($D14&gt;0,VLOOKUP($D14,Flight!$A$1:$E$91,2,FALSE),"")</f>
        <v>0905</v>
      </c>
      <c r="F14" s="46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IF($D14&gt;0,IF(VLOOKUP($D14,Flight!$A$1:$E$91,4,FALSE)&gt;1,VLOOKUP($D14,Flight!$A$1:$E96,4,FALSE),""),"")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  <c r="P14" s="87"/>
    </row>
    <row r="15" spans="1:16">
      <c r="A15" s="9">
        <f t="shared" si="4"/>
        <v>8</v>
      </c>
      <c r="B15" s="9" t="str">
        <f t="shared" si="0"/>
        <v>-</v>
      </c>
      <c r="C15" s="9" t="str">
        <f t="shared" si="1"/>
        <v/>
      </c>
      <c r="D15" s="217" t="s">
        <v>404</v>
      </c>
      <c r="E15" s="172" t="str">
        <f>IF($D15&gt;0,VLOOKUP($D15,Flight!$A$1:$E$91,2,FALSE),"")</f>
        <v>0930</v>
      </c>
      <c r="F15" s="46"/>
      <c r="G15" s="43" t="str">
        <f t="shared" si="3"/>
        <v/>
      </c>
      <c r="H15" s="44" t="str">
        <f>IF($D15&gt;0,VLOOKUP($D15,Flight!$A$1:$E$91,3,FALSE),"")</f>
        <v>HYD</v>
      </c>
      <c r="I15" s="44" t="str">
        <f>IF($D15&gt;0,IF(VLOOKUP($D15,Flight!$A$1:$E$91,4,FALSE)&gt;1,VLOOKUP($D15,Flight!$A$1:$E97,4,FALSE),""),"")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/>
      </c>
      <c r="L15" s="166"/>
      <c r="M15" s="166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>-</v>
      </c>
      <c r="D16" s="217" t="s">
        <v>370</v>
      </c>
      <c r="E16" s="172" t="str">
        <f>IF($D16&gt;0,VLOOKUP($D16,Flight!$A$1:$E$91,2,FALSE),"")</f>
        <v>0935</v>
      </c>
      <c r="F16" s="46"/>
      <c r="G16" s="43" t="str">
        <f t="shared" si="3"/>
        <v/>
      </c>
      <c r="H16" s="44" t="str">
        <f>IF($D16&gt;0,VLOOKUP($D16,Flight!$A$1:$E$91,3,FALSE),"")</f>
        <v>BLR</v>
      </c>
      <c r="I16" s="44" t="str">
        <f>IF($D16&gt;0,IF(VLOOKUP($D16,Flight!$A$1:$E$91,4,FALSE)&gt;1,VLOOKUP($D16,Flight!$A$1:$E98,4,FALSE),""),"")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>
      <c r="A17" s="9">
        <f t="shared" si="4"/>
        <v>10</v>
      </c>
      <c r="B17" s="9" t="str">
        <f t="shared" si="0"/>
        <v>-</v>
      </c>
      <c r="C17" s="9" t="str">
        <f t="shared" si="1"/>
        <v>-</v>
      </c>
      <c r="D17" s="217" t="s">
        <v>198</v>
      </c>
      <c r="E17" s="172" t="str">
        <f>IF($D17&gt;0,VLOOKUP($D17,Flight!$A$1:$E$91,2,FALSE),"")</f>
        <v>0950</v>
      </c>
      <c r="F17" s="45"/>
      <c r="G17" s="43" t="str">
        <f t="shared" si="3"/>
        <v/>
      </c>
      <c r="H17" s="44" t="str">
        <f>IF($D17&gt;0,VLOOKUP($D17,Flight!$A$1:$E$91,3,FALSE),"")</f>
        <v>MAA</v>
      </c>
      <c r="I17" s="44" t="str">
        <f>IF($D17&gt;0,IF(VLOOKUP($D17,Flight!$A$1:$E$91,4,FALSE)&gt;1,VLOOKUP($D17,Flight!$A$1:$E99,4,FALSE),""),"")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 ht="16.5" customHeight="1">
      <c r="A18" s="9">
        <f t="shared" si="4"/>
        <v>11</v>
      </c>
      <c r="B18" s="9" t="str">
        <f t="shared" si="0"/>
        <v>-</v>
      </c>
      <c r="C18" s="9" t="str">
        <f t="shared" si="1"/>
        <v>-</v>
      </c>
      <c r="D18" s="217" t="s">
        <v>55</v>
      </c>
      <c r="E18" s="172" t="str">
        <f>IF($D18&gt;0,VLOOKUP($D18,Flight!$A$1:$E$91,2,FALSE),"")</f>
        <v>0955</v>
      </c>
      <c r="F18" s="45"/>
      <c r="G18" s="43" t="str">
        <f t="shared" si="3"/>
        <v/>
      </c>
      <c r="H18" s="44" t="str">
        <f>IF($D18&gt;0,VLOOKUP($D18,Flight!$A$1:$E$91,3,FALSE),"")</f>
        <v>BOM</v>
      </c>
      <c r="I18" s="44" t="str">
        <f>IF($D18&gt;0,IF(VLOOKUP($D18,Flight!$A$1:$E$91,4,FALSE)&gt;1,VLOOKUP($D18,Flight!$A$1:$E100,4,FALSE),""),"")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>&lt;   Hall Operation   &gt;</v>
      </c>
      <c r="L18" s="166"/>
      <c r="M18" s="166"/>
      <c r="O18" s="114"/>
    </row>
    <row r="19" spans="1:15">
      <c r="A19" s="9">
        <f t="shared" si="4"/>
        <v>12</v>
      </c>
      <c r="B19" s="9" t="str">
        <f t="shared" si="0"/>
        <v>-</v>
      </c>
      <c r="C19" s="9" t="str">
        <f t="shared" si="1"/>
        <v/>
      </c>
      <c r="D19" s="27" t="s">
        <v>372</v>
      </c>
      <c r="E19" s="172" t="str">
        <f>IF($D19&gt;0,VLOOKUP($D19,Flight!$A$1:$E$91,2,FALSE),"")</f>
        <v>1000</v>
      </c>
      <c r="F19" s="45"/>
      <c r="G19" s="43" t="str">
        <f t="shared" si="3"/>
        <v/>
      </c>
      <c r="H19" s="44" t="str">
        <f>IF($D19&gt;0,VLOOKUP($D19,Flight!$A$1:$E$91,3,FALSE),"")</f>
        <v>DMK</v>
      </c>
      <c r="I19" s="44" t="str">
        <f>IF($D19&gt;0,IF(VLOOKUP($D19,Flight!$A$1:$E$91,4,FALSE)&gt;1,VLOOKUP($D19,Flight!$A$1:$E101,4,FALSE),""),"")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27" t="s">
        <v>373</v>
      </c>
      <c r="E20" s="172" t="str">
        <f>IF($D20&gt;0,VLOOKUP($D20,Flight!$A$1:$E$91,2,FALSE),"")</f>
        <v>1010</v>
      </c>
      <c r="F20" s="45"/>
      <c r="G20" s="43" t="str">
        <f t="shared" si="3"/>
        <v/>
      </c>
      <c r="H20" s="44" t="str">
        <f>IF($D20&gt;0,VLOOKUP($D20,Flight!$A$1:$E$91,3,FALSE),"")</f>
        <v>MNL</v>
      </c>
      <c r="I20" s="44" t="str">
        <f>IF($D20&gt;0,IF(VLOOKUP($D20,Flight!$A$1:$E$91,4,FALSE)&gt;1,VLOOKUP($D20,Flight!$A$1:$E102,4,FALSE),""),"")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27" t="s">
        <v>374</v>
      </c>
      <c r="E21" s="172" t="str">
        <f>IF($D21&gt;0,VLOOKUP($D21,Flight!$A$1:$E$91,2,FALSE),"")</f>
        <v>1115</v>
      </c>
      <c r="F21" s="45"/>
      <c r="G21" s="43" t="str">
        <f t="shared" si="3"/>
        <v/>
      </c>
      <c r="H21" s="44" t="str">
        <f>IF($D21&gt;0,VLOOKUP($D21,Flight!$A$1:$E$91,3,FALSE),"")</f>
        <v>KUL</v>
      </c>
      <c r="I21" s="44" t="str">
        <f>IF($D21&gt;0,IF(VLOOKUP($D21,Flight!$A$1:$E$91,4,FALSE)&gt;1,VLOOKUP($D21,Flight!$A$1:$E103,4,FALSE),""),"")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 ht="15.75" customHeight="1">
      <c r="A22" s="9">
        <f t="shared" si="4"/>
        <v>15</v>
      </c>
      <c r="B22" s="9" t="str">
        <f t="shared" si="0"/>
        <v>-</v>
      </c>
      <c r="C22" s="9" t="str">
        <f t="shared" si="1"/>
        <v/>
      </c>
      <c r="D22" s="27" t="s">
        <v>375</v>
      </c>
      <c r="E22" s="172" t="str">
        <f>IF($D22&gt;0,VLOOKUP($D22,Flight!$A$1:$E$91,2,FALSE),"")</f>
        <v>1145</v>
      </c>
      <c r="F22" s="44"/>
      <c r="G22" s="43" t="str">
        <f t="shared" si="3"/>
        <v/>
      </c>
      <c r="H22" s="44" t="str">
        <f>IF($D22&gt;0,VLOOKUP($D22,Flight!$A$1:$E$91,3,FALSE),"")</f>
        <v>BKK</v>
      </c>
      <c r="I22" s="44" t="str">
        <f>IF($D22&gt;0,IF(VLOOKUP($D22,Flight!$A$1:$E$91,4,FALSE)&gt;1,VLOOKUP($D22,Flight!$A$1:$E104,4,FALSE),""),"")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215" t="s">
        <v>456</v>
      </c>
      <c r="E23" s="172" t="str">
        <f>IF($D23&gt;0,VLOOKUP($D23,Flight!$A$1:$E$91,2,FALSE),"")</f>
        <v>1210</v>
      </c>
      <c r="F23" s="44"/>
      <c r="G23" s="43" t="str">
        <f t="shared" si="3"/>
        <v/>
      </c>
      <c r="H23" s="44" t="str">
        <f>IF($D23&gt;0,VLOOKUP($D23,Flight!$A$1:$E$91,3,FALSE),"")</f>
        <v>BKK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/>
      </c>
      <c r="D24" s="9" t="s">
        <v>376</v>
      </c>
      <c r="E24" s="172" t="str">
        <f>IF($D24&gt;0,VLOOKUP($D24,Flight!$A$1:$E$91,2,FALSE),"")</f>
        <v>1305</v>
      </c>
      <c r="F24" s="44"/>
      <c r="G24" s="43" t="str">
        <f t="shared" si="3"/>
        <v/>
      </c>
      <c r="H24" s="44" t="str">
        <f>IF($D24&gt;0,VLOOKUP($D24,Flight!$A$1:$E$91,3,FALSE),"")</f>
        <v>DMK</v>
      </c>
      <c r="I24" s="44" t="str">
        <f>IF($D24&gt;0,IF(VLOOKUP($D24,Flight!$A$1:$E$91,4,FALSE)&gt;1,VLOOKUP($D24,Flight!$A$1:$E106,4,FALSE),""),"")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1"/>
        <v>-</v>
      </c>
      <c r="D25" s="348" t="s">
        <v>377</v>
      </c>
      <c r="E25" s="172" t="str">
        <f>IF($D25&gt;0,VLOOKUP($D25,Flight!$A$1:$E$91,2,FALSE),"")</f>
        <v>1310</v>
      </c>
      <c r="F25" s="45"/>
      <c r="G25" s="43" t="str">
        <f t="shared" si="3"/>
        <v/>
      </c>
      <c r="H25" s="44" t="str">
        <f>IF($D25&gt;0,VLOOKUP($D25,Flight!$A$1:$E$91,3,FALSE),"")</f>
        <v>DEL</v>
      </c>
      <c r="I25" s="44" t="str">
        <f>IF($D25&gt;0,IF(VLOOKUP($D25,Flight!$A$1:$E$91,4,FALSE)&gt;1,VLOOKUP($D25,Flight!$A$1:$E107,4,FALSE),""),"")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>&lt;   Hall Operation   &gt;</v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/>
      </c>
      <c r="D26" s="27" t="s">
        <v>378</v>
      </c>
      <c r="E26" s="172" t="str">
        <f>IF($D26&gt;0,VLOOKUP($D26,Flight!$A$1:$E$91,2,FALSE),"")</f>
        <v>1415</v>
      </c>
      <c r="F26" s="45"/>
      <c r="G26" s="43" t="str">
        <f t="shared" si="3"/>
        <v/>
      </c>
      <c r="H26" s="44" t="str">
        <f>IF($D26&gt;0,VLOOKUP($D26,Flight!$A$1:$E$91,3,FALSE),"")</f>
        <v>KUL</v>
      </c>
      <c r="I26" s="44" t="str">
        <f>IF($D26&gt;0,IF(VLOOKUP($D26,Flight!$A$1:$E$91,4,FALSE)&gt;1,VLOOKUP($D26,Flight!$A$1:$E108,4,FALSE),""),"")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 t="shared" si="4"/>
        <v>20</v>
      </c>
      <c r="B27" s="9" t="str">
        <f t="shared" si="0"/>
        <v>-</v>
      </c>
      <c r="C27" s="9" t="str">
        <f t="shared" si="1"/>
        <v/>
      </c>
      <c r="D27" s="27" t="s">
        <v>379</v>
      </c>
      <c r="E27" s="172" t="str">
        <f>IF($D27&gt;0,VLOOKUP($D27,Flight!$A$1:$E$91,2,FALSE),"")</f>
        <v>1420</v>
      </c>
      <c r="F27" s="44"/>
      <c r="G27" s="43" t="str">
        <f t="shared" si="3"/>
        <v/>
      </c>
      <c r="H27" s="44" t="str">
        <f>IF($D27&gt;0,VLOOKUP($D27,Flight!$A$1:$E$91,3,FALSE),"")</f>
        <v>BKK</v>
      </c>
      <c r="I27" s="44" t="str">
        <f>IF($D27&gt;0,IF(VLOOKUP($D27,Flight!$A$1:$E$91,4,FALSE)&gt;1,VLOOKUP($D27,Flight!$A$1:$E109,4,FALSE),""),"")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 t="shared" si="4"/>
        <v>21</v>
      </c>
      <c r="B28" s="9" t="str">
        <f t="shared" si="0"/>
        <v>-</v>
      </c>
      <c r="C28" s="9" t="str">
        <f t="shared" si="1"/>
        <v/>
      </c>
      <c r="D28" s="27" t="s">
        <v>381</v>
      </c>
      <c r="E28" s="172" t="str">
        <f>IF($D28&gt;0,VLOOKUP($D28,Flight!$A$1:$E$91,2,FALSE),"")</f>
        <v>1510</v>
      </c>
      <c r="F28" s="45"/>
      <c r="G28" s="43" t="str">
        <f t="shared" si="3"/>
        <v/>
      </c>
      <c r="H28" s="44" t="str">
        <f>IF($D28&gt;0,VLOOKUP($D28,Flight!$A$1:$E$91,3,FALSE),"")</f>
        <v>DOH</v>
      </c>
      <c r="I28" s="44" t="str">
        <f>IF($D28&gt;0,IF(VLOOKUP($D28,Flight!$A$1:$E$91,4,FALSE)&gt;1,VLOOKUP($D28,Flight!$A$1:$E111,4,FALSE),""),"")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</row>
    <row r="29" spans="1:15">
      <c r="A29" s="9">
        <f t="shared" si="4"/>
        <v>22</v>
      </c>
      <c r="B29" s="9" t="str">
        <f t="shared" si="0"/>
        <v>-</v>
      </c>
      <c r="C29" s="9" t="str">
        <f t="shared" si="1"/>
        <v/>
      </c>
      <c r="D29" s="27" t="s">
        <v>91</v>
      </c>
      <c r="E29" s="172" t="str">
        <f>IF($D29&gt;0,VLOOKUP($D29,Flight!$A$1:$E$91,2,FALSE),"")</f>
        <v>1645</v>
      </c>
      <c r="F29" s="49"/>
      <c r="G29" s="43" t="str">
        <f t="shared" si="3"/>
        <v/>
      </c>
      <c r="H29" s="44" t="str">
        <f>IF($D29&gt;0,VLOOKUP($D29,Flight!$A$1:$E$91,3,FALSE),"")</f>
        <v>ADD</v>
      </c>
      <c r="I29" s="44" t="str">
        <f>IF($D29&gt;0,IF(VLOOKUP($D29,Flight!$A$1:$E$91,4,FALSE)&gt;1,VLOOKUP($D29,Flight!$A$1:$E112,4,FALSE),""),"")</f>
        <v>BKK</v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4"/>
        <v>23</v>
      </c>
      <c r="B30" s="9" t="str">
        <f t="shared" si="0"/>
        <v>-</v>
      </c>
      <c r="C30" s="9" t="str">
        <f t="shared" si="1"/>
        <v/>
      </c>
      <c r="D30" s="27" t="s">
        <v>73</v>
      </c>
      <c r="E30" s="172" t="str">
        <f>IF($D30&gt;0,VLOOKUP($D30,Flight!$A$1:$E$91,2,FALSE),"")</f>
        <v>1715</v>
      </c>
      <c r="F30" s="45"/>
      <c r="G30" s="43" t="str">
        <f t="shared" si="3"/>
        <v/>
      </c>
      <c r="H30" s="44" t="str">
        <f>IF($D30&gt;0,VLOOKUP($D30,Flight!$A$1:$E$91,3,FALSE),"")</f>
        <v>IST</v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>
      <c r="A31" s="9">
        <f t="shared" si="4"/>
        <v>24</v>
      </c>
      <c r="B31" s="9" t="str">
        <f t="shared" si="0"/>
        <v>-</v>
      </c>
      <c r="C31" s="9" t="str">
        <f t="shared" si="1"/>
        <v/>
      </c>
      <c r="D31" s="27" t="s">
        <v>398</v>
      </c>
      <c r="E31" s="172" t="str">
        <f>IF($D31&gt;0,VLOOKUP($D31,Flight!$A$1:$E$91,2,FALSE),"")</f>
        <v>1720</v>
      </c>
      <c r="F31" s="45"/>
      <c r="G31" s="43" t="str">
        <f t="shared" si="3"/>
        <v/>
      </c>
      <c r="H31" s="44" t="str">
        <f>IF($D31&gt;0,VLOOKUP($D31,Flight!$A$1:$E$91,3,FALSE),"")</f>
        <v>MNL</v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2"/>
        <v/>
      </c>
      <c r="L31" s="166"/>
      <c r="M31" s="166"/>
    </row>
    <row r="32" spans="1:15" s="349" customFormat="1">
      <c r="A32" s="9">
        <f t="shared" si="4"/>
        <v>25</v>
      </c>
      <c r="B32" s="9" t="str">
        <f t="shared" si="0"/>
        <v>-</v>
      </c>
      <c r="C32" s="9" t="str">
        <f t="shared" si="1"/>
        <v/>
      </c>
      <c r="D32" s="27" t="s">
        <v>1005</v>
      </c>
      <c r="E32" s="172" t="str">
        <f>IF($D32&gt;0,VLOOKUP($D32,Flight!$A$1:$E$91,2,FALSE),"")</f>
        <v>1745</v>
      </c>
      <c r="F32" s="45"/>
      <c r="G32" s="43" t="str">
        <f t="shared" ref="G32" si="5">IF(A32="@",IF(H32="ZYK","Berth 3",IF(H32="HKM","Bay 7","")),"")</f>
        <v/>
      </c>
      <c r="H32" s="44" t="str">
        <f>IF($D32&gt;0,VLOOKUP($D32,Flight!$A$1:$E$91,3,FALSE),"")</f>
        <v>BKK</v>
      </c>
      <c r="I32" s="44"/>
      <c r="J32" s="44"/>
      <c r="K32" s="166"/>
      <c r="L32" s="166"/>
      <c r="M32" s="166"/>
      <c r="O32" s="112"/>
    </row>
    <row r="33" spans="1:18">
      <c r="A33" s="9">
        <f>IF($A30="S/N",1,IF($F33="Wavied","-",IF($D33=0,"",ROW($A33)-ROW($A$7)-COUNTIF($A$7:$A$8,"@")-COUNTIF($A$7:$A$8,"-"))))</f>
        <v>26</v>
      </c>
      <c r="B33" s="9" t="str">
        <f t="shared" si="0"/>
        <v>-</v>
      </c>
      <c r="C33" s="9" t="str">
        <f t="shared" si="1"/>
        <v/>
      </c>
      <c r="D33" s="27" t="s">
        <v>78</v>
      </c>
      <c r="E33" s="172" t="str">
        <f>IF($D33&gt;0,VLOOKUP($D33,Flight!$A$1:$E$91,2,FALSE),"")</f>
        <v>1755</v>
      </c>
      <c r="F33" s="46"/>
      <c r="G33" s="43" t="str">
        <f t="shared" si="3"/>
        <v/>
      </c>
      <c r="H33" s="44" t="str">
        <f>IF($D33&gt;0,VLOOKUP($D33,Flight!$A$1:$E$91,3,FALSE),"")</f>
        <v>KUL</v>
      </c>
      <c r="I33" s="44" t="str">
        <f>IF($D33&gt;0,IF(VLOOKUP($D33,Flight!$A$1:$E$91,4,FALSE)&gt;1,VLOOKUP($D33,Flight!$A$1:$E115,4,FALSE),""),"")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ref="K33:K42" si="6">IF($D33=0,"",IF(OR(ISNUMBER(SEARCH("S",$B33)),_xlfn.IFNA(MATCH($D33,$D$106:$D$116,0)&lt;20,"")=TRUE),"&lt;   Hall Operation   &gt;",""))</f>
        <v/>
      </c>
      <c r="L33" s="166"/>
      <c r="M33" s="166"/>
    </row>
    <row r="34" spans="1:18">
      <c r="A34" s="9">
        <f>IF($A31="S/N",1,IF($F34="Wavied","-",IF($D34=0,"",ROW($A34)-ROW($A$7)-COUNTIF($A$7:$A$8,"@")-COUNTIF($A$7:$A$8,"-"))))</f>
        <v>27</v>
      </c>
      <c r="B34" s="9" t="str">
        <f t="shared" si="0"/>
        <v>-</v>
      </c>
      <c r="C34" s="9" t="str">
        <f t="shared" si="1"/>
        <v/>
      </c>
      <c r="D34" s="27" t="s">
        <v>68</v>
      </c>
      <c r="E34" s="172" t="str">
        <f>IF($D34&gt;0,VLOOKUP($D34,Flight!$A$1:$E$91,2,FALSE),"")</f>
        <v>1805</v>
      </c>
      <c r="F34" s="45"/>
      <c r="G34" s="43" t="str">
        <f t="shared" si="3"/>
        <v/>
      </c>
      <c r="H34" s="44" t="str">
        <f>IF($D34&gt;0,VLOOKUP($D34,Flight!$A$1:$E$91,3,FALSE),"")</f>
        <v>DXB</v>
      </c>
      <c r="I34" s="44" t="str">
        <f>IF($D34&gt;0,IF(VLOOKUP($D34,Flight!$A$1:$E$91,4,FALSE)&gt;1,VLOOKUP($D34,Flight!$A$1:$E116,4,FALSE),""),"")</f>
        <v>BKK</v>
      </c>
      <c r="J34" s="44" t="str">
        <f>IF($D34&gt;0,IF(VLOOKUP($D34,Flight!$A$1:$E$91,5,FALSE)&gt;1,VLOOKUP($D34,Flight!$A$1:$E$91,5,FALSE),""),"")</f>
        <v/>
      </c>
      <c r="K34" s="166" t="str">
        <f t="shared" si="6"/>
        <v/>
      </c>
      <c r="L34" s="166"/>
      <c r="M34" s="166"/>
    </row>
    <row r="35" spans="1:18">
      <c r="A35" s="9">
        <f t="shared" si="4"/>
        <v>28</v>
      </c>
      <c r="B35" s="9" t="str">
        <f t="shared" si="0"/>
        <v>-</v>
      </c>
      <c r="C35" s="9" t="str">
        <f t="shared" si="1"/>
        <v/>
      </c>
      <c r="D35" s="27" t="s">
        <v>49</v>
      </c>
      <c r="E35" s="172" t="str">
        <f>IF($D35&gt;0,VLOOKUP($D35,Flight!$A$1:$E$91,2,FALSE),"")</f>
        <v>1810</v>
      </c>
      <c r="F35" s="45"/>
      <c r="G35" s="43" t="str">
        <f t="shared" si="3"/>
        <v/>
      </c>
      <c r="H35" s="44" t="str">
        <f>IF($D35&gt;0,VLOOKUP($D35,Flight!$A$1:$E$91,3,FALSE),"")</f>
        <v>MNL</v>
      </c>
      <c r="I35" s="44" t="str">
        <f>IF($D35&gt;0,IF(VLOOKUP($D35,Flight!$A$1:$E$91,4,FALSE)&gt;1,VLOOKUP($D35,Flight!$A$1:$E117,4,FALSE),""),"")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P35" s="84"/>
    </row>
    <row r="36" spans="1:18">
      <c r="A36" s="9">
        <f t="shared" si="4"/>
        <v>29</v>
      </c>
      <c r="B36" s="9" t="str">
        <f t="shared" si="0"/>
        <v>-</v>
      </c>
      <c r="C36" s="9" t="str">
        <f t="shared" si="1"/>
        <v/>
      </c>
      <c r="D36" s="27" t="s">
        <v>203</v>
      </c>
      <c r="E36" s="172" t="str">
        <f>IF($D36&gt;0,VLOOKUP($D36,Flight!$A$1:$E$91,2,FALSE),"")</f>
        <v>1820</v>
      </c>
      <c r="F36" s="45"/>
      <c r="G36" s="43" t="str">
        <f t="shared" si="3"/>
        <v/>
      </c>
      <c r="H36" s="44" t="str">
        <f>IF($D36&gt;0,VLOOKUP($D36,Flight!$A$1:$E$91,3,FALSE),"")</f>
        <v>SIN</v>
      </c>
      <c r="I36" s="44" t="str">
        <f>IF($D36&gt;0,IF(VLOOKUP($D36,Flight!$A$1:$E$91,4,FALSE)&gt;1,VLOOKUP($D36,Flight!$A$1:$E118,4,FALSE),""),"")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115"/>
      <c r="P36" s="87"/>
    </row>
    <row r="37" spans="1:18" ht="16.5">
      <c r="A37" s="9">
        <f t="shared" si="4"/>
        <v>30</v>
      </c>
      <c r="B37" s="9" t="str">
        <f t="shared" si="0"/>
        <v>-</v>
      </c>
      <c r="C37" s="9" t="str">
        <f t="shared" si="1"/>
        <v/>
      </c>
      <c r="D37" s="27" t="s">
        <v>71</v>
      </c>
      <c r="E37" s="172" t="str">
        <f>IF($D37&gt;0,VLOOKUP($D37,Flight!$A$1:$E$91,2,FALSE),"")</f>
        <v>1920</v>
      </c>
      <c r="F37" s="45"/>
      <c r="G37" s="43" t="str">
        <f t="shared" si="3"/>
        <v/>
      </c>
      <c r="H37" s="44" t="str">
        <f>IF($D37&gt;0,VLOOKUP($D37,Flight!$A$1:$E$91,3,FALSE),"")</f>
        <v>DMK</v>
      </c>
      <c r="I37" s="44" t="str">
        <f>IF($D37&gt;0,IF(VLOOKUP($D37,Flight!$A$1:$E$91,4,FALSE)&gt;1,VLOOKUP($D37,Flight!$A$1:$E119,4,FALSE),""),"")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4"/>
      <c r="P37" s="88"/>
      <c r="Q37" s="4"/>
      <c r="R37" s="4"/>
    </row>
    <row r="38" spans="1:18">
      <c r="A38" s="9">
        <f t="shared" si="4"/>
        <v>31</v>
      </c>
      <c r="B38" s="9" t="str">
        <f t="shared" si="0"/>
        <v>-</v>
      </c>
      <c r="C38" s="9" t="str">
        <f t="shared" si="1"/>
        <v/>
      </c>
      <c r="D38" s="27" t="s">
        <v>72</v>
      </c>
      <c r="E38" s="172" t="str">
        <f>IF($D38&gt;0,VLOOKUP($D38,Flight!$A$1:$E$91,2,FALSE),"")</f>
        <v>1950</v>
      </c>
      <c r="F38" s="45"/>
      <c r="G38" s="43" t="str">
        <f t="shared" si="3"/>
        <v/>
      </c>
      <c r="H38" s="44" t="str">
        <f>IF($D38&gt;0,VLOOKUP($D38,Flight!$A$1:$E$91,3,FALSE),"")</f>
        <v>BKK</v>
      </c>
      <c r="I38" s="44" t="str">
        <f>IF($D38&gt;0,IF(VLOOKUP($D38,Flight!$A$1:$E$91,4,FALSE)&gt;1,VLOOKUP($D38,Flight!$A$1:$E120,4,FALSE),""),"")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7"/>
      <c r="O38" s="4"/>
      <c r="P38" s="4"/>
      <c r="Q38" s="4"/>
      <c r="R38" s="4"/>
    </row>
    <row r="39" spans="1:18" ht="16.5">
      <c r="A39" s="9">
        <f t="shared" si="4"/>
        <v>32</v>
      </c>
      <c r="B39" s="9" t="str">
        <f t="shared" si="0"/>
        <v>-</v>
      </c>
      <c r="C39" s="9" t="str">
        <f t="shared" si="1"/>
        <v/>
      </c>
      <c r="D39" s="27" t="s">
        <v>64</v>
      </c>
      <c r="E39" s="172" t="str">
        <f>IF($D39&gt;0,VLOOKUP($D39,Flight!$A$1:$E$91,2,FALSE),"")</f>
        <v>2030</v>
      </c>
      <c r="F39" s="45"/>
      <c r="G39" s="43" t="str">
        <f t="shared" si="3"/>
        <v/>
      </c>
      <c r="H39" s="44" t="str">
        <f>IF($D39&gt;0,VLOOKUP($D39,Flight!$A$1:$E$91,3,FALSE),"")</f>
        <v>CGK</v>
      </c>
      <c r="I39" s="44" t="str">
        <f>IF($D39&gt;0,IF(VLOOKUP($D39,Flight!$A$1:$E$91,4,FALSE)&gt;1,VLOOKUP($D39,Flight!$A$1:$E121,4,FALSE),""),"")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>
        <f t="shared" si="4"/>
        <v>33</v>
      </c>
      <c r="B40" s="9" t="str">
        <f t="shared" si="0"/>
        <v>-</v>
      </c>
      <c r="C40" s="9" t="str">
        <f t="shared" si="1"/>
        <v>S4</v>
      </c>
      <c r="D40" s="27" t="s">
        <v>50</v>
      </c>
      <c r="E40" s="172" t="str">
        <f>IF($D40&gt;0,VLOOKUP($D40,Flight!$A$1:$E$91,2,FALSE),"")</f>
        <v>2155</v>
      </c>
      <c r="F40" s="45"/>
      <c r="G40" s="43" t="str">
        <f t="shared" si="3"/>
        <v/>
      </c>
      <c r="H40" s="44" t="str">
        <f>IF($D40&gt;0,VLOOKUP($D40,Flight!$A$1:$E$91,3,FALSE),"")</f>
        <v>DOH</v>
      </c>
      <c r="I40" s="44" t="str">
        <f>IF($D40&gt;0,IF(VLOOKUP($D40,Flight!$A$1:$E$91,4,FALSE)&gt;1,VLOOKUP($D40,Flight!$A$1:$E123,4,FALSE),""),"")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 ht="16.5">
      <c r="A41" s="9" t="str">
        <f t="shared" si="4"/>
        <v/>
      </c>
      <c r="B41" s="9" t="str">
        <f t="shared" si="0"/>
        <v/>
      </c>
      <c r="C41" s="9" t="str">
        <f t="shared" si="1"/>
        <v/>
      </c>
      <c r="D41" s="27"/>
      <c r="E41" s="172" t="str">
        <f>IF($D41&gt;0,VLOOKUP($D41,Flight!$A$1:$E$91,2,FALSE),"")</f>
        <v/>
      </c>
      <c r="F41" s="45"/>
      <c r="G41" s="43" t="str">
        <f t="shared" si="3"/>
        <v/>
      </c>
      <c r="H41" s="44" t="str">
        <f>IF($D41&gt;0,VLOOKUP($D41,Flight!$A$1:$E$91,3,FALSE),"")</f>
        <v/>
      </c>
      <c r="I41" s="44" t="str">
        <f>IF($D41&gt;0,IF(VLOOKUP($D41,Flight!$A$1:$E$91,4,FALSE)&gt;1,VLOOKUP($D41,Flight!$A$1:$E124,4,FALSE),""),"")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6"/>
        <v/>
      </c>
      <c r="L41" s="166"/>
      <c r="M41" s="166"/>
      <c r="O41" s="4"/>
      <c r="P41" s="89"/>
      <c r="Q41" s="4"/>
      <c r="R41" s="4"/>
    </row>
    <row r="42" spans="1:18" ht="16.5">
      <c r="A42" s="9" t="str">
        <f t="shared" si="4"/>
        <v/>
      </c>
      <c r="B42" s="9" t="str">
        <f t="shared" si="0"/>
        <v/>
      </c>
      <c r="C42" s="9" t="str">
        <f t="shared" si="1"/>
        <v/>
      </c>
      <c r="D42" s="27"/>
      <c r="E42" s="172" t="str">
        <f>IF($D42&gt;0,VLOOKUP($D42,Flight!$A$1:$E$91,2,FALSE),"")</f>
        <v/>
      </c>
      <c r="F42" s="45"/>
      <c r="G42" s="43" t="str">
        <f t="shared" si="3"/>
        <v/>
      </c>
      <c r="H42" s="44" t="str">
        <f>IF($D42&gt;0,VLOOKUP($D42,Flight!$A$1:$E$91,3,FALSE),"")</f>
        <v/>
      </c>
      <c r="I42" s="44" t="str">
        <f>IF($D42&gt;0,IF(VLOOKUP($D42,Flight!$A$1:$E$91,4,FALSE)&gt;1,VLOOKUP($D42,Flight!$A$1:$E125,4,FALSE),""),"")</f>
        <v/>
      </c>
      <c r="J42" s="44" t="str">
        <f>IF($D42&gt;0,IF(VLOOKUP($D42,Flight!$A$1:$E$91,5,FALSE)&gt;1,VLOOKUP($D42,Flight!$A$1:$E$91,5,FALSE),""),"")</f>
        <v/>
      </c>
      <c r="K42" s="166" t="str">
        <f t="shared" si="6"/>
        <v/>
      </c>
      <c r="L42" s="166"/>
      <c r="M42" s="166"/>
      <c r="O42" s="4"/>
      <c r="P42" s="89"/>
      <c r="Q42" s="4"/>
      <c r="R42" s="4"/>
    </row>
    <row r="43" spans="1:18">
      <c r="A43" s="376" t="s">
        <v>5</v>
      </c>
      <c r="B43" s="376"/>
      <c r="C43" s="376"/>
      <c r="D43" s="376"/>
      <c r="E43" s="376"/>
      <c r="F43" s="376"/>
      <c r="G43" s="50"/>
      <c r="H43" s="321" t="s">
        <v>40</v>
      </c>
      <c r="I43" s="377"/>
      <c r="J43" s="377"/>
      <c r="K43" s="377"/>
      <c r="L43" s="377"/>
      <c r="M43" s="377"/>
      <c r="N43" s="5"/>
    </row>
    <row r="44" spans="1:18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</row>
    <row r="45" spans="1:18">
      <c r="A45" s="379"/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</row>
    <row r="46" spans="1:18">
      <c r="A46" s="389" t="s">
        <v>216</v>
      </c>
      <c r="B46" s="389"/>
      <c r="C46" s="323" t="str">
        <f>VLOOKUP($D$46,Staff!$B$2:$D$41,2,FALSE)</f>
        <v>CIA</v>
      </c>
      <c r="D46" s="375" t="str">
        <f>VLOOKUP(VLOOKUP($E$58,$E$62:$J$73,6,FALSE),Staff!$A$2:$D$13,2,FALSE)</f>
        <v>WL TSE</v>
      </c>
      <c r="E46" s="375"/>
      <c r="F46" s="325" t="s">
        <v>215</v>
      </c>
      <c r="G46" s="390" t="str">
        <f>VLOOKUP($D$46,Staff!$B$2:$D$39,3,FALSE)</f>
        <v>9669 1314</v>
      </c>
      <c r="H46" s="390"/>
      <c r="I46" s="391" t="s">
        <v>223</v>
      </c>
      <c r="J46" s="391"/>
      <c r="K46" s="375" t="str">
        <f>IF(COUNTIF($E$62:$E$65,$E$58)&gt;0,Staff!$G$2,"")&amp;IF(COUNTIF($E$66:$E$69,$E$58)&gt;0,Staff!$G$3,"")&amp;IF(COUNTIF($E$70:$E$73,$E$58)&gt;0,Staff!$G$4,"")</f>
        <v>HO, KING KAI</v>
      </c>
      <c r="L46" s="375"/>
      <c r="M46" s="375"/>
    </row>
    <row r="47" spans="1:18">
      <c r="A47" s="389" t="s">
        <v>217</v>
      </c>
      <c r="B47" s="389"/>
      <c r="C47" s="323" t="str">
        <f>VLOOKUP($D$47,Staff!$B$2:$D$41,2,FALSE)</f>
        <v>CIA</v>
      </c>
      <c r="D47" s="375" t="str">
        <f>VLOOKUP(VLOOKUP($E$59,$E$62:$J$73,6,FALSE),Staff!$A$2:$D$13,2,FALSE)</f>
        <v>CN NG</v>
      </c>
      <c r="E47" s="375"/>
      <c r="F47" s="325" t="s">
        <v>215</v>
      </c>
      <c r="G47" s="390" t="str">
        <f>VLOOKUP($D$47,Staff!$B$2:$D$39,3,FALSE)</f>
        <v>6685 0265</v>
      </c>
      <c r="H47" s="390"/>
      <c r="I47" s="391" t="s">
        <v>224</v>
      </c>
      <c r="J47" s="391"/>
      <c r="K47" s="375" t="str">
        <f>IF(COUNTIF($E$62:$E$65,$E$59)&gt;0,Staff!$G$2,"")&amp;IF(COUNTIF($E$66:$E$69,$E$59)&gt;0,Staff!$G$3,"")&amp;IF(COUNTIF($E$70:$E$73,$E$59)&gt;0,Staff!$G$4,"")</f>
        <v>LIU, WAI FUN (F)</v>
      </c>
      <c r="L47" s="375"/>
      <c r="M47" s="375"/>
    </row>
    <row r="48" spans="1:18">
      <c r="A48" s="329"/>
      <c r="B48" s="329"/>
      <c r="C48" s="327"/>
      <c r="D48" s="395"/>
      <c r="E48" s="395"/>
      <c r="F48" s="324"/>
      <c r="G48" s="396"/>
      <c r="H48" s="396"/>
      <c r="I48" s="390"/>
      <c r="J48" s="390"/>
      <c r="K48" s="143"/>
      <c r="L48" s="143"/>
      <c r="M48" s="143"/>
    </row>
    <row r="49" spans="1:14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tr">
        <f>IF(COUNTIF($E$62:$E$65,$E$58)&gt;0,Staff!$G$14,"")&amp;IF(COUNTIF($E$66:$E$69,$E$58)&gt;0,Staff!$G$13,"")&amp;IF(COUNTIF($E$70:$E$73,$E$58)&gt;0,Staff!$G$12,"")</f>
        <v>CHIU, OI YU (F)</v>
      </c>
      <c r="H49" s="398"/>
      <c r="I49" s="398"/>
      <c r="J49" s="333" t="s">
        <v>209</v>
      </c>
      <c r="K49" s="390" t="str">
        <f>VLOOKUP(VLOOKUP($B$3,$E$62:$J$73,6,FALSE),Staff!$F$22:$G$47,2,FALSE)</f>
        <v>WONG, LIK SUM</v>
      </c>
      <c r="L49" s="390"/>
      <c r="M49" s="390"/>
      <c r="N49" s="12"/>
    </row>
    <row r="50" spans="1:14">
      <c r="A50" s="155"/>
      <c r="B50" s="155"/>
      <c r="C50" s="396" t="s">
        <v>219</v>
      </c>
      <c r="D50" s="396"/>
      <c r="E50" s="396"/>
      <c r="F50" s="154" t="s">
        <v>214</v>
      </c>
      <c r="G50" s="375" t="str">
        <f>IF(COUNTIF($E$62:$E$65,$E$59)&gt;0,Staff!$G$14,"")&amp;IF(COUNTIF($E$66:$E$69,$E$59)&gt;0,Staff!$G$13,"")&amp;IF(COUNTIF($E$70:$E$73,$E$59)&gt;0,Staff!$G$12,"")</f>
        <v>HO, KWOK WUN D</v>
      </c>
      <c r="H50" s="375"/>
      <c r="I50" s="375"/>
      <c r="J50" s="333" t="s">
        <v>208</v>
      </c>
      <c r="K50" s="390"/>
      <c r="L50" s="390"/>
      <c r="M50" s="390"/>
    </row>
    <row r="51" spans="1:14">
      <c r="A51" s="320"/>
      <c r="B51" s="320"/>
      <c r="C51" s="327"/>
      <c r="D51" s="401"/>
      <c r="E51" s="401"/>
      <c r="F51" s="401"/>
      <c r="G51" s="401"/>
      <c r="H51" s="401"/>
      <c r="I51" s="401"/>
      <c r="J51" s="333" t="s">
        <v>210</v>
      </c>
      <c r="K51" s="390"/>
      <c r="L51" s="390"/>
      <c r="M51" s="390"/>
    </row>
    <row r="52" spans="1:14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333" t="s">
        <v>211</v>
      </c>
      <c r="K52" s="390"/>
      <c r="L52" s="390"/>
      <c r="M52" s="390"/>
    </row>
    <row r="53" spans="1:14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333" t="s">
        <v>212</v>
      </c>
      <c r="K53" s="390"/>
      <c r="L53" s="390"/>
      <c r="M53" s="390"/>
    </row>
    <row r="54" spans="1:14">
      <c r="A54" s="155"/>
      <c r="B54" s="155"/>
      <c r="C54" s="320"/>
      <c r="D54" s="399"/>
      <c r="E54" s="399"/>
      <c r="F54" s="391"/>
      <c r="G54" s="391"/>
      <c r="H54" s="400" t="s">
        <v>410</v>
      </c>
      <c r="I54" s="400"/>
      <c r="J54" s="326"/>
      <c r="K54" s="329"/>
      <c r="L54" s="329"/>
      <c r="M54" s="47"/>
    </row>
    <row r="55" spans="1:14" ht="16.5" customHeight="1">
      <c r="A55" s="392" t="s">
        <v>0</v>
      </c>
      <c r="B55" s="392"/>
      <c r="C55" s="407" t="s">
        <v>222</v>
      </c>
      <c r="D55" s="407"/>
      <c r="E55" s="407"/>
      <c r="F55" s="326"/>
      <c r="G55" s="333"/>
      <c r="H55" s="394" t="s">
        <v>411</v>
      </c>
      <c r="I55" s="394"/>
      <c r="J55" s="332"/>
      <c r="K55" s="329"/>
      <c r="L55" s="329"/>
      <c r="M55" s="47"/>
    </row>
    <row r="56" spans="1:14">
      <c r="C56" s="408"/>
      <c r="D56" s="408"/>
      <c r="E56" s="408"/>
      <c r="F56" s="408"/>
      <c r="G56" s="408"/>
      <c r="H56" s="408"/>
      <c r="J56" s="53"/>
      <c r="K56" s="112"/>
      <c r="L56" s="112"/>
    </row>
    <row r="57" spans="1:14" ht="16.5" thickBot="1">
      <c r="A57" s="3"/>
      <c r="B57" s="3"/>
      <c r="C57" s="3"/>
      <c r="D57" s="2"/>
      <c r="E57" s="39"/>
      <c r="F57" s="331"/>
      <c r="G57" s="331"/>
      <c r="I57" s="409"/>
      <c r="J57" s="409"/>
      <c r="K57" s="112"/>
      <c r="L57" s="112"/>
    </row>
    <row r="58" spans="1:14">
      <c r="D58" s="330"/>
      <c r="E58" s="90" t="s">
        <v>133</v>
      </c>
      <c r="F58" s="91" t="s">
        <v>135</v>
      </c>
      <c r="G58" s="91"/>
      <c r="H58" s="92"/>
      <c r="I58" s="330"/>
      <c r="J58" s="330"/>
    </row>
    <row r="59" spans="1:14" ht="16.5" thickBot="1">
      <c r="D59" s="330"/>
      <c r="E59" s="93" t="s">
        <v>134</v>
      </c>
      <c r="F59" s="94" t="s">
        <v>136</v>
      </c>
      <c r="G59" s="94"/>
      <c r="H59" s="95"/>
      <c r="I59" s="330"/>
      <c r="J59" s="330"/>
    </row>
    <row r="60" spans="1:14">
      <c r="D60" s="330"/>
      <c r="E60" s="330"/>
      <c r="F60" s="330"/>
      <c r="G60" s="330"/>
      <c r="H60" s="330"/>
      <c r="I60" s="330"/>
      <c r="J60" s="330"/>
    </row>
    <row r="61" spans="1:14" ht="16.5" thickBot="1">
      <c r="D61" s="85" t="s">
        <v>132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98</v>
      </c>
      <c r="J61" s="330"/>
      <c r="K61" s="96" t="s">
        <v>302</v>
      </c>
      <c r="L61" s="96" t="s">
        <v>303</v>
      </c>
      <c r="M61" s="96"/>
    </row>
    <row r="62" spans="1:14">
      <c r="D62" s="97" t="s">
        <v>86</v>
      </c>
      <c r="E62" s="98" t="str">
        <f>_xlfn.IFNA(VLOOKUP(MOD((($D$1-WEEKDAY($D$1,2)+1)-45523)/7+21,24),Shift!$A$2:$H$25,WEEKDAY($D$1,2)+1),VLOOKUP(24,Shift!$A$2:$H$25,WEEKDAY($D$1,2)+1))</f>
        <v>P1 @</v>
      </c>
      <c r="F62" s="98" t="str">
        <f>IF(OR($E62="L",$E62="L#"),0,"?")</f>
        <v>?</v>
      </c>
      <c r="G62" s="98" t="str">
        <f>IF(OR($E62="L",$E62="L#"),0,"?")</f>
        <v>?</v>
      </c>
      <c r="H62" s="98" t="str">
        <f>IF(OR($E62="L",$E62="L#"),0,"?")</f>
        <v>?</v>
      </c>
      <c r="I62" s="99">
        <f t="shared" ref="I62:I73" si="7">IF(OR($E62="L",$E62="L#"),0,SUM($F62:$H62))</f>
        <v>0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M62" s="112"/>
    </row>
    <row r="63" spans="1:14">
      <c r="D63" s="100" t="s">
        <v>85</v>
      </c>
      <c r="E63" s="101" t="str">
        <f>_xlfn.IFNA(VLOOKUP(MOD((($D$1-WEEKDAY($D$1,2)+1)-45523)/7+3,24),Shift!$A$2:$H$25,WEEKDAY($D$1,2)+1),VLOOKUP(24,Shift!$A$2:$H$25,WEEKDAY($D$1,2)+1))</f>
        <v>P1</v>
      </c>
      <c r="F63" s="101" t="str">
        <f t="shared" ref="F63:H73" si="8">IF(OR($E63="L",$E63="L#"),0,"?")</f>
        <v>?</v>
      </c>
      <c r="G63" s="101" t="str">
        <f t="shared" si="8"/>
        <v>?</v>
      </c>
      <c r="H63" s="101" t="str">
        <f t="shared" si="8"/>
        <v>?</v>
      </c>
      <c r="I63" s="102">
        <f t="shared" si="7"/>
        <v>0</v>
      </c>
      <c r="J63" s="137" t="s">
        <v>85</v>
      </c>
      <c r="K63" s="112" t="str">
        <f t="shared" ref="K63:K73" si="9">IF(AND($F63&gt;1,$F63&lt;&gt;"?"),$F63-1,"")</f>
        <v/>
      </c>
      <c r="L63" s="112" t="str">
        <f t="shared" ref="L63:L73" si="10">IF(AND($G63&gt;1,$G63&lt;&gt;"?"),$G63-1,"")</f>
        <v/>
      </c>
      <c r="M63" s="112"/>
    </row>
    <row r="64" spans="1:14">
      <c r="D64" s="100" t="s">
        <v>99</v>
      </c>
      <c r="E64" s="101" t="str">
        <f>_xlfn.IFNA(VLOOKUP(MOD((($D$1-WEEKDAY($D$1,2)+1)-45523)/7+9,24),Shift!$A$2:$H$25,WEEKDAY($D$1,2)+1),VLOOKUP(24,Shift!$A$2:$H$25,WEEKDAY($D$1,2)+1))</f>
        <v>A</v>
      </c>
      <c r="F64" s="101" t="str">
        <f t="shared" si="8"/>
        <v>?</v>
      </c>
      <c r="G64" s="101" t="str">
        <f t="shared" si="8"/>
        <v>?</v>
      </c>
      <c r="H64" s="101" t="str">
        <f t="shared" si="8"/>
        <v>?</v>
      </c>
      <c r="I64" s="102">
        <f t="shared" si="7"/>
        <v>0</v>
      </c>
      <c r="J64" s="137" t="s">
        <v>99</v>
      </c>
      <c r="K64" s="112" t="str">
        <f t="shared" si="9"/>
        <v/>
      </c>
      <c r="L64" s="112" t="str">
        <f t="shared" si="10"/>
        <v/>
      </c>
      <c r="M64" s="112"/>
    </row>
    <row r="65" spans="4:13" ht="16.5" thickBot="1">
      <c r="D65" s="103" t="s">
        <v>100</v>
      </c>
      <c r="E65" s="104" t="str">
        <f>_xlfn.IFNA(VLOOKUP(MOD((($D$1-WEEKDAY($D$1,2)+1)-45523)/7+15,24),Shift!$A$2:$H$25,WEEKDAY($D$1,2)+1),VLOOKUP(24,Shift!$A$2:$H$25,WEEKDAY($D$1,2)+1))</f>
        <v>P4</v>
      </c>
      <c r="F65" s="104" t="str">
        <f t="shared" si="8"/>
        <v>?</v>
      </c>
      <c r="G65" s="104" t="str">
        <f t="shared" si="8"/>
        <v>?</v>
      </c>
      <c r="H65" s="104" t="str">
        <f t="shared" si="8"/>
        <v>?</v>
      </c>
      <c r="I65" s="105">
        <f t="shared" si="7"/>
        <v>0</v>
      </c>
      <c r="J65" s="138" t="s">
        <v>100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97" t="s">
        <v>101</v>
      </c>
      <c r="E66" s="98" t="str">
        <f>_xlfn.IFNA(VLOOKUP(MOD((($D$1-WEEKDAY($D$1,2)+1)-45523)/7+19,24),Shift!$A$2:$H$25,WEEKDAY($D$1,2)+1),VLOOKUP(24,Shift!$A$2:$H$25,WEEKDAY($D$1,2)+1))</f>
        <v>M @</v>
      </c>
      <c r="F66" s="98" t="str">
        <f t="shared" si="8"/>
        <v>?</v>
      </c>
      <c r="G66" s="98" t="str">
        <f t="shared" si="8"/>
        <v>?</v>
      </c>
      <c r="H66" s="98" t="str">
        <f t="shared" si="8"/>
        <v>?</v>
      </c>
      <c r="I66" s="99">
        <f t="shared" si="7"/>
        <v>0</v>
      </c>
      <c r="J66" s="136" t="s">
        <v>101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102</v>
      </c>
      <c r="E67" s="101" t="str">
        <f>_xlfn.IFNA(VLOOKUP(MOD((($D$1-WEEKDAY($D$1,2)+1)-45523)/7+1,24),Shift!$A$2:$H$25,WEEKDAY($D$1,2)+1),VLOOKUP(24,Shift!$A$2:$H$25,WEEKDAY($D$1,2)+1))</f>
        <v>G1</v>
      </c>
      <c r="F67" s="101" t="str">
        <f t="shared" si="8"/>
        <v>?</v>
      </c>
      <c r="G67" s="101" t="str">
        <f t="shared" si="8"/>
        <v>?</v>
      </c>
      <c r="H67" s="101" t="str">
        <f t="shared" si="8"/>
        <v>?</v>
      </c>
      <c r="I67" s="102">
        <f t="shared" si="7"/>
        <v>0</v>
      </c>
      <c r="J67" s="137" t="s">
        <v>102</v>
      </c>
      <c r="K67" s="112" t="str">
        <f t="shared" si="9"/>
        <v/>
      </c>
      <c r="L67" s="112" t="str">
        <f t="shared" si="10"/>
        <v/>
      </c>
      <c r="M67" s="112"/>
    </row>
    <row r="68" spans="4:13">
      <c r="D68" s="100" t="s">
        <v>103</v>
      </c>
      <c r="E68" s="101" t="str">
        <f>_xlfn.IFNA(VLOOKUP(MOD((($D$1-WEEKDAY($D$1,2)+1)-45523)/7+7,24),Shift!$A$2:$H$25,WEEKDAY($D$1,2)+1),VLOOKUP(24,Shift!$A$2:$H$25,WEEKDAY($D$1,2)+1))</f>
        <v>M</v>
      </c>
      <c r="F68" s="101" t="str">
        <f t="shared" si="8"/>
        <v>?</v>
      </c>
      <c r="G68" s="101" t="str">
        <f t="shared" si="8"/>
        <v>?</v>
      </c>
      <c r="H68" s="101" t="str">
        <f t="shared" si="8"/>
        <v>?</v>
      </c>
      <c r="I68" s="102">
        <f t="shared" si="7"/>
        <v>0</v>
      </c>
      <c r="J68" s="137" t="s">
        <v>103</v>
      </c>
      <c r="K68" s="112" t="str">
        <f t="shared" si="9"/>
        <v/>
      </c>
      <c r="L68" s="112" t="str">
        <f t="shared" si="10"/>
        <v/>
      </c>
      <c r="M68" s="112"/>
    </row>
    <row r="69" spans="4:13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L</v>
      </c>
      <c r="F69" s="104">
        <f t="shared" si="8"/>
        <v>0</v>
      </c>
      <c r="G69" s="104">
        <f t="shared" si="8"/>
        <v>0</v>
      </c>
      <c r="H69" s="104">
        <f t="shared" si="8"/>
        <v>0</v>
      </c>
      <c r="I69" s="105">
        <f t="shared" si="7"/>
        <v>0</v>
      </c>
      <c r="J69" s="138" t="s">
        <v>104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97" t="s">
        <v>105</v>
      </c>
      <c r="E70" s="98" t="str">
        <f>_xlfn.IFNA(VLOOKUP(MOD((($D$1-WEEKDAY($D$1,2)+1)-45523)/7+17,24),Shift!$A$2:$H$25,WEEKDAY($D$1,2)+1),VLOOKUP(24,Shift!$A$2:$H$25,WEEKDAY($D$1,2)+1))</f>
        <v>L</v>
      </c>
      <c r="F70" s="98">
        <f t="shared" si="8"/>
        <v>0</v>
      </c>
      <c r="G70" s="98">
        <f t="shared" si="8"/>
        <v>0</v>
      </c>
      <c r="H70" s="98">
        <f t="shared" si="8"/>
        <v>0</v>
      </c>
      <c r="I70" s="99">
        <f t="shared" si="7"/>
        <v>0</v>
      </c>
      <c r="J70" s="136" t="s">
        <v>105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106</v>
      </c>
      <c r="E71" s="101" t="str">
        <f>_xlfn.IFNA(VLOOKUP(MOD((($D$1-WEEKDAY($D$1,2)+1)-45523)/7+23,24),Shift!$A$2:$H$25,WEEKDAY($D$1,2)+1),VLOOKUP(24,Shift!$A$2:$H$25,WEEKDAY($D$1,2)+1))</f>
        <v>L</v>
      </c>
      <c r="F71" s="101">
        <f t="shared" si="8"/>
        <v>0</v>
      </c>
      <c r="G71" s="101">
        <f t="shared" si="8"/>
        <v>0</v>
      </c>
      <c r="H71" s="101">
        <f t="shared" si="8"/>
        <v>0</v>
      </c>
      <c r="I71" s="102">
        <f t="shared" si="7"/>
        <v>0</v>
      </c>
      <c r="J71" s="137" t="s">
        <v>106</v>
      </c>
      <c r="K71" s="112" t="str">
        <f t="shared" si="9"/>
        <v/>
      </c>
      <c r="L71" s="112" t="str">
        <f t="shared" si="10"/>
        <v/>
      </c>
      <c r="M71" s="112"/>
    </row>
    <row r="72" spans="4:13">
      <c r="D72" s="100" t="s">
        <v>107</v>
      </c>
      <c r="E72" s="101" t="str">
        <f>_xlfn.IFNA(VLOOKUP(MOD((($D$1-WEEKDAY($D$1,2)+1)-45523)/7+5,24),Shift!$A$2:$H$25,WEEKDAY($D$1,2)+1),VLOOKUP(24,Shift!$A$2:$H$25,WEEKDAY($D$1,2)+1))</f>
        <v>L</v>
      </c>
      <c r="F72" s="101">
        <f t="shared" si="8"/>
        <v>0</v>
      </c>
      <c r="G72" s="101">
        <f t="shared" si="8"/>
        <v>0</v>
      </c>
      <c r="H72" s="101">
        <f t="shared" si="8"/>
        <v>0</v>
      </c>
      <c r="I72" s="102">
        <f t="shared" si="7"/>
        <v>0</v>
      </c>
      <c r="J72" s="137" t="s">
        <v>107</v>
      </c>
      <c r="K72" s="112" t="str">
        <f t="shared" si="9"/>
        <v/>
      </c>
      <c r="L72" s="112" t="str">
        <f t="shared" si="10"/>
        <v/>
      </c>
      <c r="M72" s="112"/>
    </row>
    <row r="73" spans="4:13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L</v>
      </c>
      <c r="F73" s="104">
        <f t="shared" si="8"/>
        <v>0</v>
      </c>
      <c r="G73" s="104">
        <f t="shared" si="8"/>
        <v>0</v>
      </c>
      <c r="H73" s="104">
        <f t="shared" si="8"/>
        <v>0</v>
      </c>
      <c r="I73" s="105">
        <f t="shared" si="7"/>
        <v>0</v>
      </c>
      <c r="J73" s="138" t="s">
        <v>108</v>
      </c>
      <c r="K73" s="112" t="str">
        <f t="shared" si="9"/>
        <v/>
      </c>
      <c r="L73" s="112" t="str">
        <f t="shared" si="10"/>
        <v/>
      </c>
      <c r="M73" s="112"/>
    </row>
    <row r="74" spans="4:13">
      <c r="D74" s="144" t="s">
        <v>86</v>
      </c>
      <c r="E74" s="98" t="s">
        <v>127</v>
      </c>
      <c r="F74" s="98"/>
      <c r="G74" s="98"/>
      <c r="H74" s="98"/>
      <c r="I74" s="99">
        <f>IF(OR($E74="L",$E74="L#",$E74="?"),0,SUM($F74:$H74))</f>
        <v>0</v>
      </c>
      <c r="J74" s="33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330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330"/>
    </row>
    <row r="77" spans="4:13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330"/>
    </row>
    <row r="78" spans="4:13">
      <c r="D78" s="330"/>
      <c r="E78" s="96" t="s">
        <v>98</v>
      </c>
      <c r="F78" s="96" t="str">
        <f>SUM($F$62:$F$77)&amp;IF(SUM($F$62:$H$77)&gt;$I$78,"?","")</f>
        <v>0</v>
      </c>
      <c r="G78" s="96" t="str">
        <f>SUM($G$62:$G$77)&amp;IF(SUM($F$62:$H$77)&gt;$I$78,"?","")</f>
        <v>0</v>
      </c>
      <c r="H78" s="96" t="str">
        <f>SUM($H$62:$H$77)&amp;IF(SUM($F$62:$H$77)&gt;$I$78,"?","")</f>
        <v>0</v>
      </c>
      <c r="I78" s="96">
        <f>SUM(I62:I77)</f>
        <v>0</v>
      </c>
      <c r="J78" s="330"/>
    </row>
    <row r="79" spans="4:13">
      <c r="D79" s="330"/>
      <c r="E79" s="330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330"/>
      <c r="J79" s="330"/>
    </row>
    <row r="81" spans="4:6">
      <c r="D81" s="410" t="s">
        <v>281</v>
      </c>
      <c r="E81" s="410"/>
      <c r="F81" s="410"/>
    </row>
    <row r="82" spans="4:6">
      <c r="D82" s="49" t="str">
        <f>IF(Flight!$A$68=0,"",Flight!$A$68)</f>
        <v/>
      </c>
      <c r="E82" s="163"/>
      <c r="F82" s="164" t="str">
        <f>IF(D82="","",VLOOKUP(D82,Flight!$A$68:$C$91,3,FALSE))</f>
        <v/>
      </c>
    </row>
    <row r="83" spans="4:6">
      <c r="D83" s="49" t="str">
        <f>IF(Flight!$A69=0,"",Flight!$A69)</f>
        <v/>
      </c>
      <c r="F83" s="164" t="str">
        <f>IF(D83="","",VLOOKUP(D83,Flight!$A$68:$C$91,3,FALSE))</f>
        <v/>
      </c>
    </row>
    <row r="84" spans="4:6">
      <c r="D84" s="49" t="str">
        <f>IF(Flight!$A71=0,"",Flight!$A71)</f>
        <v>3A031</v>
      </c>
      <c r="F84" s="164" t="str">
        <f>IF(D84="","",VLOOKUP(D84,Flight!$A$68:$C$91,3,FALSE))</f>
        <v>ZTI</v>
      </c>
    </row>
    <row r="85" spans="4:6">
      <c r="D85" s="49" t="str">
        <f>IF(Flight!$A72=0,"",Flight!$A72)</f>
        <v>3A003</v>
      </c>
      <c r="F85" s="164" t="str">
        <f>IF(D85="","",VLOOKUP(D85,Flight!$A$68:$C$91,3,FALSE))</f>
        <v>ZYK</v>
      </c>
    </row>
    <row r="86" spans="4:6">
      <c r="D86" s="49" t="str">
        <f>IF(Flight!$A73=0,"",Flight!$A73)</f>
        <v>3A005</v>
      </c>
      <c r="F86" s="164" t="str">
        <f>IF(D86="","",VLOOKUP(D86,Flight!$A$68:$C$91,3,FALSE))</f>
        <v>HKM</v>
      </c>
    </row>
    <row r="87" spans="4:6">
      <c r="D87" s="49" t="str">
        <f>IF(Flight!$A74=0,"",Flight!$A74)</f>
        <v>3A007</v>
      </c>
      <c r="F87" s="164" t="str">
        <f>IF(D87="","",VLOOKUP(D87,Flight!$A$68:$C$91,3,FALSE))</f>
        <v>ZYK</v>
      </c>
    </row>
    <row r="88" spans="4:6">
      <c r="D88" s="49" t="str">
        <f>IF(Flight!$A75=0,"",Flight!$A75)</f>
        <v>3A008</v>
      </c>
      <c r="F88" s="164" t="str">
        <f>IF(D88="","",VLOOKUP(D88,Flight!$A$68:$C$91,3,FALSE))</f>
        <v>ZYK</v>
      </c>
    </row>
    <row r="89" spans="4:6">
      <c r="D89" s="49" t="str">
        <f>IF(Flight!$A76=0,"",Flight!$A76)</f>
        <v>3A009</v>
      </c>
      <c r="F89" s="164" t="str">
        <f>IF(D89="","",VLOOKUP(D89,Flight!$A$68:$C$91,3,FALSE))</f>
        <v>ZYK</v>
      </c>
    </row>
    <row r="90" spans="4:6">
      <c r="D90" s="49" t="str">
        <f>IF(Flight!$A77=0,"",Flight!$A77)</f>
        <v>3A010</v>
      </c>
      <c r="F90" s="164" t="str">
        <f>IF(D90="","",VLOOKUP(D90,Flight!$A$68:$C$91,3,FALSE))</f>
        <v>ZYK</v>
      </c>
    </row>
    <row r="91" spans="4:6">
      <c r="D91" s="49" t="str">
        <f>IF(Flight!$A78=0,"",Flight!$A78)</f>
        <v/>
      </c>
      <c r="F91" s="164" t="str">
        <f>IF(D91="","",VLOOKUP(D91,Flight!$A$68:$C$91,3,FALSE))</f>
        <v/>
      </c>
    </row>
    <row r="92" spans="4:6">
      <c r="D92" s="49" t="str">
        <f>IF(Flight!$A80=0,"",Flight!$A80)</f>
        <v>8S7121</v>
      </c>
      <c r="F92" s="164" t="str">
        <f>IF(D92="","",VLOOKUP(D92,Flight!$A$68:$C$91,3,FALSE))</f>
        <v>HKM</v>
      </c>
    </row>
    <row r="93" spans="4:6">
      <c r="D93" s="49" t="str">
        <f>IF(Flight!$A81=0,"",Flight!$A81)</f>
        <v>8S7108</v>
      </c>
      <c r="F93" s="164" t="str">
        <f>IF(D93="","",VLOOKUP(D93,Flight!$A$68:$C$91,3,FALSE))</f>
        <v>ZYK</v>
      </c>
    </row>
    <row r="94" spans="4:6">
      <c r="D94" s="49" t="str">
        <f>IF(Flight!$A82=0,"",Flight!$A82)</f>
        <v>8S7111</v>
      </c>
      <c r="F94" s="164" t="str">
        <f>IF(D94="","",VLOOKUP(D94,Flight!$A$68:$C$91,3,FALSE))</f>
        <v>ZYK</v>
      </c>
    </row>
    <row r="95" spans="4:6">
      <c r="D95" s="49" t="str">
        <f>IF(Flight!$A83=0,"",Flight!$A83)</f>
        <v>8S7131</v>
      </c>
      <c r="F95" s="164" t="str">
        <f>IF(D95="","",VLOOKUP(D95,Flight!$A$68:$C$91,3,FALSE))</f>
        <v>?</v>
      </c>
    </row>
    <row r="96" spans="4:6">
      <c r="D96" s="49" t="str">
        <f>IF(Flight!$A84=0,"",Flight!$A84)</f>
        <v>8S7119</v>
      </c>
      <c r="F96" s="164" t="str">
        <f>IF(D96="","",VLOOKUP(D96,Flight!$A$68:$C$91,3,FALSE))</f>
        <v>HKM</v>
      </c>
    </row>
    <row r="97" spans="4:6">
      <c r="D97" s="49" t="str">
        <f>IF(Flight!$A85=0,"",Flight!$A85)</f>
        <v>8S7126</v>
      </c>
      <c r="F97" s="164" t="str">
        <f>IF(D97="","",VLOOKUP(D97,Flight!$A$68:$C$91,3,FALSE))</f>
        <v>HKM</v>
      </c>
    </row>
    <row r="98" spans="4:6">
      <c r="D98" s="49" t="str">
        <f>IF(Flight!$A86=0,"",Flight!$A86)</f>
        <v>8S7128</v>
      </c>
      <c r="F98" s="164" t="str">
        <f>IF(D98="","",VLOOKUP(D98,Flight!$A$68:$C$91,3,FALSE))</f>
        <v>HKM</v>
      </c>
    </row>
    <row r="99" spans="4:6">
      <c r="D99" s="49" t="str">
        <f>IF(Flight!$A87=0,"",Flight!$A87)</f>
        <v>3A8010</v>
      </c>
      <c r="F99" s="164" t="str">
        <f>IF(D99="","",VLOOKUP(D99,Flight!$A$68:$C$91,3,FALSE))</f>
        <v>HZI</v>
      </c>
    </row>
    <row r="100" spans="4:6">
      <c r="D100" s="49" t="str">
        <f>IF(Flight!$A88=0,"",Flight!$A88)</f>
        <v>3A8015</v>
      </c>
      <c r="F100" s="164" t="str">
        <f>IF(D100="","",VLOOKUP(D100,Flight!$A$68:$C$91,3,FALSE))</f>
        <v>?</v>
      </c>
    </row>
    <row r="101" spans="4:6">
      <c r="D101" s="49" t="str">
        <f>IF(Flight!$A89=0,"",Flight!$A89)</f>
        <v>3A8016</v>
      </c>
      <c r="F101" s="164" t="str">
        <f>IF(D101="","",VLOOKUP(D101,Flight!$A$68:$C$91,3,FALSE))</f>
        <v>HZI</v>
      </c>
    </row>
    <row r="102" spans="4:6">
      <c r="D102" s="49" t="str">
        <f>IF(Flight!$A91=0,"",Flight!$A91)</f>
        <v xml:space="preserve">Last </v>
      </c>
      <c r="F102" s="164" t="str">
        <f>IF(D102="","",VLOOKUP(D102,Flight!$A$68:$C$91,3,FALSE))</f>
        <v>↑</v>
      </c>
    </row>
    <row r="103" spans="4:6">
      <c r="D103" s="49" t="str">
        <f>IF(Flight!$A92=0,"",Flight!$A92)</f>
        <v/>
      </c>
      <c r="F103" s="164" t="str">
        <f>IF(D103="","",VLOOKUP(D103,Flight!$A$68:$C$91,3,FALSE))</f>
        <v/>
      </c>
    </row>
    <row r="104" spans="4:6">
      <c r="D104" s="186"/>
      <c r="F104" s="187"/>
    </row>
    <row r="105" spans="4:6">
      <c r="D105" s="406" t="str">
        <f>IF(Flight!$A$93=0,"",Flight!$A$93)</f>
        <v>Target Flight</v>
      </c>
      <c r="E105" s="406"/>
      <c r="F105" s="406"/>
    </row>
    <row r="106" spans="4:6">
      <c r="D106" s="27" t="s">
        <v>59</v>
      </c>
      <c r="E106" s="158"/>
      <c r="F106" s="10" t="s">
        <v>38</v>
      </c>
    </row>
    <row r="107" spans="4:6">
      <c r="D107" s="27" t="s">
        <v>89</v>
      </c>
      <c r="E107" s="158"/>
      <c r="F107" s="10" t="s">
        <v>38</v>
      </c>
    </row>
    <row r="108" spans="4:6">
      <c r="D108" s="27" t="s">
        <v>254</v>
      </c>
      <c r="E108" s="158"/>
      <c r="F108" s="10" t="s">
        <v>38</v>
      </c>
    </row>
    <row r="109" spans="4:6">
      <c r="D109" s="27" t="s">
        <v>57</v>
      </c>
      <c r="E109" s="158"/>
      <c r="F109" s="10" t="s">
        <v>58</v>
      </c>
    </row>
    <row r="110" spans="4:6">
      <c r="D110" s="27" t="s">
        <v>198</v>
      </c>
      <c r="E110" s="158"/>
      <c r="F110" s="10" t="s">
        <v>199</v>
      </c>
    </row>
    <row r="111" spans="4:6">
      <c r="D111" s="27" t="s">
        <v>55</v>
      </c>
      <c r="E111" s="158"/>
      <c r="F111" s="10" t="s">
        <v>54</v>
      </c>
    </row>
    <row r="112" spans="4:6">
      <c r="D112" s="27" t="s">
        <v>39</v>
      </c>
      <c r="E112" s="158"/>
      <c r="F112" s="10" t="s">
        <v>38</v>
      </c>
    </row>
    <row r="113" spans="4:6">
      <c r="D113" s="27" t="s">
        <v>200</v>
      </c>
      <c r="E113" s="158"/>
      <c r="F113" s="10" t="s">
        <v>54</v>
      </c>
    </row>
    <row r="114" spans="4:6">
      <c r="D114" s="27" t="s">
        <v>201</v>
      </c>
      <c r="E114" s="158"/>
      <c r="F114" s="10" t="s">
        <v>38</v>
      </c>
    </row>
    <row r="115" spans="4:6">
      <c r="D115" s="161"/>
      <c r="E115" s="158"/>
      <c r="F115" s="159"/>
    </row>
    <row r="116" spans="4:6">
      <c r="D116" s="161"/>
      <c r="E116" s="158"/>
      <c r="F116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7:E47"/>
    <mergeCell ref="G47:H47"/>
    <mergeCell ref="I47:J47"/>
    <mergeCell ref="K46:M46"/>
    <mergeCell ref="H6:H7"/>
    <mergeCell ref="I6:I7"/>
    <mergeCell ref="J6:J7"/>
    <mergeCell ref="K6:M6"/>
    <mergeCell ref="A43:F43"/>
    <mergeCell ref="I43:M44"/>
    <mergeCell ref="A44:H44"/>
    <mergeCell ref="A6:A7"/>
    <mergeCell ref="B6:C6"/>
    <mergeCell ref="D6:D7"/>
    <mergeCell ref="E6:E7"/>
    <mergeCell ref="F6:F7"/>
    <mergeCell ref="A45:H45"/>
    <mergeCell ref="A46:B46"/>
    <mergeCell ref="D46:E46"/>
    <mergeCell ref="G46:H46"/>
    <mergeCell ref="I46:J46"/>
    <mergeCell ref="K47:M47"/>
    <mergeCell ref="A52:B52"/>
    <mergeCell ref="C52:E52"/>
    <mergeCell ref="F52:I52"/>
    <mergeCell ref="K52:M52"/>
    <mergeCell ref="A49:B49"/>
    <mergeCell ref="C49:E49"/>
    <mergeCell ref="G49:I49"/>
    <mergeCell ref="K49:M49"/>
    <mergeCell ref="C50:E50"/>
    <mergeCell ref="G50:I50"/>
    <mergeCell ref="K50:M50"/>
    <mergeCell ref="D48:E48"/>
    <mergeCell ref="G48:H48"/>
    <mergeCell ref="I48:J48"/>
    <mergeCell ref="A47:B47"/>
    <mergeCell ref="D54:E54"/>
    <mergeCell ref="F54:G54"/>
    <mergeCell ref="H54:I54"/>
    <mergeCell ref="D51:I51"/>
    <mergeCell ref="K51:M51"/>
    <mergeCell ref="A53:B53"/>
    <mergeCell ref="C53:E53"/>
    <mergeCell ref="F53:G53"/>
    <mergeCell ref="H53:I53"/>
    <mergeCell ref="K53:M53"/>
    <mergeCell ref="D105:F105"/>
    <mergeCell ref="A55:B55"/>
    <mergeCell ref="C55:E55"/>
    <mergeCell ref="H55:I55"/>
    <mergeCell ref="C56:H56"/>
    <mergeCell ref="I57:J57"/>
    <mergeCell ref="D81:F81"/>
  </mergeCells>
  <phoneticPr fontId="2" type="noConversion"/>
  <conditionalFormatting sqref="H8:H42 E8:E42">
    <cfRule type="cellIs" dxfId="42" priority="4" operator="equal">
      <formula>""</formula>
    </cfRule>
  </conditionalFormatting>
  <conditionalFormatting sqref="F62:H79">
    <cfRule type="cellIs" dxfId="41" priority="3" operator="equal">
      <formula>"?"</formula>
    </cfRule>
  </conditionalFormatting>
  <conditionalFormatting sqref="D42:D999">
    <cfRule type="duplicateValues" dxfId="40" priority="2"/>
  </conditionalFormatting>
  <conditionalFormatting sqref="D10:D41">
    <cfRule type="duplicateValues" dxfId="39" priority="235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D47:E47</xm:sqref>
        </x14:dataValidation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allowBlank="1" showInputMessage="1">
          <x14:formula1>
            <xm:f>Staff!$G$23:$G$52</xm:f>
          </x14:formula1>
          <xm:sqref>K49:M53</xm:sqref>
        </x14:dataValidation>
        <x14:dataValidation type="list" allowBlank="1" showInputMessage="1">
          <x14:formula1>
            <xm:f>Staff!$G$12:$G$52</xm:f>
          </x14:formula1>
          <xm:sqref>G49:I50</xm:sqref>
        </x14:dataValidation>
        <x14:dataValidation type="list" allowBlank="1" showInputMessage="1">
          <x14:formula1>
            <xm:f>Staff!$G$2:$G$9</xm:f>
          </x14:formula1>
          <xm:sqref>K46:M47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5"/>
  <sheetViews>
    <sheetView view="pageBreakPreview" zoomScale="90" zoomScaleNormal="100" zoomScaleSheetLayoutView="90" workbookViewId="0">
      <selection activeCell="B5" sqref="B5:C5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45769</v>
      </c>
      <c r="E1" s="355"/>
      <c r="F1" s="333" t="s">
        <v>23</v>
      </c>
      <c r="G1" s="110">
        <f>D1</f>
        <v>45769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S4(0) </v>
      </c>
      <c r="C4" s="367"/>
      <c r="D4" s="366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 &lt;S9(0)&gt;  S10(0) </v>
      </c>
      <c r="E4" s="367"/>
      <c r="F4" s="366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 xml:space="preserve">S12(0) </v>
      </c>
      <c r="G4" s="367"/>
      <c r="H4" s="366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S11(0) </v>
      </c>
      <c r="I4" s="367"/>
      <c r="J4" s="366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S5(0)  &lt;S7(0)&gt;  S8(0) </v>
      </c>
      <c r="K4" s="367"/>
      <c r="L4" s="366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S6(0)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1" si="0">IF($E8&lt;&gt;"",IF($E8-715&lt;0,VLOOKUP($B$3,$E$61:$J$72,6,FALSE),IF(AND($E8-2130&gt;0,_xlfn.IFNA(MATCH($D8,$D$105:$D$115,0)&lt;20,"")=TRUE),VLOOKUP($L$3,$E$61:$J$72,6,FALSE),"-")),"")</f>
        <v>S4</v>
      </c>
      <c r="C8" s="9" t="str">
        <f t="shared" ref="C8:C41" si="1">IF($E8&lt;&gt;"",IF(ISNUMBER(SEARCH("Hall Operation",$K8)),"-",IF($E8-715&lt;0,VLOOKUP($B$3,$E$61:$J$72,6,FALSE),IF($E8-2129&gt;0,VLOOKUP($L$3,$E$61:$J$72,6,FALSE),""))),"")</f>
        <v>-</v>
      </c>
      <c r="D8" s="165" t="s">
        <v>985</v>
      </c>
      <c r="E8" s="172" t="s">
        <v>984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0" si="2">IF($D8=0,"",IF(OR(ISNUMBER(SEARCH("S",$B8)),_xlfn.IFNA(MATCH($D8,$D$105:$D$115,0)&lt;20,"")=TRUE),"&lt;   Hall Operation   &gt;",""))</f>
        <v>&lt;   Hall Operation   &gt;</v>
      </c>
      <c r="L8" s="166"/>
      <c r="M8" s="166"/>
      <c r="N8" s="173"/>
    </row>
    <row r="9" spans="1:16" s="346" customFormat="1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S4</v>
      </c>
      <c r="C9" s="9" t="str">
        <f t="shared" si="1"/>
        <v>-</v>
      </c>
      <c r="D9" s="165" t="s">
        <v>982</v>
      </c>
      <c r="E9" s="172" t="str">
        <f>IF($D9&gt;0,VLOOKUP($D9,Flight!$A$1:$E$91,2,FALSE),"")</f>
        <v>0130</v>
      </c>
      <c r="F9" s="43"/>
      <c r="G9" s="43" t="str">
        <f>IF(A9="@",IF(H9="ZYK","Berth 3",IF(H9="HKM","Bay 7","")),"")</f>
        <v/>
      </c>
      <c r="H9" s="44" t="str">
        <f>IF($D9&gt;0,VLOOKUP($D9,Flight!$A$1:$E$91,3,FALSE),"")</f>
        <v>BKK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  <c r="N9" s="173"/>
      <c r="O9" s="112"/>
    </row>
    <row r="10" spans="1:16" s="346" customFormat="1" ht="16.5" customHeight="1">
      <c r="A10" s="9">
        <f>IF($A8="S/N",1,IF($F10="Wavied","-",IF($D10=0,"",ROW($A10)-ROW($A$7)-COUNTIF($A$7:$A$8,"@")-COUNTIF($A$7:$A$8,"-"))))</f>
        <v>3</v>
      </c>
      <c r="B10" s="9" t="str">
        <f t="shared" si="0"/>
        <v>S4</v>
      </c>
      <c r="C10" s="9" t="str">
        <f t="shared" si="1"/>
        <v>-</v>
      </c>
      <c r="D10" s="165" t="s">
        <v>961</v>
      </c>
      <c r="E10" s="172" t="s">
        <v>962</v>
      </c>
      <c r="F10" s="43"/>
      <c r="G10" s="43" t="str">
        <f>IF(A10="@",IF(H10="ZYK","Berth 3",IF(H10="HKM","Bay 7","")),"")</f>
        <v/>
      </c>
      <c r="H10" s="44" t="s">
        <v>963</v>
      </c>
      <c r="I10" s="44"/>
      <c r="J10" s="44"/>
      <c r="K10" s="166" t="str">
        <f t="shared" si="2"/>
        <v>&lt;   Hall Operation   &gt;</v>
      </c>
      <c r="L10" s="166"/>
      <c r="M10" s="166"/>
      <c r="N10" s="173"/>
      <c r="O10" s="112"/>
    </row>
    <row r="11" spans="1:16" ht="16.5" customHeight="1">
      <c r="A11" s="9">
        <f>IF($A7="S/N",1,IF($F11="Wavied","-",IF($D11=0,"",ROW($A11)-ROW($A$7)-COUNTIF($A$7:$A$8,"@")-COUNTIF($A$7:$A$8,"-"))))</f>
        <v>4</v>
      </c>
      <c r="B11" s="9" t="str">
        <f t="shared" si="0"/>
        <v>S4</v>
      </c>
      <c r="C11" s="9" t="str">
        <f t="shared" si="1"/>
        <v>-</v>
      </c>
      <c r="D11" s="27" t="s">
        <v>367</v>
      </c>
      <c r="E11" s="172" t="str">
        <f>IF($D11&gt;0,VLOOKUP($D11,Flight!$A$1:$E$91,2,FALSE),"")</f>
        <v>0545</v>
      </c>
      <c r="F11" s="45"/>
      <c r="G11" s="43" t="str">
        <f t="shared" ref="G11:G41" si="3">IF(A11="@",IF(H11="ZYK","Berth 3",IF(H11="HKM","Bay 7","")),"")</f>
        <v/>
      </c>
      <c r="H11" s="44" t="str">
        <f>IF($D11&gt;0,VLOOKUP($D11,Flight!$A$1:$E$91,3,FALSE),"")</f>
        <v>CGK</v>
      </c>
      <c r="I11" s="44" t="str">
        <f>IF($D11&gt;0,IF(VLOOKUP($D11,Flight!$A$1:$E$91,4,FALSE)&gt;1,VLOOKUP($D11,Flight!$A$1:$E92,4,FALSE),""),"")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>IF($A8="S/N",1,IF($F12="Wavied","-",IF($D12=0,"",ROW($A12)-ROW($A$7)-COUNTIF($A$7:$A$8,"@")-COUNTIF($A$7:$A$8,"-"))))</f>
        <v>5</v>
      </c>
      <c r="B12" s="9" t="str">
        <f t="shared" si="0"/>
        <v>S4</v>
      </c>
      <c r="C12" s="9" t="str">
        <f t="shared" si="1"/>
        <v>-</v>
      </c>
      <c r="D12" s="27" t="s">
        <v>368</v>
      </c>
      <c r="E12" s="172" t="str">
        <f>IF($D12&gt;0,VLOOKUP($D12,Flight!$A$1:$E$91,2,FALSE),"")</f>
        <v>0555</v>
      </c>
      <c r="F12" s="45"/>
      <c r="G12" s="43" t="str">
        <f t="shared" si="3"/>
        <v/>
      </c>
      <c r="H12" s="44" t="str">
        <f>IF($D12&gt;0,VLOOKUP($D12,Flight!$A$1:$E$91,3,FALSE),"")</f>
        <v>BKK</v>
      </c>
      <c r="I12" s="44" t="str">
        <f>IF($D12&gt;0,IF(VLOOKUP($D12,Flight!$A$1:$E$91,4,FALSE)&gt;1,VLOOKUP($D12,Flight!$A$1:$E93,4,FALSE),""),"")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ref="A13:A41" si="4">IF($A11="S/N",1,IF($F13="Wavied","-",IF($D13=0,"",ROW($A13)-ROW($A$7)-COUNTIF($A$7:$A$8,"@")-COUNTIF($A$7:$A$8,"-"))))</f>
        <v>6</v>
      </c>
      <c r="B13" s="9" t="str">
        <f t="shared" si="0"/>
        <v>S4</v>
      </c>
      <c r="C13" s="9" t="str">
        <f t="shared" si="1"/>
        <v>-</v>
      </c>
      <c r="D13" s="27" t="s">
        <v>899</v>
      </c>
      <c r="E13" s="172" t="str">
        <f>IF($D13&gt;0,VLOOKUP($D13,Flight!$A$1:$E$91,2,FALSE),"")</f>
        <v>0615</v>
      </c>
      <c r="F13" s="43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IF($D13&gt;0,IF(VLOOKUP($D13,Flight!$A$1:$E$91,4,FALSE)&gt;1,VLOOKUP($D13,Flight!$A$1:$E94,4,FALSE),""),"")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6">
      <c r="A14" s="9">
        <f t="shared" si="4"/>
        <v>7</v>
      </c>
      <c r="B14" s="9" t="str">
        <f t="shared" si="0"/>
        <v>S4</v>
      </c>
      <c r="C14" s="9" t="str">
        <f t="shared" si="1"/>
        <v>-</v>
      </c>
      <c r="D14" s="27" t="s">
        <v>365</v>
      </c>
      <c r="E14" s="172" t="str">
        <f>IF($D14&gt;0,VLOOKUP($D14,Flight!$A$1:$E$91,2,FALSE),"")</f>
        <v>0640</v>
      </c>
      <c r="F14" s="45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IF($D14&gt;0,IF(VLOOKUP($D14,Flight!$A$1:$E$91,4,FALSE)&gt;1,VLOOKUP($D14,Flight!$A$1:$E95,4,FALSE),""),"")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 t="shared" si="4"/>
        <v>8</v>
      </c>
      <c r="B15" s="9" t="str">
        <f t="shared" si="0"/>
        <v>-</v>
      </c>
      <c r="C15" s="9" t="str">
        <f t="shared" si="1"/>
        <v>-</v>
      </c>
      <c r="D15" s="27" t="s">
        <v>369</v>
      </c>
      <c r="E15" s="172" t="str">
        <f>IF($D15&gt;0,VLOOKUP($D15,Flight!$A$1:$E$91,2,FALSE),"")</f>
        <v>0905</v>
      </c>
      <c r="F15" s="46"/>
      <c r="G15" s="43" t="str">
        <f t="shared" si="3"/>
        <v/>
      </c>
      <c r="H15" s="44" t="str">
        <f>IF($D15&gt;0,VLOOKUP($D15,Flight!$A$1:$E$91,3,FALSE),"")</f>
        <v>DEL</v>
      </c>
      <c r="I15" s="44" t="str">
        <f>IF($D15&gt;0,IF(VLOOKUP($D15,Flight!$A$1:$E$91,4,FALSE)&gt;1,VLOOKUP($D15,Flight!$A$1:$E96,4,FALSE),""),"")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P15" s="87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>-</v>
      </c>
      <c r="D16" s="27" t="s">
        <v>370</v>
      </c>
      <c r="E16" s="172" t="str">
        <f>IF($D16&gt;0,VLOOKUP($D16,Flight!$A$1:$E$91,2,FALSE),"")</f>
        <v>0935</v>
      </c>
      <c r="F16" s="46"/>
      <c r="G16" s="43" t="str">
        <f t="shared" si="3"/>
        <v/>
      </c>
      <c r="H16" s="44" t="str">
        <f>IF($D16&gt;0,VLOOKUP($D16,Flight!$A$1:$E$91,3,FALSE),"")</f>
        <v>BLR</v>
      </c>
      <c r="I16" s="44" t="str">
        <f>IF($D16&gt;0,IF(VLOOKUP($D16,Flight!$A$1:$E$91,4,FALSE)&gt;1,VLOOKUP($D16,Flight!$A$1:$E97,4,FALSE),""),"")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</row>
    <row r="17" spans="1:15">
      <c r="A17" s="9">
        <f t="shared" si="4"/>
        <v>10</v>
      </c>
      <c r="B17" s="9" t="str">
        <f t="shared" si="0"/>
        <v>-</v>
      </c>
      <c r="C17" s="9" t="str">
        <f t="shared" si="1"/>
        <v>-</v>
      </c>
      <c r="D17" s="27" t="s">
        <v>371</v>
      </c>
      <c r="E17" s="172" t="str">
        <f>IF($D17&gt;0,VLOOKUP($D17,Flight!$A$1:$E$91,2,FALSE),"")</f>
        <v>0955</v>
      </c>
      <c r="F17" s="46"/>
      <c r="G17" s="43" t="str">
        <f t="shared" si="3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IF($D17&gt;0,IF(VLOOKUP($D17,Flight!$A$1:$E$91,4,FALSE)&gt;1,VLOOKUP($D17,Flight!$A$1:$E98,4,FALSE),""),"")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 t="shared" si="4"/>
        <v>11</v>
      </c>
      <c r="B18" s="9" t="str">
        <f t="shared" si="0"/>
        <v>-</v>
      </c>
      <c r="C18" s="9" t="str">
        <f t="shared" si="1"/>
        <v/>
      </c>
      <c r="D18" s="27" t="s">
        <v>372</v>
      </c>
      <c r="E18" s="172" t="str">
        <f>IF($D18&gt;0,VLOOKUP($D18,Flight!$A$1:$E$91,2,FALSE),"")</f>
        <v>1000</v>
      </c>
      <c r="F18" s="45"/>
      <c r="G18" s="43" t="str">
        <f t="shared" si="3"/>
        <v/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IF($D18&gt;0,IF(VLOOKUP($D18,Flight!$A$1:$E$91,4,FALSE)&gt;1,VLOOKUP($D18,Flight!$A$1:$E99,4,FALSE),""),"")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 ht="16.5" customHeight="1">
      <c r="A19" s="9">
        <f t="shared" si="4"/>
        <v>12</v>
      </c>
      <c r="B19" s="9" t="str">
        <f t="shared" si="0"/>
        <v>-</v>
      </c>
      <c r="C19" s="9" t="str">
        <f t="shared" si="1"/>
        <v/>
      </c>
      <c r="D19" s="27" t="s">
        <v>373</v>
      </c>
      <c r="E19" s="172" t="str">
        <f>IF($D19&gt;0,VLOOKUP($D19,Flight!$A$1:$E$91,2,FALSE),"")</f>
        <v>1010</v>
      </c>
      <c r="F19" s="45"/>
      <c r="G19" s="43" t="str">
        <f t="shared" si="3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IF($D19&gt;0,IF(VLOOKUP($D19,Flight!$A$1:$E$91,4,FALSE)&gt;1,VLOOKUP($D19,Flight!$A$1:$E100,4,FALSE),""),"")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27" t="s">
        <v>374</v>
      </c>
      <c r="E20" s="172" t="str">
        <f>IF($D20&gt;0,VLOOKUP($D20,Flight!$A$1:$E$91,2,FALSE),"")</f>
        <v>1115</v>
      </c>
      <c r="F20" s="45"/>
      <c r="G20" s="43" t="str">
        <f t="shared" si="3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IF($D20&gt;0,IF(VLOOKUP($D20,Flight!$A$1:$E$91,4,FALSE)&gt;1,VLOOKUP($D20,Flight!$A$1:$E101,4,FALSE),""),"")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27" t="s">
        <v>375</v>
      </c>
      <c r="E21" s="172" t="str">
        <f>IF($D21&gt;0,VLOOKUP($D21,Flight!$A$1:$E$91,2,FALSE),"")</f>
        <v>1145</v>
      </c>
      <c r="F21" s="45"/>
      <c r="G21" s="43" t="str">
        <f t="shared" si="3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IF($D21&gt;0,IF(VLOOKUP($D21,Flight!$A$1:$E$91,4,FALSE)&gt;1,VLOOKUP($D21,Flight!$A$1:$E102,4,FALSE),""),"")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4"/>
        <v>15</v>
      </c>
      <c r="B22" s="9" t="str">
        <f t="shared" si="0"/>
        <v>-</v>
      </c>
      <c r="C22" s="9" t="str">
        <f t="shared" si="1"/>
        <v/>
      </c>
      <c r="D22" s="27" t="s">
        <v>900</v>
      </c>
      <c r="E22" s="172" t="str">
        <f>IF($D22&gt;0,VLOOKUP($D22,Flight!$A$1:$E$91,2,FALSE),"")</f>
        <v>1210</v>
      </c>
      <c r="F22" s="45"/>
      <c r="G22" s="43" t="str">
        <f t="shared" si="3"/>
        <v/>
      </c>
      <c r="H22" s="44" t="str">
        <f>IF($D22&gt;0,VLOOKUP($D22,Flight!$A$1:$E$91,3,FALSE),"")</f>
        <v>BKK</v>
      </c>
      <c r="I22" s="44" t="str">
        <f>IF($D22&gt;0,IF(VLOOKUP($D22,Flight!$A$1:$E$91,4,FALSE)&gt;1,VLOOKUP($D22,Flight!$A$1:$E103,4,FALSE),""),"")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 ht="15.75" customHeight="1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9" t="s">
        <v>376</v>
      </c>
      <c r="E23" s="172" t="str">
        <f>IF($D23&gt;0,VLOOKUP($D23,Flight!$A$1:$E$91,2,FALSE),"")</f>
        <v>1305</v>
      </c>
      <c r="F23" s="44"/>
      <c r="G23" s="43" t="str">
        <f t="shared" si="3"/>
        <v/>
      </c>
      <c r="H23" s="44" t="str">
        <f>IF($D23&gt;0,VLOOKUP($D23,Flight!$A$1:$E$91,3,FALSE),"")</f>
        <v>DMK</v>
      </c>
      <c r="I23" s="44" t="str">
        <f>IF($D23&gt;0,IF(VLOOKUP($D23,Flight!$A$1:$E$91,4,FALSE)&gt;1,VLOOKUP($D23,Flight!$A$1:$E104,4,FALSE),""),"")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>-</v>
      </c>
      <c r="D24" s="9" t="s">
        <v>377</v>
      </c>
      <c r="E24" s="172" t="str">
        <f>IF($D24&gt;0,VLOOKUP($D24,Flight!$A$1:$E$91,2,FALSE),"")</f>
        <v>1310</v>
      </c>
      <c r="F24" s="44"/>
      <c r="G24" s="43" t="str">
        <f t="shared" si="3"/>
        <v/>
      </c>
      <c r="H24" s="44" t="str">
        <f>IF($D24&gt;0,VLOOKUP($D24,Flight!$A$1:$E$91,3,FALSE),"")</f>
        <v>DEL</v>
      </c>
      <c r="I24" s="44" t="str">
        <f>IF($D24&gt;0,IF(VLOOKUP($D24,Flight!$A$1:$E$91,4,FALSE)&gt;1,VLOOKUP($D24,Flight!$A$1:$E105,4,FALSE),""),"")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>&lt;   Hall Operation   &gt;</v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1"/>
        <v/>
      </c>
      <c r="D25" s="9" t="s">
        <v>378</v>
      </c>
      <c r="E25" s="172" t="str">
        <f>IF($D25&gt;0,VLOOKUP($D25,Flight!$A$1:$E$91,2,FALSE),"")</f>
        <v>1415</v>
      </c>
      <c r="F25" s="44"/>
      <c r="G25" s="43" t="str">
        <f t="shared" si="3"/>
        <v/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IF($D25&gt;0,IF(VLOOKUP($D25,Flight!$A$1:$E$91,4,FALSE)&gt;1,VLOOKUP($D25,Flight!$A$1:$E106,4,FALSE),""),"")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/>
      </c>
      <c r="D26" s="27" t="s">
        <v>379</v>
      </c>
      <c r="E26" s="172" t="str">
        <f>IF($D26&gt;0,VLOOKUP($D26,Flight!$A$1:$E$91,2,FALSE),"")</f>
        <v>1420</v>
      </c>
      <c r="F26" s="45"/>
      <c r="G26" s="43" t="str">
        <f t="shared" si="3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IF($D26&gt;0,IF(VLOOKUP($D26,Flight!$A$1:$E$91,4,FALSE)&gt;1,VLOOKUP($D26,Flight!$A$1:$E107,4,FALSE),""),"")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 t="shared" si="4"/>
        <v>20</v>
      </c>
      <c r="B27" s="9" t="str">
        <f t="shared" si="0"/>
        <v>-</v>
      </c>
      <c r="C27" s="9" t="str">
        <f t="shared" si="1"/>
        <v/>
      </c>
      <c r="D27" s="27" t="s">
        <v>380</v>
      </c>
      <c r="E27" s="172" t="str">
        <f>IF($D27&gt;0,VLOOKUP($D27,Flight!$A$1:$E$91,2,FALSE),"")</f>
        <v>1455</v>
      </c>
      <c r="F27" s="44"/>
      <c r="G27" s="43" t="str">
        <f t="shared" si="3"/>
        <v/>
      </c>
      <c r="H27" s="44" t="str">
        <f>IF($D27&gt;0,VLOOKUP($D27,Flight!$A$1:$E$91,3,FALSE),"")</f>
        <v>ADD</v>
      </c>
      <c r="I27" s="44" t="str">
        <f>IF($D27&gt;0,IF(VLOOKUP($D27,Flight!$A$1:$E$91,4,FALSE)&gt;1,VLOOKUP($D27,Flight!$A$1:$E109,4,FALSE),""),"")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 t="shared" si="4"/>
        <v>21</v>
      </c>
      <c r="B28" s="9" t="str">
        <f t="shared" si="0"/>
        <v>-</v>
      </c>
      <c r="C28" s="9" t="str">
        <f t="shared" si="1"/>
        <v/>
      </c>
      <c r="D28" s="27" t="s">
        <v>381</v>
      </c>
      <c r="E28" s="172" t="str">
        <f>IF($D28&gt;0,VLOOKUP($D28,Flight!$A$1:$E$91,2,FALSE),"")</f>
        <v>1510</v>
      </c>
      <c r="F28" s="45"/>
      <c r="G28" s="43" t="str">
        <f t="shared" si="3"/>
        <v/>
      </c>
      <c r="H28" s="44" t="str">
        <f>IF($D28&gt;0,VLOOKUP($D28,Flight!$A$1:$E$91,3,FALSE),"")</f>
        <v>DOH</v>
      </c>
      <c r="I28" s="44" t="str">
        <f>IF($D28&gt;0,IF(VLOOKUP($D28,Flight!$A$1:$E$91,4,FALSE)&gt;1,VLOOKUP($D28,Flight!$A$1:$E110,4,FALSE),""),"")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  <c r="O28" s="114"/>
    </row>
    <row r="29" spans="1:15">
      <c r="A29" s="9">
        <f t="shared" si="4"/>
        <v>22</v>
      </c>
      <c r="B29" s="9" t="str">
        <f t="shared" si="0"/>
        <v>-</v>
      </c>
      <c r="C29" s="9" t="str">
        <f t="shared" si="1"/>
        <v/>
      </c>
      <c r="D29" s="27" t="s">
        <v>382</v>
      </c>
      <c r="E29" s="172" t="str">
        <f>IF($D29&gt;0,VLOOKUP($D29,Flight!$A$1:$E$91,2,FALSE),"")</f>
        <v>1715</v>
      </c>
      <c r="F29" s="45"/>
      <c r="G29" s="43" t="str">
        <f t="shared" si="3"/>
        <v/>
      </c>
      <c r="H29" s="44" t="str">
        <f>IF($D29&gt;0,VLOOKUP($D29,Flight!$A$1:$E$91,3,FALSE),"")</f>
        <v>IST</v>
      </c>
      <c r="I29" s="44" t="str">
        <f>IF($D29&gt;0,IF(VLOOKUP($D29,Flight!$A$1:$E$91,4,FALSE)&gt;1,VLOOKUP($D29,Flight!$A$1:$E111,4,FALSE),""),"")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4"/>
        <v>23</v>
      </c>
      <c r="B30" s="9" t="str">
        <f t="shared" si="0"/>
        <v>-</v>
      </c>
      <c r="C30" s="9" t="str">
        <f t="shared" si="1"/>
        <v/>
      </c>
      <c r="D30" s="27" t="s">
        <v>391</v>
      </c>
      <c r="E30" s="172" t="str">
        <f>IF($D30&gt;0,VLOOKUP($D30,Flight!$A$1:$E$91,2,FALSE),"")</f>
        <v>1720</v>
      </c>
      <c r="F30" s="49"/>
      <c r="G30" s="43" t="str">
        <f t="shared" si="3"/>
        <v/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IF($D30&gt;0,IF(VLOOKUP($D30,Flight!$A$1:$E$91,4,FALSE)&gt;1,VLOOKUP($D30,Flight!$A$1:$E112,4,FALSE),""),"")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 s="349" customFormat="1">
      <c r="A31" s="9">
        <f t="shared" si="4"/>
        <v>24</v>
      </c>
      <c r="B31" s="9" t="str">
        <f t="shared" si="0"/>
        <v>-</v>
      </c>
      <c r="C31" s="9" t="str">
        <f t="shared" si="1"/>
        <v/>
      </c>
      <c r="D31" s="27" t="s">
        <v>1005</v>
      </c>
      <c r="E31" s="172" t="str">
        <f>IF($D31&gt;0,VLOOKUP($D31,Flight!$A$1:$E$91,2,FALSE),"")</f>
        <v>1745</v>
      </c>
      <c r="F31" s="49"/>
      <c r="G31" s="43" t="str">
        <f t="shared" ref="G31" si="5">IF(A31="@",IF(H31="ZYK","Berth 3",IF(H31="HKM","Bay 7","")),"")</f>
        <v/>
      </c>
      <c r="H31" s="44" t="str">
        <f>IF($D31&gt;0,VLOOKUP($D31,Flight!$A$1:$E$91,3,FALSE),"")</f>
        <v>BKK</v>
      </c>
      <c r="I31" s="44"/>
      <c r="J31" s="44"/>
      <c r="K31" s="166"/>
      <c r="L31" s="166"/>
      <c r="M31" s="166"/>
      <c r="O31" s="112"/>
    </row>
    <row r="32" spans="1:15">
      <c r="A32" s="9">
        <f>IF($A29="S/N",1,IF($F32="Wavied","-",IF($D32=0,"",ROW($A32)-ROW($A$7)-COUNTIF($A$7:$A$8,"@")-COUNTIF($A$7:$A$8,"-"))))</f>
        <v>25</v>
      </c>
      <c r="B32" s="9" t="str">
        <f t="shared" si="0"/>
        <v>-</v>
      </c>
      <c r="C32" s="9" t="str">
        <f t="shared" si="1"/>
        <v/>
      </c>
      <c r="D32" s="27" t="s">
        <v>383</v>
      </c>
      <c r="E32" s="172" t="str">
        <f>IF($D32&gt;0,VLOOKUP($D32,Flight!$A$1:$E$91,2,FALSE),"")</f>
        <v>1755</v>
      </c>
      <c r="F32" s="45"/>
      <c r="G32" s="43" t="str">
        <f t="shared" si="3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IF($D32&gt;0,IF(VLOOKUP($D32,Flight!$A$1:$E$91,4,FALSE)&gt;1,VLOOKUP($D32,Flight!$A$1:$E113,4,FALSE),""),"")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ref="K32:K41" si="6">IF($D32=0,"",IF(OR(ISNUMBER(SEARCH("S",$B32)),_xlfn.IFNA(MATCH($D32,$D$105:$D$115,0)&lt;20,"")=TRUE),"&lt;   Hall Operation   &gt;",""))</f>
        <v/>
      </c>
      <c r="L32" s="166"/>
      <c r="M32" s="166"/>
    </row>
    <row r="33" spans="1:18">
      <c r="A33" s="9">
        <f>IF($A30="S/N",1,IF($F33="Wavied","-",IF($D33=0,"",ROW($A33)-ROW($A$7)-COUNTIF($A$7:$A$8,"@")-COUNTIF($A$7:$A$8,"-"))))</f>
        <v>26</v>
      </c>
      <c r="B33" s="9" t="str">
        <f t="shared" si="0"/>
        <v>-</v>
      </c>
      <c r="C33" s="9" t="str">
        <f t="shared" si="1"/>
        <v/>
      </c>
      <c r="D33" s="27" t="s">
        <v>384</v>
      </c>
      <c r="E33" s="172" t="str">
        <f>IF($D33&gt;0,VLOOKUP($D33,Flight!$A$1:$E$91,2,FALSE),"")</f>
        <v>1805</v>
      </c>
      <c r="F33" s="45"/>
      <c r="G33" s="43" t="str">
        <f t="shared" si="3"/>
        <v/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IF($D33&gt;0,IF(VLOOKUP($D33,Flight!$A$1:$E$91,4,FALSE)&gt;1,VLOOKUP($D33,Flight!$A$1:$E114,4,FALSE),""),"")</f>
        <v>BKK</v>
      </c>
      <c r="J33" s="44" t="str">
        <f>IF($D33&gt;0,IF(VLOOKUP($D33,Flight!$A$1:$E$91,5,FALSE)&gt;1,VLOOKUP($D33,Flight!$A$1:$E$91,5,FALSE),""),"")</f>
        <v/>
      </c>
      <c r="K33" s="166" t="str">
        <f t="shared" si="6"/>
        <v/>
      </c>
      <c r="L33" s="166"/>
      <c r="M33" s="166"/>
    </row>
    <row r="34" spans="1:18">
      <c r="A34" s="9">
        <f t="shared" si="4"/>
        <v>27</v>
      </c>
      <c r="B34" s="9" t="str">
        <f t="shared" si="0"/>
        <v>-</v>
      </c>
      <c r="C34" s="9" t="str">
        <f t="shared" si="1"/>
        <v/>
      </c>
      <c r="D34" s="27" t="s">
        <v>385</v>
      </c>
      <c r="E34" s="172" t="str">
        <f>IF($D34&gt;0,VLOOKUP($D34,Flight!$A$1:$E$91,2,FALSE),"")</f>
        <v>1810</v>
      </c>
      <c r="F34" s="46"/>
      <c r="G34" s="43" t="str">
        <f t="shared" si="3"/>
        <v/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IF($D34&gt;0,IF(VLOOKUP($D34,Flight!$A$1:$E$91,4,FALSE)&gt;1,VLOOKUP($D34,Flight!$A$1:$E115,4,FALSE),""),"")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6"/>
        <v/>
      </c>
      <c r="L34" s="166"/>
      <c r="M34" s="166"/>
    </row>
    <row r="35" spans="1:18">
      <c r="A35" s="9">
        <f t="shared" si="4"/>
        <v>28</v>
      </c>
      <c r="B35" s="9" t="str">
        <f t="shared" si="0"/>
        <v>-</v>
      </c>
      <c r="C35" s="9" t="str">
        <f t="shared" si="1"/>
        <v/>
      </c>
      <c r="D35" s="27" t="s">
        <v>901</v>
      </c>
      <c r="E35" s="172" t="str">
        <f>IF($D35&gt;0,VLOOKUP($D35,Flight!$A$1:$E$91,2,FALSE),"")</f>
        <v>1820</v>
      </c>
      <c r="F35" s="45"/>
      <c r="G35" s="43" t="str">
        <f t="shared" si="3"/>
        <v/>
      </c>
      <c r="H35" s="44" t="str">
        <f>IF($D35&gt;0,VLOOKUP($D35,Flight!$A$1:$E$91,3,FALSE),"")</f>
        <v>SIN</v>
      </c>
      <c r="I35" s="44" t="str">
        <f>IF($D35&gt;0,IF(VLOOKUP($D35,Flight!$A$1:$E$91,4,FALSE)&gt;1,VLOOKUP($D35,Flight!$A$1:$E116,4,FALSE),""),"")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6"/>
    </row>
    <row r="36" spans="1:18">
      <c r="A36" s="9">
        <f t="shared" si="4"/>
        <v>29</v>
      </c>
      <c r="B36" s="9" t="str">
        <f t="shared" si="0"/>
        <v>-</v>
      </c>
      <c r="C36" s="9" t="str">
        <f t="shared" si="1"/>
        <v/>
      </c>
      <c r="D36" s="27" t="s">
        <v>387</v>
      </c>
      <c r="E36" s="172" t="str">
        <f>IF($D36&gt;0,VLOOKUP($D36,Flight!$A$1:$E$91,2,FALSE),"")</f>
        <v>1920</v>
      </c>
      <c r="F36" s="45"/>
      <c r="G36" s="43" t="str">
        <f t="shared" si="3"/>
        <v/>
      </c>
      <c r="H36" s="44" t="str">
        <f>IF($D36&gt;0,VLOOKUP($D36,Flight!$A$1:$E$91,3,FALSE),"")</f>
        <v>DMK</v>
      </c>
      <c r="I36" s="44" t="str">
        <f>IF($D36&gt;0,IF(VLOOKUP($D36,Flight!$A$1:$E$91,4,FALSE)&gt;1,VLOOKUP($D36,Flight!$A$1:$E117,4,FALSE),""),"")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P36" s="84"/>
    </row>
    <row r="37" spans="1:18">
      <c r="A37" s="9">
        <f t="shared" si="4"/>
        <v>30</v>
      </c>
      <c r="B37" s="9" t="str">
        <f t="shared" si="0"/>
        <v>-</v>
      </c>
      <c r="C37" s="9" t="str">
        <f t="shared" si="1"/>
        <v/>
      </c>
      <c r="D37" s="27" t="s">
        <v>388</v>
      </c>
      <c r="E37" s="172" t="str">
        <f>IF($D37&gt;0,VLOOKUP($D37,Flight!$A$1:$E$91,2,FALSE),"")</f>
        <v>1950</v>
      </c>
      <c r="F37" s="45"/>
      <c r="G37" s="43" t="str">
        <f t="shared" si="3"/>
        <v/>
      </c>
      <c r="H37" s="44" t="str">
        <f>IF($D37&gt;0,VLOOKUP($D37,Flight!$A$1:$E$91,3,FALSE),"")</f>
        <v>BKK</v>
      </c>
      <c r="I37" s="44" t="str">
        <f>IF($D37&gt;0,IF(VLOOKUP($D37,Flight!$A$1:$E$91,4,FALSE)&gt;1,VLOOKUP($D37,Flight!$A$1:$E118,4,FALSE),""),"")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115"/>
      <c r="P37" s="87"/>
    </row>
    <row r="38" spans="1:18" ht="16.5">
      <c r="A38" s="9">
        <f t="shared" si="4"/>
        <v>31</v>
      </c>
      <c r="B38" s="9" t="str">
        <f t="shared" si="0"/>
        <v>-</v>
      </c>
      <c r="C38" s="9" t="str">
        <f t="shared" si="1"/>
        <v/>
      </c>
      <c r="D38" s="27" t="s">
        <v>389</v>
      </c>
      <c r="E38" s="172" t="str">
        <f>IF($D38&gt;0,VLOOKUP($D38,Flight!$A$1:$E$91,2,FALSE),"")</f>
        <v>2030</v>
      </c>
      <c r="F38" s="45"/>
      <c r="G38" s="43" t="str">
        <f t="shared" si="3"/>
        <v/>
      </c>
      <c r="H38" s="44" t="str">
        <f>IF($D38&gt;0,VLOOKUP($D38,Flight!$A$1:$E$91,3,FALSE),"")</f>
        <v>CGK</v>
      </c>
      <c r="I38" s="44" t="str">
        <f>IF($D38&gt;0,IF(VLOOKUP($D38,Flight!$A$1:$E$91,4,FALSE)&gt;1,VLOOKUP($D38,Flight!$A$1:$E119,4,FALSE),""),"")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7"/>
      <c r="O38" s="4"/>
      <c r="P38" s="88"/>
      <c r="Q38" s="4"/>
      <c r="R38" s="4"/>
    </row>
    <row r="39" spans="1:18" ht="16.5">
      <c r="A39" s="9">
        <f t="shared" si="4"/>
        <v>32</v>
      </c>
      <c r="B39" s="9" t="str">
        <f t="shared" si="0"/>
        <v>-</v>
      </c>
      <c r="C39" s="9" t="str">
        <f t="shared" si="1"/>
        <v>S6</v>
      </c>
      <c r="D39" s="27" t="s">
        <v>390</v>
      </c>
      <c r="E39" s="172" t="str">
        <f>IF($D39&gt;0,VLOOKUP($D39,Flight!$A$1:$E$91,2,FALSE),"")</f>
        <v>2155</v>
      </c>
      <c r="F39" s="45"/>
      <c r="G39" s="43" t="str">
        <f t="shared" si="3"/>
        <v/>
      </c>
      <c r="H39" s="44" t="str">
        <f>IF($D39&gt;0,VLOOKUP($D39,Flight!$A$1:$E$91,3,FALSE),"")</f>
        <v>DOH</v>
      </c>
      <c r="I39" s="44" t="str">
        <f>IF($D39&gt;0,IF(VLOOKUP($D39,Flight!$A$1:$E$91,4,FALSE)&gt;1,VLOOKUP($D39,Flight!$A$1:$E121,4,FALSE),""),"")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>
        <f t="shared" si="4"/>
        <v>33</v>
      </c>
      <c r="B40" s="9" t="str">
        <f t="shared" si="0"/>
        <v>-</v>
      </c>
      <c r="C40" s="9" t="str">
        <f t="shared" si="1"/>
        <v>S6</v>
      </c>
      <c r="D40" s="27" t="s">
        <v>392</v>
      </c>
      <c r="E40" s="172" t="str">
        <f>IF($D40&gt;0,VLOOKUP($D40,Flight!$A$1:$E$91,2,FALSE),"")</f>
        <v>2320</v>
      </c>
      <c r="F40" s="45"/>
      <c r="G40" s="43" t="str">
        <f t="shared" si="3"/>
        <v/>
      </c>
      <c r="H40" s="44" t="str">
        <f>IF($D40&gt;0,VLOOKUP($D40,Flight!$A$1:$E$91,3,FALSE),"")</f>
        <v>BKK</v>
      </c>
      <c r="I40" s="44" t="str">
        <f>IF($D40&gt;0,IF(VLOOKUP($D40,Flight!$A$1:$E$91,4,FALSE)&gt;1,VLOOKUP($D40,Flight!$A$1:$E122,4,FALSE),""),"")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 ht="16.5">
      <c r="A41" s="9" t="str">
        <f t="shared" si="4"/>
        <v/>
      </c>
      <c r="B41" s="9" t="str">
        <f t="shared" si="0"/>
        <v/>
      </c>
      <c r="C41" s="9" t="str">
        <f t="shared" si="1"/>
        <v/>
      </c>
      <c r="D41" s="27"/>
      <c r="E41" s="172" t="str">
        <f>IF($D41&gt;0,VLOOKUP($D41,Flight!$A$1:$E$91,2,FALSE),"")</f>
        <v/>
      </c>
      <c r="F41" s="45"/>
      <c r="G41" s="43" t="str">
        <f t="shared" si="3"/>
        <v/>
      </c>
      <c r="H41" s="44" t="str">
        <f>IF($D41&gt;0,VLOOKUP($D41,Flight!$A$1:$E$91,3,FALSE),"")</f>
        <v/>
      </c>
      <c r="I41" s="44" t="str">
        <f>IF($D41&gt;0,IF(VLOOKUP($D41,Flight!$A$1:$E$91,4,FALSE)&gt;1,VLOOKUP($D41,Flight!$A$1:$E123,4,FALSE),""),"")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6"/>
        <v/>
      </c>
      <c r="L41" s="166"/>
      <c r="M41" s="166"/>
      <c r="O41" s="4"/>
      <c r="P41" s="89"/>
      <c r="Q41" s="4"/>
      <c r="R41" s="4"/>
    </row>
    <row r="42" spans="1:18">
      <c r="A42" s="376" t="s">
        <v>5</v>
      </c>
      <c r="B42" s="376"/>
      <c r="C42" s="376"/>
      <c r="D42" s="376"/>
      <c r="E42" s="376"/>
      <c r="F42" s="376"/>
      <c r="G42" s="50"/>
      <c r="H42" s="321" t="s">
        <v>40</v>
      </c>
      <c r="I42" s="377"/>
      <c r="J42" s="377"/>
      <c r="K42" s="377"/>
      <c r="L42" s="377"/>
      <c r="M42" s="377"/>
      <c r="N42" s="5"/>
    </row>
    <row r="43" spans="1:18">
      <c r="A43" s="379" t="s">
        <v>35</v>
      </c>
      <c r="B43" s="379"/>
      <c r="C43" s="379" t="s">
        <v>31</v>
      </c>
      <c r="D43" s="379"/>
      <c r="E43" s="379"/>
      <c r="F43" s="379"/>
      <c r="G43" s="379"/>
      <c r="H43" s="379"/>
      <c r="I43" s="378"/>
      <c r="J43" s="378"/>
      <c r="K43" s="378"/>
      <c r="L43" s="378"/>
      <c r="M43" s="378"/>
    </row>
    <row r="44" spans="1:18">
      <c r="A44" s="379"/>
      <c r="B44" s="379"/>
      <c r="C44" s="379"/>
      <c r="D44" s="379"/>
      <c r="E44" s="379"/>
      <c r="F44" s="379"/>
      <c r="G44" s="379"/>
      <c r="H44" s="379"/>
      <c r="I44" s="51"/>
      <c r="J44" s="51"/>
      <c r="K44" s="6"/>
      <c r="L44" s="6"/>
      <c r="M44" s="6"/>
    </row>
    <row r="45" spans="1:18">
      <c r="A45" s="389" t="s">
        <v>216</v>
      </c>
      <c r="B45" s="389"/>
      <c r="C45" s="323" t="str">
        <f>VLOOKUP($D$45,Staff!$B$2:$D$41,2,FALSE)</f>
        <v>CIA</v>
      </c>
      <c r="D45" s="375" t="str">
        <f>VLOOKUP(VLOOKUP($E$57,$E$61:$J$72,6,FALSE),Staff!$A$2:$D$13,2,FALSE)</f>
        <v>HF WAN</v>
      </c>
      <c r="E45" s="375"/>
      <c r="F45" s="325" t="s">
        <v>215</v>
      </c>
      <c r="G45" s="390" t="str">
        <f>VLOOKUP($D$45,Staff!$B$2:$D$39,3,FALSE)</f>
        <v>9523 5380</v>
      </c>
      <c r="H45" s="390"/>
      <c r="I45" s="391" t="s">
        <v>223</v>
      </c>
      <c r="J45" s="391"/>
      <c r="K45" s="375" t="str">
        <f>IF(COUNTIF($E$61:$E$64,$E$57)&gt;0,Staff!$G$2,"")&amp;IF(COUNTIF($E$65:$E$68,$E$57)&gt;0,Staff!$G$3,"")&amp;IF(COUNTIF($E$69:$E$72,$E$57)&gt;0,Staff!$G$4,"")</f>
        <v>WONG, TSZ MING</v>
      </c>
      <c r="L45" s="375"/>
      <c r="M45" s="375"/>
    </row>
    <row r="46" spans="1:18">
      <c r="A46" s="389" t="s">
        <v>217</v>
      </c>
      <c r="B46" s="389"/>
      <c r="C46" s="323" t="str">
        <f>VLOOKUP($D$46,Staff!$B$2:$D$41,2,FALSE)</f>
        <v>CIA</v>
      </c>
      <c r="D46" s="375" t="str">
        <f>VLOOKUP(VLOOKUP($E$58,$E$61:$J$72,6,FALSE),Staff!$A$2:$D$13,2,FALSE)</f>
        <v>YM KWOK</v>
      </c>
      <c r="E46" s="375"/>
      <c r="F46" s="325" t="s">
        <v>215</v>
      </c>
      <c r="G46" s="390" t="str">
        <f>VLOOKUP($D$46,Staff!$B$2:$D$39,3,FALSE)</f>
        <v>9786 1247</v>
      </c>
      <c r="H46" s="390"/>
      <c r="I46" s="391" t="s">
        <v>224</v>
      </c>
      <c r="J46" s="391"/>
      <c r="K46" s="375" t="str">
        <f>IF(COUNTIF($E$61:$E$64,$E$58)&gt;0,Staff!$G$2,"")&amp;IF(COUNTIF($E$65:$E$68,$E$58)&gt;0,Staff!$G$3,"")&amp;IF(COUNTIF($E$69:$E$72,$E$58)&gt;0,Staff!$G$4,"")</f>
        <v>HO, KING KAI</v>
      </c>
      <c r="L46" s="375"/>
      <c r="M46" s="375"/>
    </row>
    <row r="47" spans="1:18">
      <c r="A47" s="329"/>
      <c r="B47" s="329"/>
      <c r="C47" s="327"/>
      <c r="D47" s="395"/>
      <c r="E47" s="395"/>
      <c r="F47" s="324"/>
      <c r="G47" s="396"/>
      <c r="H47" s="396"/>
      <c r="I47" s="390"/>
      <c r="J47" s="390"/>
      <c r="K47" s="143"/>
      <c r="L47" s="143"/>
      <c r="M47" s="143"/>
    </row>
    <row r="48" spans="1:18" s="112" customFormat="1">
      <c r="A48" s="397" t="s">
        <v>4</v>
      </c>
      <c r="B48" s="397"/>
      <c r="C48" s="396" t="s">
        <v>218</v>
      </c>
      <c r="D48" s="396"/>
      <c r="E48" s="396"/>
      <c r="F48" s="154" t="s">
        <v>213</v>
      </c>
      <c r="G48" s="398" t="str">
        <f>IF(COUNTIF($E$61:$E$64,$E$57)&gt;0,Staff!$G$14,"")&amp;IF(COUNTIF($E$65:$E$68,$E$57)&gt;0,Staff!$G$13,"")&amp;IF(COUNTIF($E$69:$E$72,$E$57)&gt;0,Staff!$G$12,"")</f>
        <v>CHONG, MAN LOK</v>
      </c>
      <c r="H48" s="398"/>
      <c r="I48" s="398"/>
      <c r="J48" s="333" t="s">
        <v>209</v>
      </c>
      <c r="K48" s="390" t="str">
        <f>VLOOKUP(VLOOKUP($B$3,$E$61:$J$72,6,FALSE),Staff!$F$22:$G$47,2,FALSE)</f>
        <v>CHEUNG, HANG KEI</v>
      </c>
      <c r="L48" s="390"/>
      <c r="M48" s="390"/>
      <c r="N48" s="12"/>
      <c r="P48" s="330"/>
      <c r="Q48" s="330"/>
      <c r="R48" s="330"/>
    </row>
    <row r="49" spans="1:18" s="112" customFormat="1">
      <c r="A49" s="155"/>
      <c r="B49" s="155"/>
      <c r="C49" s="396" t="s">
        <v>219</v>
      </c>
      <c r="D49" s="396"/>
      <c r="E49" s="396"/>
      <c r="F49" s="154" t="s">
        <v>214</v>
      </c>
      <c r="G49" s="375" t="str">
        <f>IF(COUNTIF($E$61:$E$64,$E$58)&gt;0,Staff!$G$14,"")&amp;IF(COUNTIF($E$65:$E$68,$E$58)&gt;0,Staff!$G$13,"")&amp;IF(COUNTIF($E$69:$E$72,$E$58)&gt;0,Staff!$G$12,"")</f>
        <v>CHIU, OI YU (F)</v>
      </c>
      <c r="H49" s="375"/>
      <c r="I49" s="375"/>
      <c r="J49" s="333" t="s">
        <v>208</v>
      </c>
      <c r="K49" s="390"/>
      <c r="L49" s="390"/>
      <c r="M49" s="390"/>
      <c r="N49" s="330"/>
      <c r="P49" s="330"/>
      <c r="Q49" s="330"/>
      <c r="R49" s="330"/>
    </row>
    <row r="50" spans="1:18" s="112" customFormat="1">
      <c r="A50" s="320"/>
      <c r="B50" s="320"/>
      <c r="C50" s="327"/>
      <c r="D50" s="401"/>
      <c r="E50" s="401"/>
      <c r="F50" s="401"/>
      <c r="G50" s="401"/>
      <c r="H50" s="401"/>
      <c r="I50" s="401"/>
      <c r="J50" s="333" t="s">
        <v>210</v>
      </c>
      <c r="K50" s="390"/>
      <c r="L50" s="390"/>
      <c r="M50" s="390"/>
      <c r="N50" s="330"/>
      <c r="P50" s="330"/>
      <c r="Q50" s="330"/>
      <c r="R50" s="330"/>
    </row>
    <row r="51" spans="1:18" s="112" customFormat="1">
      <c r="A51" s="392" t="s">
        <v>3</v>
      </c>
      <c r="B51" s="393"/>
      <c r="C51" s="394" t="s">
        <v>220</v>
      </c>
      <c r="D51" s="394"/>
      <c r="E51" s="394"/>
      <c r="F51" s="397" t="s">
        <v>408</v>
      </c>
      <c r="G51" s="397"/>
      <c r="H51" s="397"/>
      <c r="I51" s="397"/>
      <c r="J51" s="333" t="s">
        <v>211</v>
      </c>
      <c r="K51" s="390"/>
      <c r="L51" s="390"/>
      <c r="M51" s="390"/>
      <c r="N51" s="330"/>
      <c r="P51" s="330"/>
      <c r="Q51" s="330"/>
      <c r="R51" s="330"/>
    </row>
    <row r="52" spans="1:18" s="112" customFormat="1">
      <c r="A52" s="393" t="s">
        <v>2</v>
      </c>
      <c r="B52" s="393"/>
      <c r="C52" s="411" t="s">
        <v>221</v>
      </c>
      <c r="D52" s="411"/>
      <c r="E52" s="411"/>
      <c r="F52" s="412" t="s">
        <v>1</v>
      </c>
      <c r="G52" s="412"/>
      <c r="H52" s="400" t="s">
        <v>409</v>
      </c>
      <c r="I52" s="400"/>
      <c r="J52" s="333" t="s">
        <v>212</v>
      </c>
      <c r="K52" s="390"/>
      <c r="L52" s="390"/>
      <c r="M52" s="390"/>
      <c r="N52" s="330"/>
      <c r="P52" s="330"/>
      <c r="Q52" s="330"/>
      <c r="R52" s="330"/>
    </row>
    <row r="53" spans="1:18" s="112" customFormat="1">
      <c r="A53" s="155"/>
      <c r="B53" s="155"/>
      <c r="C53" s="320"/>
      <c r="D53" s="399"/>
      <c r="E53" s="399"/>
      <c r="F53" s="391"/>
      <c r="G53" s="391"/>
      <c r="H53" s="400" t="s">
        <v>410</v>
      </c>
      <c r="I53" s="400"/>
      <c r="J53" s="326"/>
      <c r="K53" s="329"/>
      <c r="L53" s="329"/>
      <c r="M53" s="47"/>
      <c r="N53" s="330"/>
      <c r="P53" s="330"/>
      <c r="Q53" s="330"/>
      <c r="R53" s="330"/>
    </row>
    <row r="54" spans="1:18" s="112" customFormat="1" ht="16.5" customHeight="1">
      <c r="A54" s="392" t="s">
        <v>0</v>
      </c>
      <c r="B54" s="392"/>
      <c r="C54" s="407" t="s">
        <v>222</v>
      </c>
      <c r="D54" s="407"/>
      <c r="E54" s="407"/>
      <c r="F54" s="326"/>
      <c r="G54" s="333"/>
      <c r="H54" s="394" t="s">
        <v>411</v>
      </c>
      <c r="I54" s="394"/>
      <c r="J54" s="332"/>
      <c r="K54" s="329"/>
      <c r="L54" s="329"/>
      <c r="M54" s="47"/>
      <c r="N54" s="330"/>
      <c r="P54" s="330"/>
      <c r="Q54" s="330"/>
      <c r="R54" s="330"/>
    </row>
    <row r="55" spans="1:18" s="112" customFormat="1">
      <c r="A55" s="330"/>
      <c r="B55" s="330"/>
      <c r="C55" s="408"/>
      <c r="D55" s="408"/>
      <c r="E55" s="408"/>
      <c r="F55" s="408"/>
      <c r="G55" s="408"/>
      <c r="H55" s="408"/>
      <c r="I55" s="54"/>
      <c r="J55" s="53"/>
      <c r="M55" s="330"/>
      <c r="N55" s="330"/>
      <c r="P55" s="330"/>
      <c r="Q55" s="330"/>
      <c r="R55" s="330"/>
    </row>
    <row r="56" spans="1:18" s="112" customFormat="1" ht="16.5" thickBot="1">
      <c r="A56" s="3"/>
      <c r="B56" s="3"/>
      <c r="C56" s="3"/>
      <c r="D56" s="2"/>
      <c r="E56" s="39"/>
      <c r="F56" s="331"/>
      <c r="G56" s="331"/>
      <c r="H56" s="331"/>
      <c r="I56" s="409"/>
      <c r="J56" s="409"/>
      <c r="M56" s="330"/>
      <c r="N56" s="330"/>
      <c r="P56" s="330"/>
      <c r="Q56" s="330"/>
      <c r="R56" s="330"/>
    </row>
    <row r="57" spans="1:18" s="112" customFormat="1">
      <c r="A57" s="330"/>
      <c r="B57" s="330"/>
      <c r="C57" s="330"/>
      <c r="D57" s="330"/>
      <c r="E57" s="90" t="s">
        <v>133</v>
      </c>
      <c r="F57" s="91" t="s">
        <v>135</v>
      </c>
      <c r="G57" s="91"/>
      <c r="H57" s="92"/>
      <c r="I57" s="330"/>
      <c r="J57" s="330"/>
      <c r="K57" s="330"/>
      <c r="L57" s="330"/>
      <c r="M57" s="330"/>
      <c r="N57" s="330"/>
      <c r="P57" s="330"/>
      <c r="Q57" s="330"/>
      <c r="R57" s="330"/>
    </row>
    <row r="58" spans="1:18" s="112" customFormat="1" ht="16.5" thickBot="1">
      <c r="A58" s="330"/>
      <c r="B58" s="330"/>
      <c r="C58" s="330"/>
      <c r="D58" s="330"/>
      <c r="E58" s="93" t="s">
        <v>134</v>
      </c>
      <c r="F58" s="94" t="s">
        <v>136</v>
      </c>
      <c r="G58" s="94"/>
      <c r="H58" s="95"/>
      <c r="I58" s="330"/>
      <c r="J58" s="330"/>
      <c r="K58" s="330"/>
      <c r="L58" s="330"/>
      <c r="M58" s="330"/>
      <c r="N58" s="330"/>
      <c r="P58" s="330"/>
      <c r="Q58" s="330"/>
      <c r="R58" s="330"/>
    </row>
    <row r="59" spans="1:18" s="112" customFormat="1">
      <c r="A59" s="330"/>
      <c r="B59" s="330"/>
      <c r="C59" s="330"/>
      <c r="D59" s="330"/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P59" s="330"/>
      <c r="Q59" s="330"/>
      <c r="R59" s="330"/>
    </row>
    <row r="60" spans="1:18" s="112" customFormat="1" ht="16.5" thickBot="1">
      <c r="A60" s="330"/>
      <c r="B60" s="330"/>
      <c r="C60" s="330"/>
      <c r="D60" s="85" t="s">
        <v>132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98</v>
      </c>
      <c r="J60" s="330"/>
      <c r="K60" s="96" t="s">
        <v>302</v>
      </c>
      <c r="L60" s="96" t="s">
        <v>303</v>
      </c>
      <c r="M60" s="96"/>
      <c r="N60" s="330"/>
      <c r="P60" s="330"/>
      <c r="Q60" s="330"/>
      <c r="R60" s="330"/>
    </row>
    <row r="61" spans="1:18" s="112" customFormat="1">
      <c r="A61" s="330"/>
      <c r="B61" s="330"/>
      <c r="C61" s="330"/>
      <c r="D61" s="97" t="s">
        <v>86</v>
      </c>
      <c r="E61" s="98" t="str">
        <f>_xlfn.IFNA(VLOOKUP(MOD((($D$1-WEEKDAY($D$1,2)+1)-45523)/7+21,24),Shift!$A$2:$H$25,WEEKDAY($D$1,2)+1),VLOOKUP(24,Shift!$A$2:$H$25,WEEKDAY($D$1,2)+1))</f>
        <v>L</v>
      </c>
      <c r="F61" s="98">
        <f>IF(OR($E61="L",$E61="L#"),0,"?")</f>
        <v>0</v>
      </c>
      <c r="G61" s="98">
        <f>IF(OR($E61="L",$E61="L#"),0,"?")</f>
        <v>0</v>
      </c>
      <c r="H61" s="98">
        <f>IF(OR($E61="L",$E61="L#"),0,"?")</f>
        <v>0</v>
      </c>
      <c r="I61" s="99">
        <f t="shared" ref="I61:I72" si="7">IF(OR($E61="L",$E61="L#"),0,SUM($F61:$H61))</f>
        <v>0</v>
      </c>
      <c r="J61" s="136" t="s">
        <v>86</v>
      </c>
      <c r="K61" s="112" t="str">
        <f>IF(AND($F61&gt;1,$F61&lt;&gt;"?"),$F61-1,"")</f>
        <v/>
      </c>
      <c r="L61" s="112" t="str">
        <f>IF(AND($G61&gt;1,$G61&lt;&gt;"?"),$G61-1,"")</f>
        <v/>
      </c>
      <c r="N61" s="330"/>
      <c r="P61" s="330"/>
      <c r="Q61" s="330"/>
      <c r="R61" s="330"/>
    </row>
    <row r="62" spans="1:18" s="112" customFormat="1">
      <c r="A62" s="330"/>
      <c r="B62" s="330"/>
      <c r="C62" s="330"/>
      <c r="D62" s="100" t="s">
        <v>85</v>
      </c>
      <c r="E62" s="101" t="str">
        <f>_xlfn.IFNA(VLOOKUP(MOD((($D$1-WEEKDAY($D$1,2)+1)-45523)/7+3,24),Shift!$A$2:$H$25,WEEKDAY($D$1,2)+1),VLOOKUP(24,Shift!$A$2:$H$25,WEEKDAY($D$1,2)+1))</f>
        <v>L</v>
      </c>
      <c r="F62" s="101">
        <f t="shared" ref="F62:H72" si="8">IF(OR($E62="L",$E62="L#"),0,"?")</f>
        <v>0</v>
      </c>
      <c r="G62" s="101">
        <f t="shared" si="8"/>
        <v>0</v>
      </c>
      <c r="H62" s="101">
        <f t="shared" si="8"/>
        <v>0</v>
      </c>
      <c r="I62" s="102">
        <f t="shared" si="7"/>
        <v>0</v>
      </c>
      <c r="J62" s="137" t="s">
        <v>85</v>
      </c>
      <c r="K62" s="112" t="str">
        <f t="shared" ref="K62:K72" si="9">IF(AND($F62&gt;1,$F62&lt;&gt;"?"),$F62-1,"")</f>
        <v/>
      </c>
      <c r="L62" s="112" t="str">
        <f t="shared" ref="L62:L72" si="10">IF(AND($G62&gt;1,$G62&lt;&gt;"?"),$G62-1,"")</f>
        <v/>
      </c>
      <c r="N62" s="330"/>
      <c r="P62" s="330"/>
      <c r="Q62" s="330"/>
      <c r="R62" s="330"/>
    </row>
    <row r="63" spans="1:18" s="112" customFormat="1">
      <c r="A63" s="330"/>
      <c r="B63" s="330"/>
      <c r="C63" s="330"/>
      <c r="D63" s="100" t="s">
        <v>99</v>
      </c>
      <c r="E63" s="101" t="str">
        <f>_xlfn.IFNA(VLOOKUP(MOD((($D$1-WEEKDAY($D$1,2)+1)-45523)/7+9,24),Shift!$A$2:$H$25,WEEKDAY($D$1,2)+1),VLOOKUP(24,Shift!$A$2:$H$25,WEEKDAY($D$1,2)+1))</f>
        <v>L</v>
      </c>
      <c r="F63" s="101">
        <f t="shared" si="8"/>
        <v>0</v>
      </c>
      <c r="G63" s="101">
        <f t="shared" si="8"/>
        <v>0</v>
      </c>
      <c r="H63" s="101">
        <f t="shared" si="8"/>
        <v>0</v>
      </c>
      <c r="I63" s="102">
        <f t="shared" si="7"/>
        <v>0</v>
      </c>
      <c r="J63" s="137" t="s">
        <v>99</v>
      </c>
      <c r="K63" s="112" t="str">
        <f t="shared" si="9"/>
        <v/>
      </c>
      <c r="L63" s="112" t="str">
        <f t="shared" si="10"/>
        <v/>
      </c>
      <c r="N63" s="330"/>
      <c r="P63" s="330"/>
      <c r="Q63" s="330"/>
      <c r="R63" s="330"/>
    </row>
    <row r="64" spans="1:18" ht="16.5" thickBot="1">
      <c r="D64" s="103" t="s">
        <v>100</v>
      </c>
      <c r="E64" s="104" t="str">
        <f>_xlfn.IFNA(VLOOKUP(MOD((($D$1-WEEKDAY($D$1,2)+1)-45523)/7+15,24),Shift!$A$2:$H$25,WEEKDAY($D$1,2)+1),VLOOKUP(24,Shift!$A$2:$H$25,WEEKDAY($D$1,2)+1))</f>
        <v>A</v>
      </c>
      <c r="F64" s="104" t="str">
        <f t="shared" si="8"/>
        <v>?</v>
      </c>
      <c r="G64" s="104" t="str">
        <f t="shared" si="8"/>
        <v>?</v>
      </c>
      <c r="H64" s="104" t="str">
        <f t="shared" si="8"/>
        <v>?</v>
      </c>
      <c r="I64" s="105">
        <f t="shared" si="7"/>
        <v>0</v>
      </c>
      <c r="J64" s="138" t="s">
        <v>100</v>
      </c>
      <c r="K64" s="112" t="str">
        <f t="shared" si="9"/>
        <v/>
      </c>
      <c r="L64" s="112" t="str">
        <f t="shared" si="10"/>
        <v/>
      </c>
      <c r="M64" s="112"/>
    </row>
    <row r="65" spans="4:13">
      <c r="D65" s="97" t="s">
        <v>101</v>
      </c>
      <c r="E65" s="98" t="str">
        <f>_xlfn.IFNA(VLOOKUP(MOD((($D$1-WEEKDAY($D$1,2)+1)-45523)/7+19,24),Shift!$A$2:$H$25,WEEKDAY($D$1,2)+1),VLOOKUP(24,Shift!$A$2:$H$25,WEEKDAY($D$1,2)+1))</f>
        <v>P1</v>
      </c>
      <c r="F65" s="98" t="str">
        <f t="shared" si="8"/>
        <v>?</v>
      </c>
      <c r="G65" s="98" t="str">
        <f t="shared" si="8"/>
        <v>?</v>
      </c>
      <c r="H65" s="98" t="str">
        <f t="shared" si="8"/>
        <v>?</v>
      </c>
      <c r="I65" s="99">
        <f t="shared" si="7"/>
        <v>0</v>
      </c>
      <c r="J65" s="136" t="s">
        <v>101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100" t="s">
        <v>102</v>
      </c>
      <c r="E66" s="101" t="str">
        <f>_xlfn.IFNA(VLOOKUP(MOD((($D$1-WEEKDAY($D$1,2)+1)-45523)/7+1,24),Shift!$A$2:$H$25,WEEKDAY($D$1,2)+1),VLOOKUP(24,Shift!$A$2:$H$25,WEEKDAY($D$1,2)+1))</f>
        <v>P4</v>
      </c>
      <c r="F66" s="101" t="str">
        <f t="shared" si="8"/>
        <v>?</v>
      </c>
      <c r="G66" s="101" t="str">
        <f t="shared" si="8"/>
        <v>?</v>
      </c>
      <c r="H66" s="101" t="str">
        <f t="shared" si="8"/>
        <v>?</v>
      </c>
      <c r="I66" s="102">
        <f t="shared" si="7"/>
        <v>0</v>
      </c>
      <c r="J66" s="137" t="s">
        <v>102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103</v>
      </c>
      <c r="E67" s="101" t="str">
        <f>_xlfn.IFNA(VLOOKUP(MOD((($D$1-WEEKDAY($D$1,2)+1)-45523)/7+7,24),Shift!$A$2:$H$25,WEEKDAY($D$1,2)+1),VLOOKUP(24,Shift!$A$2:$H$25,WEEKDAY($D$1,2)+1))</f>
        <v>P1 @</v>
      </c>
      <c r="F67" s="101" t="str">
        <f t="shared" si="8"/>
        <v>?</v>
      </c>
      <c r="G67" s="101" t="str">
        <f t="shared" si="8"/>
        <v>?</v>
      </c>
      <c r="H67" s="101" t="str">
        <f t="shared" si="8"/>
        <v>?</v>
      </c>
      <c r="I67" s="102">
        <f t="shared" si="7"/>
        <v>0</v>
      </c>
      <c r="J67" s="137" t="s">
        <v>103</v>
      </c>
      <c r="K67" s="112" t="str">
        <f t="shared" si="9"/>
        <v/>
      </c>
      <c r="L67" s="112" t="str">
        <f t="shared" si="10"/>
        <v/>
      </c>
      <c r="M67" s="112"/>
    </row>
    <row r="68" spans="4:13" ht="16.5" thickBot="1">
      <c r="D68" s="103" t="s">
        <v>104</v>
      </c>
      <c r="E68" s="104" t="str">
        <f>_xlfn.IFNA(VLOOKUP(MOD((($D$1-WEEKDAY($D$1,2)+1)-45523)/7+13,24),Shift!$A$2:$H$25,WEEKDAY($D$1,2)+1),VLOOKUP(24,Shift!$A$2:$H$25,WEEKDAY($D$1,2)+1))</f>
        <v>P1</v>
      </c>
      <c r="F68" s="104" t="str">
        <f t="shared" si="8"/>
        <v>?</v>
      </c>
      <c r="G68" s="104" t="str">
        <f t="shared" si="8"/>
        <v>?</v>
      </c>
      <c r="H68" s="104" t="str">
        <f t="shared" si="8"/>
        <v>?</v>
      </c>
      <c r="I68" s="105">
        <f t="shared" si="7"/>
        <v>0</v>
      </c>
      <c r="J68" s="138" t="s">
        <v>104</v>
      </c>
      <c r="K68" s="112" t="str">
        <f t="shared" si="9"/>
        <v/>
      </c>
      <c r="L68" s="112" t="str">
        <f t="shared" si="10"/>
        <v/>
      </c>
      <c r="M68" s="112"/>
    </row>
    <row r="69" spans="4:13">
      <c r="D69" s="97" t="s">
        <v>105</v>
      </c>
      <c r="E69" s="98" t="str">
        <f>_xlfn.IFNA(VLOOKUP(MOD((($D$1-WEEKDAY($D$1,2)+1)-45523)/7+17,24),Shift!$A$2:$H$25,WEEKDAY($D$1,2)+1),VLOOKUP(24,Shift!$A$2:$H$25,WEEKDAY($D$1,2)+1))</f>
        <v>M @</v>
      </c>
      <c r="F69" s="98" t="str">
        <f t="shared" si="8"/>
        <v>?</v>
      </c>
      <c r="G69" s="98" t="str">
        <f t="shared" si="8"/>
        <v>?</v>
      </c>
      <c r="H69" s="98" t="str">
        <f t="shared" si="8"/>
        <v>?</v>
      </c>
      <c r="I69" s="99">
        <f t="shared" si="7"/>
        <v>0</v>
      </c>
      <c r="J69" s="136" t="s">
        <v>105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100" t="s">
        <v>106</v>
      </c>
      <c r="E70" s="101" t="str">
        <f>_xlfn.IFNA(VLOOKUP(MOD((($D$1-WEEKDAY($D$1,2)+1)-45523)/7+23,24),Shift!$A$2:$H$25,WEEKDAY($D$1,2)+1),VLOOKUP(24,Shift!$A$2:$H$25,WEEKDAY($D$1,2)+1))</f>
        <v>M</v>
      </c>
      <c r="F70" s="101" t="str">
        <f t="shared" si="8"/>
        <v>?</v>
      </c>
      <c r="G70" s="101" t="str">
        <f t="shared" si="8"/>
        <v>?</v>
      </c>
      <c r="H70" s="101" t="str">
        <f t="shared" si="8"/>
        <v>?</v>
      </c>
      <c r="I70" s="102">
        <f t="shared" si="7"/>
        <v>0</v>
      </c>
      <c r="J70" s="137" t="s">
        <v>106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107</v>
      </c>
      <c r="E71" s="101" t="str">
        <f>_xlfn.IFNA(VLOOKUP(MOD((($D$1-WEEKDAY($D$1,2)+1)-45523)/7+5,24),Shift!$A$2:$H$25,WEEKDAY($D$1,2)+1),VLOOKUP(24,Shift!$A$2:$H$25,WEEKDAY($D$1,2)+1))</f>
        <v>G1</v>
      </c>
      <c r="F71" s="101" t="str">
        <f t="shared" si="8"/>
        <v>?</v>
      </c>
      <c r="G71" s="101" t="str">
        <f t="shared" si="8"/>
        <v>?</v>
      </c>
      <c r="H71" s="101" t="str">
        <f t="shared" si="8"/>
        <v>?</v>
      </c>
      <c r="I71" s="102">
        <f t="shared" si="7"/>
        <v>0</v>
      </c>
      <c r="J71" s="137" t="s">
        <v>107</v>
      </c>
      <c r="K71" s="112" t="str">
        <f t="shared" si="9"/>
        <v/>
      </c>
      <c r="L71" s="112" t="str">
        <f t="shared" si="10"/>
        <v/>
      </c>
      <c r="M71" s="112"/>
    </row>
    <row r="72" spans="4:13" ht="16.5" thickBot="1">
      <c r="D72" s="103" t="s">
        <v>108</v>
      </c>
      <c r="E72" s="104" t="str">
        <f>_xlfn.IFNA(VLOOKUP(MOD((($D$1-WEEKDAY($D$1,2)+1)-45523)/7+11,24),Shift!$A$2:$H$25,WEEKDAY($D$1,2)+1),VLOOKUP(24,Shift!$A$2:$H$25,WEEKDAY($D$1,2)+1))</f>
        <v>M1</v>
      </c>
      <c r="F72" s="104" t="str">
        <f t="shared" si="8"/>
        <v>?</v>
      </c>
      <c r="G72" s="104" t="str">
        <f t="shared" si="8"/>
        <v>?</v>
      </c>
      <c r="H72" s="104" t="str">
        <f t="shared" si="8"/>
        <v>?</v>
      </c>
      <c r="I72" s="105">
        <f t="shared" si="7"/>
        <v>0</v>
      </c>
      <c r="J72" s="138" t="s">
        <v>108</v>
      </c>
      <c r="K72" s="112" t="str">
        <f t="shared" si="9"/>
        <v/>
      </c>
      <c r="L72" s="112" t="str">
        <f t="shared" si="10"/>
        <v/>
      </c>
      <c r="M72" s="112"/>
    </row>
    <row r="73" spans="4:13">
      <c r="D73" s="144" t="s">
        <v>86</v>
      </c>
      <c r="E73" s="98" t="s">
        <v>127</v>
      </c>
      <c r="F73" s="98"/>
      <c r="G73" s="98"/>
      <c r="H73" s="98"/>
      <c r="I73" s="99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330"/>
    </row>
    <row r="76" spans="4:13" ht="16.5" thickBot="1">
      <c r="D76" s="146" t="s">
        <v>137</v>
      </c>
      <c r="E76" s="104" t="s">
        <v>127</v>
      </c>
      <c r="F76" s="106"/>
      <c r="G76" s="106"/>
      <c r="H76" s="106"/>
      <c r="I76" s="105">
        <f>IF(OR($E76="L",$E76="L#",$E76="?"),0,SUM($F76:$H76))</f>
        <v>0</v>
      </c>
      <c r="J76" s="330"/>
    </row>
    <row r="77" spans="4:13">
      <c r="D77" s="330"/>
      <c r="E77" s="96" t="s">
        <v>98</v>
      </c>
      <c r="F77" s="96" t="str">
        <f>SUM($F$61:$F$76)&amp;IF(SUM($F$61:$H$76)&gt;$I$77,"?","")</f>
        <v>0</v>
      </c>
      <c r="G77" s="96" t="str">
        <f>SUM($G$61:$G$76)&amp;IF(SUM($F$61:$H$76)&gt;$I$77,"?","")</f>
        <v>0</v>
      </c>
      <c r="H77" s="96" t="str">
        <f>SUM($H$61:$H$76)&amp;IF(SUM($F$61:$H$76)&gt;$I$77,"?","")</f>
        <v>0</v>
      </c>
      <c r="I77" s="96">
        <f>SUM(I61:I76)</f>
        <v>0</v>
      </c>
      <c r="J77" s="330"/>
    </row>
    <row r="78" spans="4:13">
      <c r="D78" s="330"/>
      <c r="E78" s="330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330"/>
      <c r="J78" s="330"/>
    </row>
    <row r="80" spans="4:13">
      <c r="D80" s="410" t="s">
        <v>281</v>
      </c>
      <c r="E80" s="410"/>
      <c r="F80" s="410"/>
    </row>
    <row r="81" spans="4:6">
      <c r="D81" s="49" t="str">
        <f>IF(Flight!$A$68=0,"",Flight!$A$68)</f>
        <v/>
      </c>
      <c r="E81" s="163"/>
      <c r="F81" s="164" t="str">
        <f>IF(D81="","",VLOOKUP(D81,Flight!$A$68:$C$91,3,FALSE))</f>
        <v/>
      </c>
    </row>
    <row r="82" spans="4:6">
      <c r="D82" s="49" t="str">
        <f>IF(Flight!$A69=0,"",Flight!$A69)</f>
        <v/>
      </c>
      <c r="F82" s="164" t="str">
        <f>IF(D82="","",VLOOKUP(D82,Flight!$A$68:$C$91,3,FALSE))</f>
        <v/>
      </c>
    </row>
    <row r="83" spans="4:6">
      <c r="D83" s="49" t="str">
        <f>IF(Flight!$A71=0,"",Flight!$A71)</f>
        <v>3A031</v>
      </c>
      <c r="F83" s="164" t="str">
        <f>IF(D83="","",VLOOKUP(D83,Flight!$A$68:$C$91,3,FALSE))</f>
        <v>ZTI</v>
      </c>
    </row>
    <row r="84" spans="4:6">
      <c r="D84" s="49" t="str">
        <f>IF(Flight!$A72=0,"",Flight!$A72)</f>
        <v>3A003</v>
      </c>
      <c r="F84" s="164" t="str">
        <f>IF(D84="","",VLOOKUP(D84,Flight!$A$68:$C$91,3,FALSE))</f>
        <v>ZYK</v>
      </c>
    </row>
    <row r="85" spans="4:6">
      <c r="D85" s="49" t="str">
        <f>IF(Flight!$A73=0,"",Flight!$A73)</f>
        <v>3A005</v>
      </c>
      <c r="F85" s="164" t="str">
        <f>IF(D85="","",VLOOKUP(D85,Flight!$A$68:$C$91,3,FALSE))</f>
        <v>HKM</v>
      </c>
    </row>
    <row r="86" spans="4:6">
      <c r="D86" s="49" t="str">
        <f>IF(Flight!$A74=0,"",Flight!$A74)</f>
        <v>3A007</v>
      </c>
      <c r="F86" s="164" t="str">
        <f>IF(D86="","",VLOOKUP(D86,Flight!$A$68:$C$91,3,FALSE))</f>
        <v>ZYK</v>
      </c>
    </row>
    <row r="87" spans="4:6">
      <c r="D87" s="49" t="str">
        <f>IF(Flight!$A75=0,"",Flight!$A75)</f>
        <v>3A008</v>
      </c>
      <c r="F87" s="164" t="str">
        <f>IF(D87="","",VLOOKUP(D87,Flight!$A$68:$C$91,3,FALSE))</f>
        <v>ZYK</v>
      </c>
    </row>
    <row r="88" spans="4:6">
      <c r="D88" s="49" t="str">
        <f>IF(Flight!$A76=0,"",Flight!$A76)</f>
        <v>3A009</v>
      </c>
      <c r="F88" s="164" t="str">
        <f>IF(D88="","",VLOOKUP(D88,Flight!$A$68:$C$91,3,FALSE))</f>
        <v>ZYK</v>
      </c>
    </row>
    <row r="89" spans="4:6">
      <c r="D89" s="49" t="str">
        <f>IF(Flight!$A77=0,"",Flight!$A77)</f>
        <v>3A010</v>
      </c>
      <c r="F89" s="164" t="str">
        <f>IF(D89="","",VLOOKUP(D89,Flight!$A$68:$C$91,3,FALSE))</f>
        <v>ZYK</v>
      </c>
    </row>
    <row r="90" spans="4:6">
      <c r="D90" s="49" t="str">
        <f>IF(Flight!$A78=0,"",Flight!$A78)</f>
        <v/>
      </c>
      <c r="F90" s="164" t="str">
        <f>IF(D90="","",VLOOKUP(D90,Flight!$A$68:$C$91,3,FALSE))</f>
        <v/>
      </c>
    </row>
    <row r="91" spans="4:6">
      <c r="D91" s="49" t="str">
        <f>IF(Flight!$A80=0,"",Flight!$A80)</f>
        <v>8S7121</v>
      </c>
      <c r="F91" s="164" t="str">
        <f>IF(D91="","",VLOOKUP(D91,Flight!$A$68:$C$91,3,FALSE))</f>
        <v>HKM</v>
      </c>
    </row>
    <row r="92" spans="4:6">
      <c r="D92" s="49" t="str">
        <f>IF(Flight!$A81=0,"",Flight!$A81)</f>
        <v>8S7108</v>
      </c>
      <c r="F92" s="164" t="str">
        <f>IF(D92="","",VLOOKUP(D92,Flight!$A$68:$C$91,3,FALSE))</f>
        <v>ZYK</v>
      </c>
    </row>
    <row r="93" spans="4:6">
      <c r="D93" s="49" t="str">
        <f>IF(Flight!$A82=0,"",Flight!$A82)</f>
        <v>8S7111</v>
      </c>
      <c r="F93" s="164" t="str">
        <f>IF(D93="","",VLOOKUP(D93,Flight!$A$68:$C$91,3,FALSE))</f>
        <v>ZYK</v>
      </c>
    </row>
    <row r="94" spans="4:6">
      <c r="D94" s="49" t="str">
        <f>IF(Flight!$A83=0,"",Flight!$A83)</f>
        <v>8S7131</v>
      </c>
      <c r="F94" s="164" t="str">
        <f>IF(D94="","",VLOOKUP(D94,Flight!$A$68:$C$91,3,FALSE))</f>
        <v>?</v>
      </c>
    </row>
    <row r="95" spans="4:6">
      <c r="D95" s="49" t="str">
        <f>IF(Flight!$A84=0,"",Flight!$A84)</f>
        <v>8S7119</v>
      </c>
      <c r="F95" s="164" t="str">
        <f>IF(D95="","",VLOOKUP(D95,Flight!$A$68:$C$91,3,FALSE))</f>
        <v>HKM</v>
      </c>
    </row>
    <row r="96" spans="4:6">
      <c r="D96" s="49" t="str">
        <f>IF(Flight!$A85=0,"",Flight!$A85)</f>
        <v>8S7126</v>
      </c>
      <c r="F96" s="164" t="str">
        <f>IF(D96="","",VLOOKUP(D96,Flight!$A$68:$C$91,3,FALSE))</f>
        <v>HKM</v>
      </c>
    </row>
    <row r="97" spans="4:6">
      <c r="D97" s="49" t="str">
        <f>IF(Flight!$A86=0,"",Flight!$A86)</f>
        <v>8S7128</v>
      </c>
      <c r="F97" s="164" t="str">
        <f>IF(D97="","",VLOOKUP(D97,Flight!$A$68:$C$91,3,FALSE))</f>
        <v>HKM</v>
      </c>
    </row>
    <row r="98" spans="4:6">
      <c r="D98" s="49" t="str">
        <f>IF(Flight!$A87=0,"",Flight!$A87)</f>
        <v>3A8010</v>
      </c>
      <c r="F98" s="164" t="str">
        <f>IF(D98="","",VLOOKUP(D98,Flight!$A$68:$C$91,3,FALSE))</f>
        <v>HZI</v>
      </c>
    </row>
    <row r="99" spans="4:6">
      <c r="D99" s="49" t="str">
        <f>IF(Flight!$A88=0,"",Flight!$A88)</f>
        <v>3A8015</v>
      </c>
      <c r="F99" s="164" t="str">
        <f>IF(D99="","",VLOOKUP(D99,Flight!$A$68:$C$91,3,FALSE))</f>
        <v>?</v>
      </c>
    </row>
    <row r="100" spans="4:6">
      <c r="D100" s="49" t="str">
        <f>IF(Flight!$A89=0,"",Flight!$A89)</f>
        <v>3A8016</v>
      </c>
      <c r="F100" s="164" t="str">
        <f>IF(D100="","",VLOOKUP(D100,Flight!$A$68:$C$91,3,FALSE))</f>
        <v>HZI</v>
      </c>
    </row>
    <row r="101" spans="4:6">
      <c r="D101" s="49" t="str">
        <f>IF(Flight!$A91=0,"",Flight!$A91)</f>
        <v xml:space="preserve">Last </v>
      </c>
      <c r="F101" s="164" t="str">
        <f>IF(D101="","",VLOOKUP(D101,Flight!$A$68:$C$91,3,FALSE))</f>
        <v>↑</v>
      </c>
    </row>
    <row r="102" spans="4:6">
      <c r="D102" s="49" t="str">
        <f>IF(Flight!$A92=0,"",Flight!$A92)</f>
        <v/>
      </c>
      <c r="F102" s="164" t="str">
        <f>IF(D102="","",VLOOKUP(D102,Flight!$A$68:$C$91,3,FALSE))</f>
        <v/>
      </c>
    </row>
    <row r="103" spans="4:6">
      <c r="D103" s="186"/>
      <c r="F103" s="187"/>
    </row>
    <row r="104" spans="4:6">
      <c r="D104" s="406" t="str">
        <f>IF(Flight!$A$93=0,"",Flight!$A$93)</f>
        <v>Target Flight</v>
      </c>
      <c r="E104" s="406"/>
      <c r="F104" s="406"/>
    </row>
    <row r="105" spans="4:6">
      <c r="D105" s="27" t="s">
        <v>59</v>
      </c>
      <c r="E105" s="158"/>
      <c r="F105" s="10" t="s">
        <v>38</v>
      </c>
    </row>
    <row r="106" spans="4:6">
      <c r="D106" s="27" t="s">
        <v>89</v>
      </c>
      <c r="E106" s="158"/>
      <c r="F106" s="10" t="s">
        <v>38</v>
      </c>
    </row>
    <row r="107" spans="4:6">
      <c r="D107" s="27" t="s">
        <v>254</v>
      </c>
      <c r="E107" s="158"/>
      <c r="F107" s="10" t="s">
        <v>38</v>
      </c>
    </row>
    <row r="108" spans="4:6">
      <c r="D108" s="27" t="s">
        <v>57</v>
      </c>
      <c r="E108" s="158"/>
      <c r="F108" s="10" t="s">
        <v>58</v>
      </c>
    </row>
    <row r="109" spans="4:6">
      <c r="D109" s="27" t="s">
        <v>198</v>
      </c>
      <c r="E109" s="158"/>
      <c r="F109" s="10" t="s">
        <v>199</v>
      </c>
    </row>
    <row r="110" spans="4:6">
      <c r="D110" s="27" t="s">
        <v>55</v>
      </c>
      <c r="E110" s="158"/>
      <c r="F110" s="10" t="s">
        <v>54</v>
      </c>
    </row>
    <row r="111" spans="4:6">
      <c r="D111" s="27" t="s">
        <v>39</v>
      </c>
      <c r="E111" s="158"/>
      <c r="F111" s="10" t="s">
        <v>38</v>
      </c>
    </row>
    <row r="112" spans="4:6">
      <c r="D112" s="27" t="s">
        <v>200</v>
      </c>
      <c r="E112" s="158"/>
      <c r="F112" s="10" t="s">
        <v>54</v>
      </c>
    </row>
    <row r="113" spans="4:6">
      <c r="D113" s="27" t="s">
        <v>201</v>
      </c>
      <c r="E113" s="158"/>
      <c r="F113" s="10" t="s">
        <v>38</v>
      </c>
    </row>
    <row r="114" spans="4:6">
      <c r="D114" s="161"/>
      <c r="E114" s="158"/>
      <c r="F114" s="159"/>
    </row>
    <row r="115" spans="4:6">
      <c r="D115" s="161"/>
      <c r="E115" s="158"/>
      <c r="F115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6:E46"/>
    <mergeCell ref="G46:H46"/>
    <mergeCell ref="I46:J46"/>
    <mergeCell ref="K45:M45"/>
    <mergeCell ref="H6:H7"/>
    <mergeCell ref="I6:I7"/>
    <mergeCell ref="J6:J7"/>
    <mergeCell ref="K6:M6"/>
    <mergeCell ref="A42:F42"/>
    <mergeCell ref="I42:M43"/>
    <mergeCell ref="A43:H43"/>
    <mergeCell ref="A6:A7"/>
    <mergeCell ref="B6:C6"/>
    <mergeCell ref="D6:D7"/>
    <mergeCell ref="E6:E7"/>
    <mergeCell ref="F6:F7"/>
    <mergeCell ref="A44:H44"/>
    <mergeCell ref="A45:B45"/>
    <mergeCell ref="D45:E45"/>
    <mergeCell ref="G45:H45"/>
    <mergeCell ref="I45:J45"/>
    <mergeCell ref="K46:M46"/>
    <mergeCell ref="A51:B51"/>
    <mergeCell ref="C51:E51"/>
    <mergeCell ref="F51:I51"/>
    <mergeCell ref="K51:M51"/>
    <mergeCell ref="A48:B48"/>
    <mergeCell ref="C48:E48"/>
    <mergeCell ref="G48:I48"/>
    <mergeCell ref="K48:M48"/>
    <mergeCell ref="C49:E49"/>
    <mergeCell ref="G49:I49"/>
    <mergeCell ref="K49:M49"/>
    <mergeCell ref="D47:E47"/>
    <mergeCell ref="G47:H47"/>
    <mergeCell ref="I47:J47"/>
    <mergeCell ref="A46:B46"/>
    <mergeCell ref="D53:E53"/>
    <mergeCell ref="F53:G53"/>
    <mergeCell ref="H53:I53"/>
    <mergeCell ref="D50:I50"/>
    <mergeCell ref="K50:M50"/>
    <mergeCell ref="A52:B52"/>
    <mergeCell ref="C52:E52"/>
    <mergeCell ref="F52:G52"/>
    <mergeCell ref="H52:I52"/>
    <mergeCell ref="K52:M52"/>
    <mergeCell ref="D104:F104"/>
    <mergeCell ref="A54:B54"/>
    <mergeCell ref="C54:E54"/>
    <mergeCell ref="H54:I54"/>
    <mergeCell ref="C55:H55"/>
    <mergeCell ref="I56:J56"/>
    <mergeCell ref="D80:F80"/>
  </mergeCells>
  <phoneticPr fontId="2" type="noConversion"/>
  <conditionalFormatting sqref="H8:H41 E8:E41">
    <cfRule type="cellIs" dxfId="38" priority="2" operator="equal">
      <formula>""</formula>
    </cfRule>
  </conditionalFormatting>
  <conditionalFormatting sqref="F61:H78">
    <cfRule type="cellIs" dxfId="37" priority="1" operator="equal">
      <formula>"?"</formula>
    </cfRule>
  </conditionalFormatting>
  <conditionalFormatting sqref="D8:D998">
    <cfRule type="duplicateValues" dxfId="36" priority="245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D46:E46</xm:sqref>
        </x14:dataValidation>
        <x14:dataValidation type="list" allowBlank="1" showInputMessage="1">
          <x14:formula1>
            <xm:f>Staff!$B$15:$B$39</xm:f>
          </x14:formula1>
          <xm:sqref>D45:E45</xm:sqref>
        </x14:dataValidation>
        <x14:dataValidation type="list" allowBlank="1" showInputMessage="1">
          <x14:formula1>
            <xm:f>Staff!$G$23:$G$52</xm:f>
          </x14:formula1>
          <xm:sqref>K48:M52</xm:sqref>
        </x14:dataValidation>
        <x14:dataValidation type="list" allowBlank="1" showInputMessage="1">
          <x14:formula1>
            <xm:f>Staff!$G$12:$G$52</xm:f>
          </x14:formula1>
          <xm:sqref>G48:I49</xm:sqref>
        </x14:dataValidation>
        <x14:dataValidation type="list" allowBlank="1" showInputMessage="1">
          <x14:formula1>
            <xm:f>Staff!$G$2:$G$9</xm:f>
          </x14:formula1>
          <xm:sqref>K45:M46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zoomScale="90" zoomScaleNormal="100" zoomScaleSheetLayoutView="90" workbookViewId="0">
      <selection activeCell="D33" sqref="D33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45770</v>
      </c>
      <c r="E1" s="355"/>
      <c r="F1" s="333" t="s">
        <v>23</v>
      </c>
      <c r="G1" s="110">
        <f>D1</f>
        <v>45770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S6(0)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S9(0)  &lt;S10(0)&gt;  S11(0)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 xml:space="preserve">S1(0) S2(0) 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S12(0)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S5(0)  &lt;S8(0)&gt; 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S7(0)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1" si="0">IF($E8&lt;&gt;"",IF($E8-715&lt;0,VLOOKUP($B$3,$E$62:$J$73,6,FALSE),IF(AND($E8-2130&gt;0,_xlfn.IFNA(MATCH($D8,$D$106:$D$116,0)&lt;20,"")=TRUE),VLOOKUP($L$3,$E$62:$J$73,6,FALSE),"-")),"")</f>
        <v>S6</v>
      </c>
      <c r="C8" s="9" t="str">
        <f t="shared" ref="C8:C41" si="1">IF($E8&lt;&gt;"",IF(ISNUMBER(SEARCH("Hall Operation",$K8)),"-",IF($E8-715&lt;0,VLOOKUP($B$3,$E$62:$J$73,6,FALSE),IF($E8-2129&gt;0,VLOOKUP($L$3,$E$62:$J$73,6,FALSE),""))),"")</f>
        <v>-</v>
      </c>
      <c r="D8" s="165" t="s">
        <v>396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1" si="2">IF($D8=0,"",IF(OR(ISNUMBER(SEARCH("S",$B8)),_xlfn.IFNA(MATCH($D8,$D$106:$D$116,0)&lt;20,"")=TRUE),"&lt;   Hall Operation   &gt;",""))</f>
        <v>&lt;   Hall Operation   &gt;</v>
      </c>
      <c r="L8" s="166"/>
      <c r="M8" s="166"/>
      <c r="N8" s="173"/>
    </row>
    <row r="9" spans="1:16" s="346" customFormat="1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S6</v>
      </c>
      <c r="C9" s="9" t="str">
        <f t="shared" si="1"/>
        <v>-</v>
      </c>
      <c r="D9" s="165" t="s">
        <v>986</v>
      </c>
      <c r="E9" s="172" t="s">
        <v>987</v>
      </c>
      <c r="F9" s="43"/>
      <c r="G9" s="43" t="str">
        <f>IF(A9="@",IF(H9="ZYK","Berth 3",IF(H9="HKM","Bay 7","")),"")</f>
        <v/>
      </c>
      <c r="H9" s="44" t="s">
        <v>988</v>
      </c>
      <c r="I9" s="44"/>
      <c r="J9" s="44"/>
      <c r="K9" s="166" t="str">
        <f t="shared" si="2"/>
        <v>&lt;   Hall Operation   &gt;</v>
      </c>
      <c r="L9" s="166"/>
      <c r="M9" s="166"/>
      <c r="N9" s="173"/>
      <c r="O9" s="112"/>
    </row>
    <row r="10" spans="1:16" ht="16.5" customHeight="1">
      <c r="A10" s="9">
        <f>IF($A7="S/N",1,IF($F10="Wavied","-",IF($D10=0,"",ROW($A10)-ROW($A$7)-COUNTIF($A$7:$A$8,"@")-COUNTIF($A$7:$A$8,"-"))))</f>
        <v>3</v>
      </c>
      <c r="B10" s="9" t="str">
        <f t="shared" si="0"/>
        <v>S6</v>
      </c>
      <c r="C10" s="9" t="str">
        <f t="shared" si="1"/>
        <v>-</v>
      </c>
      <c r="D10" s="27" t="s">
        <v>367</v>
      </c>
      <c r="E10" s="172" t="str">
        <f>IF($D10&gt;0,VLOOKUP($D10,Flight!$A$1:$E$91,2,FALSE),"")</f>
        <v>0545</v>
      </c>
      <c r="F10" s="45"/>
      <c r="G10" s="43" t="str">
        <f t="shared" ref="G10:G42" si="3">IF(A10="@",IF(H10="ZYK","Berth 3",IF(H10="HKM","Bay 7","")),"")</f>
        <v/>
      </c>
      <c r="H10" s="44" t="str">
        <f>IF($D10&gt;0,VLOOKUP($D10,Flight!$A$1:$E$91,3,FALSE),"")</f>
        <v>CGK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IF($A8="S/N",1,IF($F11="Wavied","-",IF($D11=0,"",ROW($A11)-ROW($A$7)-COUNTIF($A$7:$A$8,"@")-COUNTIF($A$7:$A$8,"-"))))</f>
        <v>4</v>
      </c>
      <c r="B11" s="9" t="str">
        <f t="shared" si="0"/>
        <v>S6</v>
      </c>
      <c r="C11" s="9" t="str">
        <f t="shared" si="1"/>
        <v>-</v>
      </c>
      <c r="D11" s="27" t="s">
        <v>368</v>
      </c>
      <c r="E11" s="172" t="str">
        <f>IF($D11&gt;0,VLOOKUP($D11,Flight!$A$1:$E$91,2,FALSE),"")</f>
        <v>0555</v>
      </c>
      <c r="F11" s="45"/>
      <c r="G11" s="43" t="str">
        <f t="shared" si="3"/>
        <v/>
      </c>
      <c r="H11" s="44" t="str">
        <f>IF($D11&gt;0,VLOOKUP($D11,Flight!$A$1:$E$91,3,FALSE),"")</f>
        <v>BKK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ref="A12:A42" si="4">IF($A10="S/N",1,IF($F12="Wavied","-",IF($D12=0,"",ROW($A12)-ROW($A$7)-COUNTIF($A$7:$A$8,"@")-COUNTIF($A$7:$A$8,"-"))))</f>
        <v>5</v>
      </c>
      <c r="B12" s="9" t="str">
        <f t="shared" si="0"/>
        <v>S6</v>
      </c>
      <c r="C12" s="9" t="str">
        <f t="shared" si="1"/>
        <v>-</v>
      </c>
      <c r="D12" s="27" t="s">
        <v>899</v>
      </c>
      <c r="E12" s="172" t="str">
        <f>IF($D12&gt;0,VLOOKUP($D12,Flight!$A$1:$E$91,2,FALSE),"")</f>
        <v>0615</v>
      </c>
      <c r="F12" s="43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 s="346" customFormat="1">
      <c r="A13" s="9">
        <f t="shared" si="4"/>
        <v>6</v>
      </c>
      <c r="B13" s="9" t="str">
        <f t="shared" si="0"/>
        <v>S6</v>
      </c>
      <c r="C13" s="9" t="str">
        <f t="shared" si="1"/>
        <v>-</v>
      </c>
      <c r="D13" s="27" t="s">
        <v>989</v>
      </c>
      <c r="E13" s="172" t="s">
        <v>990</v>
      </c>
      <c r="F13" s="43"/>
      <c r="G13" s="43"/>
      <c r="H13" s="44" t="s">
        <v>988</v>
      </c>
      <c r="I13" s="44"/>
      <c r="J13" s="44"/>
      <c r="K13" s="166" t="str">
        <f t="shared" si="2"/>
        <v>&lt;   Hall Operation   &gt;</v>
      </c>
      <c r="L13" s="166"/>
      <c r="M13" s="166"/>
      <c r="O13" s="112"/>
    </row>
    <row r="14" spans="1:16">
      <c r="A14" s="9">
        <f>IF($A11="S/N",1,IF($F14="Wavied","-",IF($D14=0,"",ROW($A14)-ROW($A$7)-COUNTIF($A$7:$A$8,"@")-COUNTIF($A$7:$A$8,"-"))))</f>
        <v>7</v>
      </c>
      <c r="B14" s="9" t="str">
        <f t="shared" si="0"/>
        <v>S6</v>
      </c>
      <c r="C14" s="9" t="str">
        <f t="shared" si="1"/>
        <v>-</v>
      </c>
      <c r="D14" s="27" t="s">
        <v>365</v>
      </c>
      <c r="E14" s="172" t="str">
        <f>IF($D14&gt;0,VLOOKUP($D14,Flight!$A$1:$E$91,2,FALSE),"")</f>
        <v>0640</v>
      </c>
      <c r="F14" s="45"/>
      <c r="G14" s="43" t="str">
        <f t="shared" si="3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IF($D14&gt;0,IF(VLOOKUP($D14,Flight!$A$1:$E$91,4,FALSE)&gt;1,VLOOKUP($D14,Flight!$A$1:$E95,4,FALSE),""),"")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>IF($A12="S/N",1,IF($F15="Wavied","-",IF($D15=0,"",ROW($A15)-ROW($A$7)-COUNTIF($A$7:$A$8,"@")-COUNTIF($A$7:$A$8,"-"))))</f>
        <v>8</v>
      </c>
      <c r="B15" s="9" t="str">
        <f t="shared" si="0"/>
        <v>S6</v>
      </c>
      <c r="C15" s="9" t="str">
        <f t="shared" si="1"/>
        <v>-</v>
      </c>
      <c r="D15" s="27" t="s">
        <v>393</v>
      </c>
      <c r="E15" s="172" t="str">
        <f>IF($D15&gt;0,VLOOKUP($D15,Flight!$A$1:$E$91,2,FALSE),"")</f>
        <v>0700</v>
      </c>
      <c r="F15" s="46"/>
      <c r="G15" s="43" t="str">
        <f t="shared" si="3"/>
        <v/>
      </c>
      <c r="H15" s="44" t="str">
        <f>IF($D15&gt;0,VLOOKUP($D15,Flight!$A$1:$E$91,3,FALSE),"")</f>
        <v>BOM</v>
      </c>
      <c r="I15" s="44" t="str">
        <f>IF($D15&gt;0,IF(VLOOKUP($D15,Flight!$A$1:$E$91,4,FALSE)&gt;1,VLOOKUP($D15,Flight!$A$1:$E96,4,FALSE),""),"")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P15" s="87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>-</v>
      </c>
      <c r="D16" s="27" t="s">
        <v>369</v>
      </c>
      <c r="E16" s="172" t="str">
        <f>IF($D16&gt;0,VLOOKUP($D16,Flight!$A$1:$E$91,2,FALSE),"")</f>
        <v>0905</v>
      </c>
      <c r="F16" s="46"/>
      <c r="G16" s="43" t="str">
        <f t="shared" si="3"/>
        <v/>
      </c>
      <c r="H16" s="44" t="str">
        <f>IF($D16&gt;0,VLOOKUP($D16,Flight!$A$1:$E$91,3,FALSE),"")</f>
        <v>DEL</v>
      </c>
      <c r="I16" s="44" t="str">
        <f>IF($D16&gt;0,IF(VLOOKUP($D16,Flight!$A$1:$E$91,4,FALSE)&gt;1,VLOOKUP($D16,Flight!$A$1:$E97,4,FALSE),""),"")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</row>
    <row r="17" spans="1:15">
      <c r="A17" s="9">
        <f t="shared" si="4"/>
        <v>10</v>
      </c>
      <c r="B17" s="9" t="str">
        <f t="shared" si="0"/>
        <v>-</v>
      </c>
      <c r="C17" s="9" t="str">
        <f t="shared" si="1"/>
        <v>-</v>
      </c>
      <c r="D17" s="27" t="s">
        <v>370</v>
      </c>
      <c r="E17" s="172" t="str">
        <f>IF($D17&gt;0,VLOOKUP($D17,Flight!$A$1:$E$91,2,FALSE),"")</f>
        <v>0935</v>
      </c>
      <c r="F17" s="46"/>
      <c r="G17" s="43" t="str">
        <f t="shared" si="3"/>
        <v/>
      </c>
      <c r="H17" s="44" t="str">
        <f>IF($D17&gt;0,VLOOKUP($D17,Flight!$A$1:$E$91,3,FALSE),"")</f>
        <v>BLR</v>
      </c>
      <c r="I17" s="44" t="str">
        <f>IF($D17&gt;0,IF(VLOOKUP($D17,Flight!$A$1:$E$91,4,FALSE)&gt;1,VLOOKUP($D17,Flight!$A$1:$E98,4,FALSE),""),"")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 t="shared" si="4"/>
        <v>11</v>
      </c>
      <c r="B18" s="9" t="str">
        <f t="shared" si="0"/>
        <v>-</v>
      </c>
      <c r="C18" s="9" t="str">
        <f t="shared" si="1"/>
        <v>-</v>
      </c>
      <c r="D18" s="27" t="s">
        <v>394</v>
      </c>
      <c r="E18" s="172" t="str">
        <f>IF($D18&gt;0,VLOOKUP($D18,Flight!$A$1:$E$91,2,FALSE),"")</f>
        <v>0950</v>
      </c>
      <c r="F18" s="45"/>
      <c r="G18" s="43" t="str">
        <f t="shared" si="3"/>
        <v/>
      </c>
      <c r="H18" s="44" t="str">
        <f>IF($D18&gt;0,VLOOKUP($D18,Flight!$A$1:$E$91,3,FALSE),"")</f>
        <v>MAA</v>
      </c>
      <c r="I18" s="44" t="str">
        <f>IF($D18&gt;0,IF(VLOOKUP($D18,Flight!$A$1:$E$91,4,FALSE)&gt;1,VLOOKUP($D18,Flight!$A$1:$E99,4,FALSE),""),"")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>&lt;   Hall Operation   &gt;</v>
      </c>
      <c r="L18" s="166"/>
      <c r="M18" s="166"/>
      <c r="O18" s="114"/>
    </row>
    <row r="19" spans="1:15" ht="16.5" customHeight="1">
      <c r="A19" s="9">
        <f t="shared" si="4"/>
        <v>12</v>
      </c>
      <c r="B19" s="9" t="str">
        <f t="shared" si="0"/>
        <v>-</v>
      </c>
      <c r="C19" s="9" t="str">
        <f t="shared" si="1"/>
        <v>-</v>
      </c>
      <c r="D19" s="27" t="s">
        <v>371</v>
      </c>
      <c r="E19" s="172" t="str">
        <f>IF($D19&gt;0,VLOOKUP($D19,Flight!$A$1:$E$91,2,FALSE),"")</f>
        <v>0955</v>
      </c>
      <c r="F19" s="45"/>
      <c r="G19" s="43" t="str">
        <f t="shared" si="3"/>
        <v/>
      </c>
      <c r="H19" s="44" t="str">
        <f>IF($D19&gt;0,VLOOKUP($D19,Flight!$A$1:$E$91,3,FALSE),"")</f>
        <v>BOM</v>
      </c>
      <c r="I19" s="44" t="str">
        <f>IF($D19&gt;0,IF(VLOOKUP($D19,Flight!$A$1:$E$91,4,FALSE)&gt;1,VLOOKUP($D19,Flight!$A$1:$E100,4,FALSE),""),"")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>&lt;   Hall Operation   &gt;</v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27" t="s">
        <v>372</v>
      </c>
      <c r="E20" s="172" t="str">
        <f>IF($D20&gt;0,VLOOKUP($D20,Flight!$A$1:$E$91,2,FALSE),"")</f>
        <v>1000</v>
      </c>
      <c r="F20" s="45"/>
      <c r="G20" s="43" t="str">
        <f t="shared" si="3"/>
        <v/>
      </c>
      <c r="H20" s="44" t="str">
        <f>IF($D20&gt;0,VLOOKUP($D20,Flight!$A$1:$E$91,3,FALSE),"")</f>
        <v>DMK</v>
      </c>
      <c r="I20" s="44" t="str">
        <f>IF($D20&gt;0,IF(VLOOKUP($D20,Flight!$A$1:$E$91,4,FALSE)&gt;1,VLOOKUP($D20,Flight!$A$1:$E101,4,FALSE),""),"")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27" t="s">
        <v>373</v>
      </c>
      <c r="E21" s="172" t="str">
        <f>IF($D21&gt;0,VLOOKUP($D21,Flight!$A$1:$E$91,2,FALSE),"")</f>
        <v>1010</v>
      </c>
      <c r="F21" s="45"/>
      <c r="G21" s="43" t="str">
        <f t="shared" si="3"/>
        <v/>
      </c>
      <c r="H21" s="44" t="str">
        <f>IF($D21&gt;0,VLOOKUP($D21,Flight!$A$1:$E$91,3,FALSE),"")</f>
        <v>MNL</v>
      </c>
      <c r="I21" s="44" t="str">
        <f>IF($D21&gt;0,IF(VLOOKUP($D21,Flight!$A$1:$E$91,4,FALSE)&gt;1,VLOOKUP($D21,Flight!$A$1:$E102,4,FALSE),""),"")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4"/>
        <v>15</v>
      </c>
      <c r="B22" s="9" t="str">
        <f t="shared" si="0"/>
        <v>-</v>
      </c>
      <c r="C22" s="9" t="str">
        <f t="shared" si="1"/>
        <v/>
      </c>
      <c r="D22" s="27" t="s">
        <v>374</v>
      </c>
      <c r="E22" s="172" t="str">
        <f>IF($D22&gt;0,VLOOKUP($D22,Flight!$A$1:$E$91,2,FALSE),"")</f>
        <v>1115</v>
      </c>
      <c r="F22" s="45"/>
      <c r="G22" s="43" t="str">
        <f t="shared" si="3"/>
        <v/>
      </c>
      <c r="H22" s="44" t="str">
        <f>IF($D22&gt;0,VLOOKUP($D22,Flight!$A$1:$E$91,3,FALSE),"")</f>
        <v>KUL</v>
      </c>
      <c r="I22" s="44" t="str">
        <f>IF($D22&gt;0,IF(VLOOKUP($D22,Flight!$A$1:$E$91,4,FALSE)&gt;1,VLOOKUP($D22,Flight!$A$1:$E103,4,FALSE),""),"")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 ht="15.75" customHeight="1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9" t="s">
        <v>375</v>
      </c>
      <c r="E23" s="172" t="str">
        <f>IF($D23&gt;0,VLOOKUP($D23,Flight!$A$1:$E$91,2,FALSE),"")</f>
        <v>1145</v>
      </c>
      <c r="F23" s="44"/>
      <c r="G23" s="43" t="str">
        <f t="shared" si="3"/>
        <v/>
      </c>
      <c r="H23" s="44" t="str">
        <f>IF($D23&gt;0,VLOOKUP($D23,Flight!$A$1:$E$91,3,FALSE),"")</f>
        <v>BKK</v>
      </c>
      <c r="I23" s="44" t="str">
        <f>IF($D23&gt;0,IF(VLOOKUP($D23,Flight!$A$1:$E$91,4,FALSE)&gt;1,VLOOKUP($D23,Flight!$A$1:$E104,4,FALSE),""),"")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/>
      </c>
      <c r="D24" s="9" t="s">
        <v>900</v>
      </c>
      <c r="E24" s="172" t="str">
        <f>IF($D24&gt;0,VLOOKUP($D24,Flight!$A$1:$E$91,2,FALSE),"")</f>
        <v>1210</v>
      </c>
      <c r="F24" s="44"/>
      <c r="G24" s="43" t="str">
        <f t="shared" si="3"/>
        <v/>
      </c>
      <c r="H24" s="44" t="str">
        <f>IF($D24&gt;0,VLOOKUP($D24,Flight!$A$1:$E$91,3,FALSE),"")</f>
        <v>BKK</v>
      </c>
      <c r="I24" s="44" t="str">
        <f>IF($D24&gt;0,IF(VLOOKUP($D24,Flight!$A$1:$E$91,4,FALSE)&gt;1,VLOOKUP($D24,Flight!$A$1:$E105,4,FALSE),""),"")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1"/>
        <v/>
      </c>
      <c r="D25" s="9" t="s">
        <v>376</v>
      </c>
      <c r="E25" s="172" t="str">
        <f>IF($D25&gt;0,VLOOKUP($D25,Flight!$A$1:$E$91,2,FALSE),"")</f>
        <v>1305</v>
      </c>
      <c r="F25" s="44"/>
      <c r="G25" s="43" t="str">
        <f t="shared" si="3"/>
        <v/>
      </c>
      <c r="H25" s="44" t="str">
        <f>IF($D25&gt;0,VLOOKUP($D25,Flight!$A$1:$E$91,3,FALSE),"")</f>
        <v>DMK</v>
      </c>
      <c r="I25" s="44" t="str">
        <f>IF($D25&gt;0,IF(VLOOKUP($D25,Flight!$A$1:$E$91,4,FALSE)&gt;1,VLOOKUP($D25,Flight!$A$1:$E106,4,FALSE),""),"")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>-</v>
      </c>
      <c r="D26" s="27" t="s">
        <v>377</v>
      </c>
      <c r="E26" s="172" t="str">
        <f>IF($D26&gt;0,VLOOKUP($D26,Flight!$A$1:$E$91,2,FALSE),"")</f>
        <v>1310</v>
      </c>
      <c r="F26" s="45"/>
      <c r="G26" s="43" t="str">
        <f t="shared" si="3"/>
        <v/>
      </c>
      <c r="H26" s="44" t="str">
        <f>IF($D26&gt;0,VLOOKUP($D26,Flight!$A$1:$E$91,3,FALSE),"")</f>
        <v>DEL</v>
      </c>
      <c r="I26" s="44" t="str">
        <f>IF($D26&gt;0,IF(VLOOKUP($D26,Flight!$A$1:$E$91,4,FALSE)&gt;1,VLOOKUP($D26,Flight!$A$1:$E107,4,FALSE),""),"")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>&lt;   Hall Operation   &gt;</v>
      </c>
      <c r="L26" s="166"/>
      <c r="M26" s="166"/>
      <c r="O26" s="114"/>
    </row>
    <row r="27" spans="1:15">
      <c r="A27" s="9">
        <f t="shared" si="4"/>
        <v>20</v>
      </c>
      <c r="B27" s="9" t="str">
        <f t="shared" si="0"/>
        <v>-</v>
      </c>
      <c r="C27" s="9" t="str">
        <f t="shared" si="1"/>
        <v/>
      </c>
      <c r="D27" s="27" t="s">
        <v>378</v>
      </c>
      <c r="E27" s="172" t="str">
        <f>IF($D27&gt;0,VLOOKUP($D27,Flight!$A$1:$E$91,2,FALSE),"")</f>
        <v>1415</v>
      </c>
      <c r="F27" s="45"/>
      <c r="G27" s="43" t="str">
        <f t="shared" si="3"/>
        <v/>
      </c>
      <c r="H27" s="44" t="str">
        <f>IF($D27&gt;0,VLOOKUP($D27,Flight!$A$1:$E$91,3,FALSE),"")</f>
        <v>KUL</v>
      </c>
      <c r="I27" s="44" t="str">
        <f>IF($D27&gt;0,IF(VLOOKUP($D27,Flight!$A$1:$E$91,4,FALSE)&gt;1,VLOOKUP($D27,Flight!$A$1:$E108,4,FALSE),""),"")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 t="shared" si="4"/>
        <v>21</v>
      </c>
      <c r="B28" s="9" t="str">
        <f t="shared" si="0"/>
        <v>-</v>
      </c>
      <c r="C28" s="9" t="str">
        <f t="shared" si="1"/>
        <v/>
      </c>
      <c r="D28" s="27" t="s">
        <v>379</v>
      </c>
      <c r="E28" s="172" t="str">
        <f>IF($D28&gt;0,VLOOKUP($D28,Flight!$A$1:$E$91,2,FALSE),"")</f>
        <v>1420</v>
      </c>
      <c r="F28" s="44"/>
      <c r="G28" s="43" t="str">
        <f t="shared" si="3"/>
        <v/>
      </c>
      <c r="H28" s="44" t="str">
        <f>IF($D28&gt;0,VLOOKUP($D28,Flight!$A$1:$E$91,3,FALSE),"")</f>
        <v>BKK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  <c r="O28" s="114"/>
    </row>
    <row r="29" spans="1:15">
      <c r="A29" s="9">
        <f t="shared" si="4"/>
        <v>22</v>
      </c>
      <c r="B29" s="9" t="str">
        <f t="shared" si="0"/>
        <v>-</v>
      </c>
      <c r="C29" s="9" t="str">
        <f t="shared" si="1"/>
        <v/>
      </c>
      <c r="D29" s="27" t="s">
        <v>381</v>
      </c>
      <c r="E29" s="172" t="str">
        <f>IF($D29&gt;0,VLOOKUP($D29,Flight!$A$1:$E$91,2,FALSE),"")</f>
        <v>1510</v>
      </c>
      <c r="F29" s="45"/>
      <c r="G29" s="43" t="str">
        <f t="shared" si="3"/>
        <v/>
      </c>
      <c r="H29" s="44" t="str">
        <f>IF($D29&gt;0,VLOOKUP($D29,Flight!$A$1:$E$91,3,FALSE),"")</f>
        <v>DOH</v>
      </c>
      <c r="I29" s="44" t="str">
        <f>IF($D29&gt;0,IF(VLOOKUP($D29,Flight!$A$1:$E$91,4,FALSE)&gt;1,VLOOKUP($D29,Flight!$A$1:$E111,4,FALSE),""),"")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4"/>
        <v>23</v>
      </c>
      <c r="B30" s="9" t="str">
        <f t="shared" si="0"/>
        <v>-</v>
      </c>
      <c r="C30" s="9" t="str">
        <f t="shared" si="1"/>
        <v/>
      </c>
      <c r="D30" s="27" t="s">
        <v>395</v>
      </c>
      <c r="E30" s="172" t="str">
        <f>IF($D30&gt;0,VLOOKUP($D30,Flight!$A$1:$E$91,2,FALSE),"")</f>
        <v>1645</v>
      </c>
      <c r="F30" s="45"/>
      <c r="G30" s="43" t="str">
        <f t="shared" si="3"/>
        <v/>
      </c>
      <c r="H30" s="44" t="str">
        <f>IF($D30&gt;0,VLOOKUP($D30,Flight!$A$1:$E$91,3,FALSE),"")</f>
        <v>ADD</v>
      </c>
      <c r="I30" s="44" t="str">
        <f>IF($D30&gt;0,IF(VLOOKUP($D30,Flight!$A$1:$E$91,4,FALSE)&gt;1,VLOOKUP($D30,Flight!$A$1:$E114,4,FALSE),""),"")</f>
        <v>BKK</v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>
      <c r="A31" s="9">
        <f t="shared" si="4"/>
        <v>24</v>
      </c>
      <c r="B31" s="9" t="str">
        <f t="shared" si="0"/>
        <v>-</v>
      </c>
      <c r="C31" s="9" t="str">
        <f t="shared" si="1"/>
        <v/>
      </c>
      <c r="D31" s="27" t="s">
        <v>391</v>
      </c>
      <c r="E31" s="172" t="str">
        <f>IF($D31&gt;0,VLOOKUP($D31,Flight!$A$1:$E$91,2,FALSE),"")</f>
        <v>1720</v>
      </c>
      <c r="F31" s="46"/>
      <c r="G31" s="43" t="str">
        <f t="shared" si="3"/>
        <v/>
      </c>
      <c r="H31" s="44" t="str">
        <f>IF($D31&gt;0,VLOOKUP($D31,Flight!$A$1:$E$91,3,FALSE),"")</f>
        <v>MNL</v>
      </c>
      <c r="I31" s="44" t="str">
        <f>IF($D31&gt;0,IF(VLOOKUP($D31,Flight!$A$1:$E$91,4,FALSE)&gt;1,VLOOKUP($D31,Flight!$A$1:$E115,4,FALSE),""),"")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2"/>
        <v/>
      </c>
      <c r="L31" s="166"/>
      <c r="M31" s="166"/>
    </row>
    <row r="32" spans="1:15" s="349" customFormat="1">
      <c r="A32" s="9">
        <f t="shared" si="4"/>
        <v>25</v>
      </c>
      <c r="B32" s="9" t="str">
        <f t="shared" si="0"/>
        <v>-</v>
      </c>
      <c r="C32" s="9" t="str">
        <f t="shared" si="1"/>
        <v/>
      </c>
      <c r="D32" s="27" t="s">
        <v>1005</v>
      </c>
      <c r="E32" s="172" t="str">
        <f>IF($D32&gt;0,VLOOKUP($D32,Flight!$A$1:$E$91,2,FALSE),"")</f>
        <v>1745</v>
      </c>
      <c r="F32" s="46"/>
      <c r="G32" s="43" t="str">
        <f t="shared" ref="G32" si="5">IF(A32="@",IF(H32="ZYK","Berth 3",IF(H32="HKM","Bay 7","")),"")</f>
        <v/>
      </c>
      <c r="H32" s="44" t="str">
        <f>IF($D32&gt;0,VLOOKUP($D32,Flight!$A$1:$E$91,3,FALSE),"")</f>
        <v>BKK</v>
      </c>
      <c r="I32" s="44"/>
      <c r="J32" s="44"/>
      <c r="K32" s="166"/>
      <c r="L32" s="166"/>
      <c r="M32" s="166"/>
      <c r="O32" s="112"/>
    </row>
    <row r="33" spans="1:18">
      <c r="A33" s="9">
        <f>IF($A30="S/N",1,IF($F33="Wavied","-",IF($D33=0,"",ROW($A33)-ROW($A$7)-COUNTIF($A$7:$A$8,"@")-COUNTIF($A$7:$A$8,"-"))))</f>
        <v>26</v>
      </c>
      <c r="B33" s="9" t="str">
        <f t="shared" si="0"/>
        <v>-</v>
      </c>
      <c r="C33" s="9" t="str">
        <f t="shared" si="1"/>
        <v/>
      </c>
      <c r="D33" s="27" t="s">
        <v>383</v>
      </c>
      <c r="E33" s="172" t="str">
        <f>IF($D33&gt;0,VLOOKUP($D33,Flight!$A$1:$E$91,2,FALSE),"")</f>
        <v>1755</v>
      </c>
      <c r="F33" s="45"/>
      <c r="G33" s="43" t="str">
        <f t="shared" si="3"/>
        <v/>
      </c>
      <c r="H33" s="44" t="str">
        <f>IF($D33&gt;0,VLOOKUP($D33,Flight!$A$1:$E$91,3,FALSE),"")</f>
        <v>KUL</v>
      </c>
      <c r="I33" s="44" t="str">
        <f>IF($D33&gt;0,IF(VLOOKUP($D33,Flight!$A$1:$E$91,4,FALSE)&gt;1,VLOOKUP($D33,Flight!$A$1:$E116,4,FALSE),""),"")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ref="K33:K41" si="6">IF($D33=0,"",IF(OR(ISNUMBER(SEARCH("S",$B33)),_xlfn.IFNA(MATCH($D33,$D$106:$D$116,0)&lt;20,"")=TRUE),"&lt;   Hall Operation   &gt;",""))</f>
        <v/>
      </c>
      <c r="L33" s="166"/>
      <c r="M33" s="166"/>
    </row>
    <row r="34" spans="1:18">
      <c r="A34" s="9">
        <f>IF($A31="S/N",1,IF($F34="Wavied","-",IF($D34=0,"",ROW($A34)-ROW($A$7)-COUNTIF($A$7:$A$8,"@")-COUNTIF($A$7:$A$8,"-"))))</f>
        <v>27</v>
      </c>
      <c r="B34" s="9" t="str">
        <f t="shared" si="0"/>
        <v>-</v>
      </c>
      <c r="C34" s="9" t="str">
        <f t="shared" si="1"/>
        <v/>
      </c>
      <c r="D34" s="27" t="s">
        <v>384</v>
      </c>
      <c r="E34" s="172" t="str">
        <f>IF($D34&gt;0,VLOOKUP($D34,Flight!$A$1:$E$91,2,FALSE),"")</f>
        <v>1805</v>
      </c>
      <c r="F34" s="45"/>
      <c r="G34" s="43" t="str">
        <f t="shared" si="3"/>
        <v/>
      </c>
      <c r="H34" s="44" t="str">
        <f>IF($D34&gt;0,VLOOKUP($D34,Flight!$A$1:$E$91,3,FALSE),"")</f>
        <v>DXB</v>
      </c>
      <c r="I34" s="44" t="str">
        <f>IF($D34&gt;0,IF(VLOOKUP($D34,Flight!$A$1:$E$91,4,FALSE)&gt;1,VLOOKUP($D34,Flight!$A$1:$E117,4,FALSE),""),"")</f>
        <v>BKK</v>
      </c>
      <c r="J34" s="44" t="str">
        <f>IF($D34&gt;0,IF(VLOOKUP($D34,Flight!$A$1:$E$91,5,FALSE)&gt;1,VLOOKUP($D34,Flight!$A$1:$E$91,5,FALSE),""),"")</f>
        <v/>
      </c>
      <c r="K34" s="166" t="str">
        <f t="shared" si="6"/>
        <v/>
      </c>
      <c r="L34" s="166"/>
      <c r="M34" s="167"/>
      <c r="P34" s="84"/>
    </row>
    <row r="35" spans="1:18">
      <c r="A35" s="9">
        <f t="shared" si="4"/>
        <v>28</v>
      </c>
      <c r="B35" s="9" t="str">
        <f t="shared" si="0"/>
        <v>-</v>
      </c>
      <c r="C35" s="9" t="str">
        <f t="shared" si="1"/>
        <v/>
      </c>
      <c r="D35" s="27" t="s">
        <v>385</v>
      </c>
      <c r="E35" s="172" t="str">
        <f>IF($D35&gt;0,VLOOKUP($D35,Flight!$A$1:$E$91,2,FALSE),"")</f>
        <v>1810</v>
      </c>
      <c r="F35" s="45"/>
      <c r="G35" s="43" t="str">
        <f t="shared" si="3"/>
        <v/>
      </c>
      <c r="H35" s="44" t="str">
        <f>IF($D35&gt;0,VLOOKUP($D35,Flight!$A$1:$E$91,3,FALSE),"")</f>
        <v>MNL</v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O35" s="115"/>
      <c r="P35" s="87"/>
    </row>
    <row r="36" spans="1:18" ht="16.5">
      <c r="A36" s="9">
        <f t="shared" si="4"/>
        <v>29</v>
      </c>
      <c r="B36" s="9" t="str">
        <f t="shared" si="0"/>
        <v>-</v>
      </c>
      <c r="C36" s="9" t="str">
        <f t="shared" si="1"/>
        <v/>
      </c>
      <c r="D36" s="27" t="s">
        <v>901</v>
      </c>
      <c r="E36" s="172" t="str">
        <f>IF($D36&gt;0,VLOOKUP($D36,Flight!$A$1:$E$91,2,FALSE),"")</f>
        <v>1820</v>
      </c>
      <c r="F36" s="45"/>
      <c r="G36" s="43" t="str">
        <f t="shared" si="3"/>
        <v/>
      </c>
      <c r="H36" s="44" t="str">
        <f>IF($D36&gt;0,VLOOKUP($D36,Flight!$A$1:$E$91,3,FALSE),"")</f>
        <v>SIN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4"/>
      <c r="P36" s="88"/>
      <c r="Q36" s="4"/>
      <c r="R36" s="4"/>
    </row>
    <row r="37" spans="1:18">
      <c r="A37" s="9">
        <f t="shared" si="4"/>
        <v>30</v>
      </c>
      <c r="B37" s="9" t="str">
        <f t="shared" si="0"/>
        <v>-</v>
      </c>
      <c r="C37" s="9" t="str">
        <f t="shared" si="1"/>
        <v/>
      </c>
      <c r="D37" s="27" t="s">
        <v>387</v>
      </c>
      <c r="E37" s="172" t="str">
        <f>IF($D37&gt;0,VLOOKUP($D37,Flight!$A$1:$E$91,2,FALSE),"")</f>
        <v>1920</v>
      </c>
      <c r="F37" s="45"/>
      <c r="G37" s="43" t="str">
        <f t="shared" si="3"/>
        <v/>
      </c>
      <c r="H37" s="44" t="str">
        <f>IF($D37&gt;0,VLOOKUP($D37,Flight!$A$1:$E$91,3,FALSE),"")</f>
        <v>DMK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4"/>
      <c r="P37" s="4"/>
      <c r="Q37" s="4"/>
      <c r="R37" s="4"/>
    </row>
    <row r="38" spans="1:18" ht="16.5">
      <c r="A38" s="9">
        <f t="shared" si="4"/>
        <v>31</v>
      </c>
      <c r="B38" s="9" t="str">
        <f t="shared" si="0"/>
        <v>-</v>
      </c>
      <c r="C38" s="9" t="str">
        <f t="shared" si="1"/>
        <v/>
      </c>
      <c r="D38" s="27" t="s">
        <v>388</v>
      </c>
      <c r="E38" s="172" t="str">
        <f>IF($D38&gt;0,VLOOKUP($D38,Flight!$A$1:$E$91,2,FALSE),"")</f>
        <v>1950</v>
      </c>
      <c r="F38" s="45"/>
      <c r="G38" s="43" t="str">
        <f t="shared" si="3"/>
        <v/>
      </c>
      <c r="H38" s="44" t="str">
        <f>IF($D38&gt;0,VLOOKUP($D38,Flight!$A$1:$E$91,3,FALSE),"")</f>
        <v>BKK</v>
      </c>
      <c r="I38" s="44" t="str">
        <f>IF($D38&gt;0,IF(VLOOKUP($D38,Flight!$A$1:$E$91,4,FALSE)&gt;1,VLOOKUP($D38,Flight!$A$1:$E121,4,FALSE),""),"")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6"/>
      <c r="O38" s="4"/>
      <c r="P38" s="89"/>
      <c r="Q38" s="4"/>
      <c r="R38" s="4"/>
    </row>
    <row r="39" spans="1:18" ht="16.5">
      <c r="A39" s="9">
        <f t="shared" si="4"/>
        <v>32</v>
      </c>
      <c r="B39" s="9" t="str">
        <f t="shared" si="0"/>
        <v>-</v>
      </c>
      <c r="C39" s="9" t="str">
        <f t="shared" si="1"/>
        <v/>
      </c>
      <c r="D39" s="27" t="s">
        <v>389</v>
      </c>
      <c r="E39" s="172" t="str">
        <f>IF($D39&gt;0,VLOOKUP($D39,Flight!$A$1:$E$91,2,FALSE),"")</f>
        <v>2030</v>
      </c>
      <c r="F39" s="45"/>
      <c r="G39" s="43" t="str">
        <f t="shared" si="3"/>
        <v/>
      </c>
      <c r="H39" s="44" t="str">
        <f>IF($D39&gt;0,VLOOKUP($D39,Flight!$A$1:$E$91,3,FALSE),"")</f>
        <v>CGK</v>
      </c>
      <c r="I39" s="44" t="str">
        <f>IF($D39&gt;0,IF(VLOOKUP($D39,Flight!$A$1:$E$91,4,FALSE)&gt;1,VLOOKUP($D39,Flight!$A$1:$E122,4,FALSE),""),"")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>
        <f t="shared" si="4"/>
        <v>33</v>
      </c>
      <c r="B40" s="9" t="str">
        <f t="shared" si="0"/>
        <v>-</v>
      </c>
      <c r="C40" s="9" t="str">
        <f t="shared" si="1"/>
        <v>S7</v>
      </c>
      <c r="D40" s="27" t="s">
        <v>390</v>
      </c>
      <c r="E40" s="172" t="str">
        <f>IF($D40&gt;0,VLOOKUP($D40,Flight!$A$1:$E$91,2,FALSE),"")</f>
        <v>2155</v>
      </c>
      <c r="F40" s="45"/>
      <c r="G40" s="43" t="str">
        <f t="shared" si="3"/>
        <v/>
      </c>
      <c r="H40" s="44" t="str">
        <f>IF($D40&gt;0,VLOOKUP($D40,Flight!$A$1:$E$91,3,FALSE),"")</f>
        <v>DOH</v>
      </c>
      <c r="I40" s="44" t="str">
        <f>IF($D40&gt;0,IF(VLOOKUP($D40,Flight!$A$1:$E$91,4,FALSE)&gt;1,VLOOKUP($D40,Flight!$A$1:$E124,4,FALSE),""),"")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 ht="16.5">
      <c r="A41" s="9">
        <f t="shared" si="4"/>
        <v>34</v>
      </c>
      <c r="B41" s="9" t="str">
        <f t="shared" si="0"/>
        <v>-</v>
      </c>
      <c r="C41" s="9" t="str">
        <f t="shared" si="1"/>
        <v>S7</v>
      </c>
      <c r="D41" s="27" t="s">
        <v>392</v>
      </c>
      <c r="E41" s="172" t="str">
        <f>IF($D41&gt;0,VLOOKUP($D41,Flight!$A$1:$E$91,2,FALSE),"")</f>
        <v>2320</v>
      </c>
      <c r="F41" s="45"/>
      <c r="G41" s="43" t="str">
        <f t="shared" si="3"/>
        <v/>
      </c>
      <c r="H41" s="44" t="str">
        <f>IF($D41&gt;0,VLOOKUP($D41,Flight!$A$1:$E$91,3,FALSE),"")</f>
        <v>BKK</v>
      </c>
      <c r="I41" s="44" t="str">
        <f>IF($D41&gt;0,IF(VLOOKUP($D41,Flight!$A$1:$E$91,4,FALSE)&gt;1,VLOOKUP($D41,Flight!$A$1:$E125,4,FALSE),""),"")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6"/>
        <v/>
      </c>
      <c r="L41" s="166"/>
      <c r="M41" s="166"/>
      <c r="O41" s="4"/>
      <c r="P41" s="89"/>
      <c r="Q41" s="4"/>
      <c r="R41" s="4"/>
    </row>
    <row r="42" spans="1:18" ht="16.5">
      <c r="A42" s="9" t="str">
        <f t="shared" si="4"/>
        <v/>
      </c>
      <c r="B42" s="9" t="str">
        <f>IF($E42&lt;&gt;"",IF($E42-715&lt;0,VLOOKUP($B$3,$E$61:$J$72,6,FALSE),IF(AND($E42-2130&gt;0,_xlfn.IFNA(MATCH($D42,$D$105:$D$115,0)&lt;20,"")=TRUE),VLOOKUP($L$3,$E$61:$J$72,6,FALSE),"-")),"")</f>
        <v/>
      </c>
      <c r="C42" s="9" t="str">
        <f>IF($E42&lt;&gt;"",IF(ISNUMBER(SEARCH("Hall Operation",$K42)),"-",IF($E42-715&lt;0,VLOOKUP($B$3,$E$61:$J$72,6,FALSE),IF($E42-2129&gt;0,VLOOKUP($L$3,$E$61:$J$72,6,FALSE),""))),"")</f>
        <v/>
      </c>
      <c r="D42" s="27"/>
      <c r="E42" s="172" t="str">
        <f>IF($D42&gt;0,VLOOKUP($D42,Flight!$A$1:$E$91,2,FALSE),"")</f>
        <v/>
      </c>
      <c r="F42" s="45"/>
      <c r="G42" s="43" t="str">
        <f t="shared" si="3"/>
        <v/>
      </c>
      <c r="H42" s="44" t="str">
        <f>IF($D42&gt;0,VLOOKUP($D42,Flight!$A$1:$E$91,3,FALSE),"")</f>
        <v/>
      </c>
      <c r="I42" s="44" t="str">
        <f>IF($D42&gt;0,IF(VLOOKUP($D42,Flight!$A$1:$E$91,4,FALSE)&gt;1,VLOOKUP($D42,Flight!$A$1:$E124,4,FALSE),""),"")</f>
        <v/>
      </c>
      <c r="J42" s="44" t="str">
        <f>IF($D42&gt;0,IF(VLOOKUP($D42,Flight!$A$1:$E$91,5,FALSE)&gt;1,VLOOKUP($D42,Flight!$A$1:$E$91,5,FALSE),""),"")</f>
        <v/>
      </c>
      <c r="K42" s="166" t="str">
        <f>IF($D42=0,"",IF(OR(ISNUMBER(SEARCH("S",$B42)),_xlfn.IFNA(MATCH($D42,$D$105:$D$115,0)&lt;20,"")=TRUE),"&lt;   Hall Operation   &gt;",""))</f>
        <v/>
      </c>
      <c r="L42" s="166"/>
      <c r="M42" s="166"/>
      <c r="O42" s="4"/>
      <c r="P42" s="89"/>
      <c r="Q42" s="4"/>
      <c r="R42" s="4"/>
    </row>
    <row r="43" spans="1:18">
      <c r="A43" s="376" t="s">
        <v>5</v>
      </c>
      <c r="B43" s="376"/>
      <c r="C43" s="376"/>
      <c r="D43" s="376"/>
      <c r="E43" s="376"/>
      <c r="F43" s="376"/>
      <c r="G43" s="50"/>
      <c r="H43" s="321" t="s">
        <v>40</v>
      </c>
      <c r="I43" s="377"/>
      <c r="J43" s="377"/>
      <c r="K43" s="377"/>
      <c r="L43" s="377"/>
      <c r="M43" s="377"/>
      <c r="N43" s="5"/>
    </row>
    <row r="44" spans="1:18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</row>
    <row r="45" spans="1:18">
      <c r="A45" s="420" t="s">
        <v>942</v>
      </c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</row>
    <row r="46" spans="1:18">
      <c r="A46" s="389" t="s">
        <v>216</v>
      </c>
      <c r="B46" s="389"/>
      <c r="C46" s="323" t="str">
        <f>VLOOKUP($D$46,Staff!$B$2:$D$41,2,FALSE)</f>
        <v>CIA</v>
      </c>
      <c r="D46" s="375" t="str">
        <f>VLOOKUP(VLOOKUP($E$58,$E$62:$J$73,6,FALSE),Staff!$A$2:$D$13,2,FALSE)</f>
        <v>WS CHENG</v>
      </c>
      <c r="E46" s="375"/>
      <c r="F46" s="325" t="s">
        <v>215</v>
      </c>
      <c r="G46" s="390" t="str">
        <f>VLOOKUP($D$46,Staff!$B$2:$D$39,3,FALSE)</f>
        <v>9850 0581</v>
      </c>
      <c r="H46" s="390"/>
      <c r="I46" s="391" t="s">
        <v>223</v>
      </c>
      <c r="J46" s="391"/>
      <c r="K46" s="375" t="str">
        <f>IF(COUNTIF($E$62:$E$65,$E$58)&gt;0,Staff!$G$2,"")&amp;IF(COUNTIF($E$66:$E$69,$E$58)&gt;0,Staff!$G$3,"")&amp;IF(COUNTIF($E$70:$E$73,$E$58)&gt;0,Staff!$G$4,"")</f>
        <v>WONG, TSZ MING</v>
      </c>
      <c r="L46" s="375"/>
      <c r="M46" s="375"/>
    </row>
    <row r="47" spans="1:18">
      <c r="A47" s="389" t="s">
        <v>217</v>
      </c>
      <c r="B47" s="389"/>
      <c r="C47" s="323" t="str">
        <f>VLOOKUP($D$47,Staff!$B$2:$D$41,2,FALSE)</f>
        <v>CIA</v>
      </c>
      <c r="D47" s="375" t="str">
        <f>VLOOKUP(VLOOKUP($E$59,$E$62:$J$73,6,FALSE),Staff!$A$2:$D$13,2,FALSE)</f>
        <v>WW LAW</v>
      </c>
      <c r="E47" s="375"/>
      <c r="F47" s="325" t="s">
        <v>215</v>
      </c>
      <c r="G47" s="390" t="str">
        <f>VLOOKUP($D$47,Staff!$B$2:$D$39,3,FALSE)</f>
        <v>6018 0589</v>
      </c>
      <c r="H47" s="390"/>
      <c r="I47" s="391" t="s">
        <v>224</v>
      </c>
      <c r="J47" s="391"/>
      <c r="K47" s="375" t="str">
        <f>IF(COUNTIF($E$62:$E$65,$E$59)&gt;0,Staff!$G$2,"")&amp;IF(COUNTIF($E$66:$E$69,$E$59)&gt;0,Staff!$G$3,"")&amp;IF(COUNTIF($E$70:$E$73,$E$59)&gt;0,Staff!$G$4,"")</f>
        <v>HO, KING KAI</v>
      </c>
      <c r="L47" s="375"/>
      <c r="M47" s="375"/>
    </row>
    <row r="48" spans="1:18">
      <c r="A48" s="329"/>
      <c r="B48" s="329"/>
      <c r="C48" s="327"/>
      <c r="D48" s="395"/>
      <c r="E48" s="395"/>
      <c r="F48" s="324"/>
      <c r="G48" s="396"/>
      <c r="H48" s="396"/>
      <c r="I48" s="390"/>
      <c r="J48" s="390"/>
      <c r="K48" s="143"/>
      <c r="L48" s="143"/>
      <c r="M48" s="143"/>
    </row>
    <row r="49" spans="1:18" s="112" customFormat="1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tr">
        <f>IF(COUNTIF($E$62:$E$65,$E$58)&gt;0,Staff!$G$14,"")&amp;IF(COUNTIF($E$66:$E$69,$E$58)&gt;0,Staff!$G$13,"")&amp;IF(COUNTIF($E$70:$E$73,$E$58)&gt;0,Staff!$G$12,"")</f>
        <v>CHONG, MAN LOK</v>
      </c>
      <c r="H49" s="398"/>
      <c r="I49" s="398"/>
      <c r="J49" s="333" t="s">
        <v>209</v>
      </c>
      <c r="K49" s="390" t="str">
        <f>VLOOKUP(VLOOKUP($B$3,$E$62:$J$73,6,FALSE),Staff!$F$22:$G$47,2,FALSE)</f>
        <v>CHIU, OI YU (F)</v>
      </c>
      <c r="L49" s="390"/>
      <c r="M49" s="390"/>
      <c r="N49" s="12"/>
      <c r="P49" s="330"/>
      <c r="Q49" s="330"/>
      <c r="R49" s="330"/>
    </row>
    <row r="50" spans="1:18" s="112" customFormat="1">
      <c r="A50" s="155"/>
      <c r="B50" s="155"/>
      <c r="C50" s="396" t="s">
        <v>219</v>
      </c>
      <c r="D50" s="396"/>
      <c r="E50" s="396"/>
      <c r="F50" s="154" t="s">
        <v>214</v>
      </c>
      <c r="G50" s="375" t="str">
        <f>IF(COUNTIF($E$62:$E$65,$E$59)&gt;0,Staff!$G$14,"")&amp;IF(COUNTIF($E$66:$E$69,$E$59)&gt;0,Staff!$G$13,"")&amp;IF(COUNTIF($E$70:$E$73,$E$59)&gt;0,Staff!$G$12,"")</f>
        <v>CHIU, OI YU (F)</v>
      </c>
      <c r="H50" s="375"/>
      <c r="I50" s="375"/>
      <c r="J50" s="333" t="s">
        <v>208</v>
      </c>
      <c r="K50" s="390"/>
      <c r="L50" s="390"/>
      <c r="M50" s="390"/>
      <c r="N50" s="330"/>
      <c r="P50" s="330"/>
      <c r="Q50" s="330"/>
      <c r="R50" s="330"/>
    </row>
    <row r="51" spans="1:18" s="112" customFormat="1">
      <c r="A51" s="320"/>
      <c r="B51" s="320"/>
      <c r="C51" s="327"/>
      <c r="D51" s="401"/>
      <c r="E51" s="401"/>
      <c r="F51" s="401"/>
      <c r="G51" s="401"/>
      <c r="H51" s="401"/>
      <c r="I51" s="401"/>
      <c r="J51" s="333" t="s">
        <v>210</v>
      </c>
      <c r="K51" s="390"/>
      <c r="L51" s="390"/>
      <c r="M51" s="390"/>
      <c r="N51" s="330"/>
      <c r="P51" s="330"/>
      <c r="Q51" s="330"/>
      <c r="R51" s="330"/>
    </row>
    <row r="52" spans="1:18" s="112" customFormat="1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333" t="s">
        <v>211</v>
      </c>
      <c r="K52" s="390"/>
      <c r="L52" s="390"/>
      <c r="M52" s="390"/>
      <c r="N52" s="330"/>
      <c r="P52" s="330"/>
      <c r="Q52" s="330"/>
      <c r="R52" s="330"/>
    </row>
    <row r="53" spans="1:18" s="112" customFormat="1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333" t="s">
        <v>212</v>
      </c>
      <c r="K53" s="390"/>
      <c r="L53" s="390"/>
      <c r="M53" s="390"/>
      <c r="N53" s="330"/>
      <c r="P53" s="330"/>
      <c r="Q53" s="330"/>
      <c r="R53" s="330"/>
    </row>
    <row r="54" spans="1:18" s="112" customFormat="1">
      <c r="A54" s="155"/>
      <c r="B54" s="155"/>
      <c r="C54" s="320"/>
      <c r="D54" s="399"/>
      <c r="E54" s="399"/>
      <c r="F54" s="391"/>
      <c r="G54" s="391"/>
      <c r="H54" s="400" t="s">
        <v>410</v>
      </c>
      <c r="I54" s="400"/>
      <c r="J54" s="326"/>
      <c r="K54" s="329"/>
      <c r="L54" s="329"/>
      <c r="M54" s="47"/>
      <c r="N54" s="330"/>
      <c r="P54" s="330"/>
      <c r="Q54" s="330"/>
      <c r="R54" s="330"/>
    </row>
    <row r="55" spans="1:18" s="112" customFormat="1" ht="16.5" customHeight="1">
      <c r="A55" s="392" t="s">
        <v>0</v>
      </c>
      <c r="B55" s="392"/>
      <c r="C55" s="407" t="s">
        <v>222</v>
      </c>
      <c r="D55" s="407"/>
      <c r="E55" s="407"/>
      <c r="F55" s="326"/>
      <c r="G55" s="333"/>
      <c r="H55" s="394" t="s">
        <v>411</v>
      </c>
      <c r="I55" s="394"/>
      <c r="J55" s="332"/>
      <c r="K55" s="329"/>
      <c r="L55" s="329"/>
      <c r="M55" s="47"/>
      <c r="N55" s="330"/>
      <c r="P55" s="330"/>
      <c r="Q55" s="330"/>
      <c r="R55" s="330"/>
    </row>
    <row r="56" spans="1:18" s="112" customFormat="1">
      <c r="A56" s="330"/>
      <c r="B56" s="330"/>
      <c r="C56" s="408"/>
      <c r="D56" s="408"/>
      <c r="E56" s="408"/>
      <c r="F56" s="408"/>
      <c r="G56" s="408"/>
      <c r="H56" s="408"/>
      <c r="I56" s="54"/>
      <c r="J56" s="53"/>
      <c r="M56" s="330"/>
      <c r="N56" s="330"/>
      <c r="P56" s="330"/>
      <c r="Q56" s="330"/>
      <c r="R56" s="330"/>
    </row>
    <row r="57" spans="1:18" s="112" customFormat="1" ht="16.5" thickBot="1">
      <c r="A57" s="3"/>
      <c r="B57" s="3"/>
      <c r="C57" s="3"/>
      <c r="D57" s="2"/>
      <c r="E57" s="39"/>
      <c r="F57" s="331"/>
      <c r="G57" s="331"/>
      <c r="H57" s="331"/>
      <c r="I57" s="409"/>
      <c r="J57" s="409"/>
      <c r="M57" s="330"/>
      <c r="N57" s="330"/>
      <c r="P57" s="330"/>
      <c r="Q57" s="330"/>
      <c r="R57" s="330"/>
    </row>
    <row r="58" spans="1:18" s="112" customFormat="1">
      <c r="A58" s="330"/>
      <c r="B58" s="330"/>
      <c r="C58" s="330"/>
      <c r="D58" s="330"/>
      <c r="E58" s="90" t="s">
        <v>133</v>
      </c>
      <c r="F58" s="91" t="s">
        <v>135</v>
      </c>
      <c r="G58" s="91"/>
      <c r="H58" s="92"/>
      <c r="I58" s="330"/>
      <c r="J58" s="330"/>
      <c r="K58" s="330"/>
      <c r="L58" s="330"/>
      <c r="M58" s="330"/>
      <c r="N58" s="330"/>
      <c r="P58" s="330"/>
      <c r="Q58" s="330"/>
      <c r="R58" s="330"/>
    </row>
    <row r="59" spans="1:18" s="112" customFormat="1" ht="16.5" thickBot="1">
      <c r="A59" s="330"/>
      <c r="B59" s="330"/>
      <c r="C59" s="330"/>
      <c r="D59" s="330"/>
      <c r="E59" s="93" t="s">
        <v>134</v>
      </c>
      <c r="F59" s="94" t="s">
        <v>136</v>
      </c>
      <c r="G59" s="94"/>
      <c r="H59" s="95"/>
      <c r="I59" s="330"/>
      <c r="J59" s="330"/>
      <c r="K59" s="330"/>
      <c r="L59" s="330"/>
      <c r="M59" s="330"/>
      <c r="N59" s="330"/>
      <c r="P59" s="330"/>
      <c r="Q59" s="330"/>
      <c r="R59" s="330"/>
    </row>
    <row r="60" spans="1:18" s="112" customFormat="1">
      <c r="A60" s="330"/>
      <c r="B60" s="330"/>
      <c r="C60" s="330"/>
      <c r="D60" s="330"/>
      <c r="E60" s="330"/>
      <c r="F60" s="330"/>
      <c r="G60" s="330"/>
      <c r="H60" s="330"/>
      <c r="I60" s="330"/>
      <c r="J60" s="330"/>
      <c r="K60" s="330"/>
      <c r="L60" s="330"/>
      <c r="M60" s="330"/>
      <c r="N60" s="330"/>
      <c r="P60" s="330"/>
      <c r="Q60" s="330"/>
      <c r="R60" s="330"/>
    </row>
    <row r="61" spans="1:18" s="112" customFormat="1" ht="16.5" thickBot="1">
      <c r="A61" s="330"/>
      <c r="B61" s="330"/>
      <c r="C61" s="330"/>
      <c r="D61" s="85" t="s">
        <v>132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98</v>
      </c>
      <c r="J61" s="330"/>
      <c r="K61" s="96" t="s">
        <v>302</v>
      </c>
      <c r="L61" s="96" t="s">
        <v>303</v>
      </c>
      <c r="M61" s="96"/>
      <c r="N61" s="330"/>
      <c r="P61" s="330"/>
      <c r="Q61" s="330"/>
      <c r="R61" s="330"/>
    </row>
    <row r="62" spans="1:18" s="112" customFormat="1">
      <c r="A62" s="330"/>
      <c r="B62" s="330"/>
      <c r="C62" s="330"/>
      <c r="D62" s="97" t="s">
        <v>86</v>
      </c>
      <c r="E62" s="98" t="str">
        <f>_xlfn.IFNA(VLOOKUP(MOD((($D$1-WEEKDAY($D$1,2)+1)-45523)/7+21,24),Shift!$A$2:$H$25,WEEKDAY($D$1,2)+1),VLOOKUP(24,Shift!$A$2:$H$25,WEEKDAY($D$1,2)+1))</f>
        <v>M1</v>
      </c>
      <c r="F62" s="98" t="str">
        <f>IF(OR($E62="L",$E62="L#"),0,"?")</f>
        <v>?</v>
      </c>
      <c r="G62" s="98" t="str">
        <f>IF(OR($E62="L",$E62="L#"),0,"?")</f>
        <v>?</v>
      </c>
      <c r="H62" s="98" t="str">
        <f>IF(OR($E62="L",$E62="L#"),0,"?")</f>
        <v>?</v>
      </c>
      <c r="I62" s="99">
        <f t="shared" ref="I62:I73" si="7">IF(OR($E62="L",$E62="L#"),0,SUM($F62:$H62))</f>
        <v>0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N62" s="330"/>
      <c r="P62" s="330"/>
      <c r="Q62" s="330"/>
      <c r="R62" s="330"/>
    </row>
    <row r="63" spans="1:18" s="112" customFormat="1">
      <c r="A63" s="330"/>
      <c r="B63" s="330"/>
      <c r="C63" s="330"/>
      <c r="D63" s="100" t="s">
        <v>85</v>
      </c>
      <c r="E63" s="101" t="str">
        <f>_xlfn.IFNA(VLOOKUP(MOD((($D$1-WEEKDAY($D$1,2)+1)-45523)/7+3,24),Shift!$A$2:$H$25,WEEKDAY($D$1,2)+1),VLOOKUP(24,Shift!$A$2:$H$25,WEEKDAY($D$1,2)+1))</f>
        <v>M1</v>
      </c>
      <c r="F63" s="101" t="str">
        <f t="shared" ref="F63:H73" si="8">IF(OR($E63="L",$E63="L#"),0,"?")</f>
        <v>?</v>
      </c>
      <c r="G63" s="101" t="str">
        <f t="shared" si="8"/>
        <v>?</v>
      </c>
      <c r="H63" s="101" t="str">
        <f t="shared" si="8"/>
        <v>?</v>
      </c>
      <c r="I63" s="102">
        <f t="shared" si="7"/>
        <v>0</v>
      </c>
      <c r="J63" s="137" t="s">
        <v>85</v>
      </c>
      <c r="K63" s="112" t="str">
        <f t="shared" ref="K63:K73" si="9">IF(AND($F63&gt;1,$F63&lt;&gt;"?"),$F63-1,"")</f>
        <v/>
      </c>
      <c r="L63" s="112" t="str">
        <f t="shared" ref="L63:L73" si="10">IF(AND($G63&gt;1,$G63&lt;&gt;"?"),$G63-1,"")</f>
        <v/>
      </c>
      <c r="N63" s="330"/>
      <c r="P63" s="330"/>
      <c r="Q63" s="330"/>
      <c r="R63" s="330"/>
    </row>
    <row r="64" spans="1:18" s="112" customFormat="1">
      <c r="A64" s="330"/>
      <c r="B64" s="330"/>
      <c r="C64" s="330"/>
      <c r="D64" s="100" t="s">
        <v>99</v>
      </c>
      <c r="E64" s="101" t="str">
        <f>_xlfn.IFNA(VLOOKUP(MOD((($D$1-WEEKDAY($D$1,2)+1)-45523)/7+9,24),Shift!$A$2:$H$25,WEEKDAY($D$1,2)+1),VLOOKUP(24,Shift!$A$2:$H$25,WEEKDAY($D$1,2)+1))</f>
        <v>L#</v>
      </c>
      <c r="F64" s="101">
        <f t="shared" si="8"/>
        <v>0</v>
      </c>
      <c r="G64" s="101">
        <f t="shared" si="8"/>
        <v>0</v>
      </c>
      <c r="H64" s="101">
        <f t="shared" si="8"/>
        <v>0</v>
      </c>
      <c r="I64" s="102">
        <f t="shared" si="7"/>
        <v>0</v>
      </c>
      <c r="J64" s="137" t="s">
        <v>99</v>
      </c>
      <c r="K64" s="112" t="str">
        <f t="shared" si="9"/>
        <v/>
      </c>
      <c r="L64" s="112" t="str">
        <f t="shared" si="10"/>
        <v/>
      </c>
      <c r="N64" s="330"/>
      <c r="P64" s="330"/>
      <c r="Q64" s="330"/>
      <c r="R64" s="330"/>
    </row>
    <row r="65" spans="4:13" ht="16.5" thickBot="1">
      <c r="D65" s="103" t="s">
        <v>100</v>
      </c>
      <c r="E65" s="104" t="str">
        <f>_xlfn.IFNA(VLOOKUP(MOD((($D$1-WEEKDAY($D$1,2)+1)-45523)/7+15,24),Shift!$A$2:$H$25,WEEKDAY($D$1,2)+1),VLOOKUP(24,Shift!$A$2:$H$25,WEEKDAY($D$1,2)+1))</f>
        <v>L</v>
      </c>
      <c r="F65" s="104">
        <f t="shared" si="8"/>
        <v>0</v>
      </c>
      <c r="G65" s="104">
        <f t="shared" si="8"/>
        <v>0</v>
      </c>
      <c r="H65" s="104">
        <f t="shared" si="8"/>
        <v>0</v>
      </c>
      <c r="I65" s="105">
        <f t="shared" si="7"/>
        <v>0</v>
      </c>
      <c r="J65" s="138" t="s">
        <v>100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97" t="s">
        <v>101</v>
      </c>
      <c r="E66" s="98" t="str">
        <f>_xlfn.IFNA(VLOOKUP(MOD((($D$1-WEEKDAY($D$1,2)+1)-45523)/7+19,24),Shift!$A$2:$H$25,WEEKDAY($D$1,2)+1),VLOOKUP(24,Shift!$A$2:$H$25,WEEKDAY($D$1,2)+1))</f>
        <v>P1</v>
      </c>
      <c r="F66" s="98" t="str">
        <f t="shared" si="8"/>
        <v>?</v>
      </c>
      <c r="G66" s="98" t="str">
        <f t="shared" si="8"/>
        <v>?</v>
      </c>
      <c r="H66" s="98" t="str">
        <f t="shared" si="8"/>
        <v>?</v>
      </c>
      <c r="I66" s="99">
        <f t="shared" si="7"/>
        <v>0</v>
      </c>
      <c r="J66" s="136" t="s">
        <v>101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102</v>
      </c>
      <c r="E67" s="101" t="str">
        <f>_xlfn.IFNA(VLOOKUP(MOD((($D$1-WEEKDAY($D$1,2)+1)-45523)/7+1,24),Shift!$A$2:$H$25,WEEKDAY($D$1,2)+1),VLOOKUP(24,Shift!$A$2:$H$25,WEEKDAY($D$1,2)+1))</f>
        <v>A</v>
      </c>
      <c r="F67" s="101" t="str">
        <f t="shared" si="8"/>
        <v>?</v>
      </c>
      <c r="G67" s="101" t="str">
        <f t="shared" si="8"/>
        <v>?</v>
      </c>
      <c r="H67" s="101" t="str">
        <f t="shared" si="8"/>
        <v>?</v>
      </c>
      <c r="I67" s="102">
        <f t="shared" si="7"/>
        <v>0</v>
      </c>
      <c r="J67" s="137" t="s">
        <v>102</v>
      </c>
      <c r="K67" s="112" t="str">
        <f t="shared" si="9"/>
        <v/>
      </c>
      <c r="L67" s="112" t="str">
        <f t="shared" si="10"/>
        <v/>
      </c>
      <c r="M67" s="112"/>
    </row>
    <row r="68" spans="4:13">
      <c r="D68" s="100" t="s">
        <v>103</v>
      </c>
      <c r="E68" s="101" t="str">
        <f>_xlfn.IFNA(VLOOKUP(MOD((($D$1-WEEKDAY($D$1,2)+1)-45523)/7+7,24),Shift!$A$2:$H$25,WEEKDAY($D$1,2)+1),VLOOKUP(24,Shift!$A$2:$H$25,WEEKDAY($D$1,2)+1))</f>
        <v>P4</v>
      </c>
      <c r="F68" s="101" t="str">
        <f t="shared" si="8"/>
        <v>?</v>
      </c>
      <c r="G68" s="101" t="str">
        <f t="shared" si="8"/>
        <v>?</v>
      </c>
      <c r="H68" s="101" t="str">
        <f t="shared" si="8"/>
        <v>?</v>
      </c>
      <c r="I68" s="102">
        <f t="shared" si="7"/>
        <v>0</v>
      </c>
      <c r="J68" s="137" t="s">
        <v>103</v>
      </c>
      <c r="K68" s="112" t="str">
        <f t="shared" si="9"/>
        <v/>
      </c>
      <c r="L68" s="112" t="str">
        <f t="shared" si="10"/>
        <v/>
      </c>
      <c r="M68" s="112"/>
    </row>
    <row r="69" spans="4:13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P1 @</v>
      </c>
      <c r="F69" s="104" t="str">
        <f t="shared" si="8"/>
        <v>?</v>
      </c>
      <c r="G69" s="104" t="str">
        <f t="shared" si="8"/>
        <v>?</v>
      </c>
      <c r="H69" s="104" t="str">
        <f t="shared" si="8"/>
        <v>?</v>
      </c>
      <c r="I69" s="105">
        <f t="shared" si="7"/>
        <v>0</v>
      </c>
      <c r="J69" s="138" t="s">
        <v>104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97" t="s">
        <v>105</v>
      </c>
      <c r="E70" s="98" t="str">
        <f>_xlfn.IFNA(VLOOKUP(MOD((($D$1-WEEKDAY($D$1,2)+1)-45523)/7+17,24),Shift!$A$2:$H$25,WEEKDAY($D$1,2)+1),VLOOKUP(24,Shift!$A$2:$H$25,WEEKDAY($D$1,2)+1))</f>
        <v>M</v>
      </c>
      <c r="F70" s="98" t="str">
        <f t="shared" si="8"/>
        <v>?</v>
      </c>
      <c r="G70" s="98" t="str">
        <f t="shared" si="8"/>
        <v>?</v>
      </c>
      <c r="H70" s="98" t="str">
        <f t="shared" si="8"/>
        <v>?</v>
      </c>
      <c r="I70" s="99">
        <f t="shared" si="7"/>
        <v>0</v>
      </c>
      <c r="J70" s="136" t="s">
        <v>105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106</v>
      </c>
      <c r="E71" s="101" t="str">
        <f>_xlfn.IFNA(VLOOKUP(MOD((($D$1-WEEKDAY($D$1,2)+1)-45523)/7+23,24),Shift!$A$2:$H$25,WEEKDAY($D$1,2)+1),VLOOKUP(24,Shift!$A$2:$H$25,WEEKDAY($D$1,2)+1))</f>
        <v>M @</v>
      </c>
      <c r="F71" s="101" t="str">
        <f t="shared" si="8"/>
        <v>?</v>
      </c>
      <c r="G71" s="101" t="str">
        <f t="shared" si="8"/>
        <v>?</v>
      </c>
      <c r="H71" s="101" t="str">
        <f t="shared" si="8"/>
        <v>?</v>
      </c>
      <c r="I71" s="102">
        <f t="shared" si="7"/>
        <v>0</v>
      </c>
      <c r="J71" s="137" t="s">
        <v>106</v>
      </c>
      <c r="K71" s="112" t="str">
        <f t="shared" si="9"/>
        <v/>
      </c>
      <c r="L71" s="112" t="str">
        <f t="shared" si="10"/>
        <v/>
      </c>
      <c r="M71" s="112"/>
    </row>
    <row r="72" spans="4:13">
      <c r="D72" s="100" t="s">
        <v>107</v>
      </c>
      <c r="E72" s="101" t="str">
        <f>_xlfn.IFNA(VLOOKUP(MOD((($D$1-WEEKDAY($D$1,2)+1)-45523)/7+5,24),Shift!$A$2:$H$25,WEEKDAY($D$1,2)+1),VLOOKUP(24,Shift!$A$2:$H$25,WEEKDAY($D$1,2)+1))</f>
        <v>M</v>
      </c>
      <c r="F72" s="101" t="str">
        <f t="shared" si="8"/>
        <v>?</v>
      </c>
      <c r="G72" s="101" t="str">
        <f t="shared" si="8"/>
        <v>?</v>
      </c>
      <c r="H72" s="101" t="str">
        <f t="shared" si="8"/>
        <v>?</v>
      </c>
      <c r="I72" s="102">
        <f t="shared" si="7"/>
        <v>0</v>
      </c>
      <c r="J72" s="137" t="s">
        <v>107</v>
      </c>
      <c r="K72" s="112" t="str">
        <f t="shared" si="9"/>
        <v/>
      </c>
      <c r="L72" s="112" t="str">
        <f t="shared" si="10"/>
        <v/>
      </c>
      <c r="M72" s="112"/>
    </row>
    <row r="73" spans="4:13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G1</v>
      </c>
      <c r="F73" s="104" t="str">
        <f t="shared" si="8"/>
        <v>?</v>
      </c>
      <c r="G73" s="104" t="str">
        <f t="shared" si="8"/>
        <v>?</v>
      </c>
      <c r="H73" s="104" t="str">
        <f t="shared" si="8"/>
        <v>?</v>
      </c>
      <c r="I73" s="105">
        <f t="shared" si="7"/>
        <v>0</v>
      </c>
      <c r="J73" s="138" t="s">
        <v>108</v>
      </c>
      <c r="K73" s="112" t="str">
        <f t="shared" si="9"/>
        <v/>
      </c>
      <c r="L73" s="112" t="str">
        <f t="shared" si="10"/>
        <v/>
      </c>
      <c r="M73" s="112"/>
    </row>
    <row r="74" spans="4:13">
      <c r="D74" s="144" t="s">
        <v>86</v>
      </c>
      <c r="E74" s="98" t="s">
        <v>127</v>
      </c>
      <c r="F74" s="98"/>
      <c r="G74" s="98"/>
      <c r="H74" s="98"/>
      <c r="I74" s="99">
        <f>IF(OR($E74="L",$E74="L#",$E74="?"),0,SUM($F74:$H74))</f>
        <v>0</v>
      </c>
      <c r="J74" s="33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330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330"/>
    </row>
    <row r="77" spans="4:13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330"/>
    </row>
    <row r="78" spans="4:13">
      <c r="D78" s="330"/>
      <c r="E78" s="96" t="s">
        <v>98</v>
      </c>
      <c r="F78" s="96" t="str">
        <f>SUM($F$62:$F$77)&amp;IF(SUM($F$62:$H$77)&gt;$I$78,"?","")</f>
        <v>0</v>
      </c>
      <c r="G78" s="96" t="str">
        <f>SUM($G$62:$G$77)&amp;IF(SUM($F$62:$H$77)&gt;$I$78,"?","")</f>
        <v>0</v>
      </c>
      <c r="H78" s="96" t="str">
        <f>SUM($H$62:$H$77)&amp;IF(SUM($F$62:$H$77)&gt;$I$78,"?","")</f>
        <v>0</v>
      </c>
      <c r="I78" s="96">
        <f>SUM(I62:I77)</f>
        <v>0</v>
      </c>
      <c r="J78" s="330"/>
    </row>
    <row r="79" spans="4:13">
      <c r="D79" s="330"/>
      <c r="E79" s="330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330"/>
      <c r="J79" s="330"/>
    </row>
    <row r="81" spans="4:6">
      <c r="D81" s="410" t="s">
        <v>281</v>
      </c>
      <c r="E81" s="410"/>
      <c r="F81" s="410"/>
    </row>
    <row r="82" spans="4:6">
      <c r="D82" s="49" t="str">
        <f>IF(Flight!$A$68=0,"",Flight!$A$68)</f>
        <v/>
      </c>
      <c r="E82" s="163"/>
      <c r="F82" s="164" t="str">
        <f>IF(D82="","",VLOOKUP(D82,Flight!$A$68:$C$91,3,FALSE))</f>
        <v/>
      </c>
    </row>
    <row r="83" spans="4:6">
      <c r="D83" s="49" t="str">
        <f>IF(Flight!$A69=0,"",Flight!$A69)</f>
        <v/>
      </c>
      <c r="F83" s="164" t="str">
        <f>IF(D83="","",VLOOKUP(D83,Flight!$A$68:$C$91,3,FALSE))</f>
        <v/>
      </c>
    </row>
    <row r="84" spans="4:6">
      <c r="D84" s="49" t="str">
        <f>IF(Flight!$A71=0,"",Flight!$A71)</f>
        <v>3A031</v>
      </c>
      <c r="F84" s="164" t="str">
        <f>IF(D84="","",VLOOKUP(D84,Flight!$A$68:$C$91,3,FALSE))</f>
        <v>ZTI</v>
      </c>
    </row>
    <row r="85" spans="4:6">
      <c r="D85" s="49" t="str">
        <f>IF(Flight!$A72=0,"",Flight!$A72)</f>
        <v>3A003</v>
      </c>
      <c r="F85" s="164" t="str">
        <f>IF(D85="","",VLOOKUP(D85,Flight!$A$68:$C$91,3,FALSE))</f>
        <v>ZYK</v>
      </c>
    </row>
    <row r="86" spans="4:6">
      <c r="D86" s="49" t="str">
        <f>IF(Flight!$A73=0,"",Flight!$A73)</f>
        <v>3A005</v>
      </c>
      <c r="F86" s="164" t="str">
        <f>IF(D86="","",VLOOKUP(D86,Flight!$A$68:$C$91,3,FALSE))</f>
        <v>HKM</v>
      </c>
    </row>
    <row r="87" spans="4:6">
      <c r="D87" s="49" t="str">
        <f>IF(Flight!$A74=0,"",Flight!$A74)</f>
        <v>3A007</v>
      </c>
      <c r="F87" s="164" t="str">
        <f>IF(D87="","",VLOOKUP(D87,Flight!$A$68:$C$91,3,FALSE))</f>
        <v>ZYK</v>
      </c>
    </row>
    <row r="88" spans="4:6">
      <c r="D88" s="49" t="str">
        <f>IF(Flight!$A75=0,"",Flight!$A75)</f>
        <v>3A008</v>
      </c>
      <c r="F88" s="164" t="str">
        <f>IF(D88="","",VLOOKUP(D88,Flight!$A$68:$C$91,3,FALSE))</f>
        <v>ZYK</v>
      </c>
    </row>
    <row r="89" spans="4:6">
      <c r="D89" s="49" t="str">
        <f>IF(Flight!$A76=0,"",Flight!$A76)</f>
        <v>3A009</v>
      </c>
      <c r="F89" s="164" t="str">
        <f>IF(D89="","",VLOOKUP(D89,Flight!$A$68:$C$91,3,FALSE))</f>
        <v>ZYK</v>
      </c>
    </row>
    <row r="90" spans="4:6">
      <c r="D90" s="49" t="str">
        <f>IF(Flight!$A77=0,"",Flight!$A77)</f>
        <v>3A010</v>
      </c>
      <c r="F90" s="164" t="str">
        <f>IF(D90="","",VLOOKUP(D90,Flight!$A$68:$C$91,3,FALSE))</f>
        <v>ZYK</v>
      </c>
    </row>
    <row r="91" spans="4:6">
      <c r="D91" s="49" t="str">
        <f>IF(Flight!$A78=0,"",Flight!$A78)</f>
        <v/>
      </c>
      <c r="F91" s="164" t="str">
        <f>IF(D91="","",VLOOKUP(D91,Flight!$A$68:$C$91,3,FALSE))</f>
        <v/>
      </c>
    </row>
    <row r="92" spans="4:6">
      <c r="D92" s="49" t="str">
        <f>IF(Flight!$A80=0,"",Flight!$A80)</f>
        <v>8S7121</v>
      </c>
      <c r="F92" s="164" t="str">
        <f>IF(D92="","",VLOOKUP(D92,Flight!$A$68:$C$91,3,FALSE))</f>
        <v>HKM</v>
      </c>
    </row>
    <row r="93" spans="4:6">
      <c r="D93" s="49" t="str">
        <f>IF(Flight!$A81=0,"",Flight!$A81)</f>
        <v>8S7108</v>
      </c>
      <c r="F93" s="164" t="str">
        <f>IF(D93="","",VLOOKUP(D93,Flight!$A$68:$C$91,3,FALSE))</f>
        <v>ZYK</v>
      </c>
    </row>
    <row r="94" spans="4:6">
      <c r="D94" s="49" t="str">
        <f>IF(Flight!$A82=0,"",Flight!$A82)</f>
        <v>8S7111</v>
      </c>
      <c r="F94" s="164" t="str">
        <f>IF(D94="","",VLOOKUP(D94,Flight!$A$68:$C$91,3,FALSE))</f>
        <v>ZYK</v>
      </c>
    </row>
    <row r="95" spans="4:6">
      <c r="D95" s="49" t="str">
        <f>IF(Flight!$A83=0,"",Flight!$A83)</f>
        <v>8S7131</v>
      </c>
      <c r="F95" s="164" t="str">
        <f>IF(D95="","",VLOOKUP(D95,Flight!$A$68:$C$91,3,FALSE))</f>
        <v>?</v>
      </c>
    </row>
    <row r="96" spans="4:6">
      <c r="D96" s="49" t="str">
        <f>IF(Flight!$A84=0,"",Flight!$A84)</f>
        <v>8S7119</v>
      </c>
      <c r="F96" s="164" t="str">
        <f>IF(D96="","",VLOOKUP(D96,Flight!$A$68:$C$91,3,FALSE))</f>
        <v>HKM</v>
      </c>
    </row>
    <row r="97" spans="4:6">
      <c r="D97" s="49" t="str">
        <f>IF(Flight!$A85=0,"",Flight!$A85)</f>
        <v>8S7126</v>
      </c>
      <c r="F97" s="164" t="str">
        <f>IF(D97="","",VLOOKUP(D97,Flight!$A$68:$C$91,3,FALSE))</f>
        <v>HKM</v>
      </c>
    </row>
    <row r="98" spans="4:6">
      <c r="D98" s="49" t="str">
        <f>IF(Flight!$A86=0,"",Flight!$A86)</f>
        <v>8S7128</v>
      </c>
      <c r="F98" s="164" t="str">
        <f>IF(D98="","",VLOOKUP(D98,Flight!$A$68:$C$91,3,FALSE))</f>
        <v>HKM</v>
      </c>
    </row>
    <row r="99" spans="4:6">
      <c r="D99" s="49" t="str">
        <f>IF(Flight!$A87=0,"",Flight!$A87)</f>
        <v>3A8010</v>
      </c>
      <c r="F99" s="164" t="str">
        <f>IF(D99="","",VLOOKUP(D99,Flight!$A$68:$C$91,3,FALSE))</f>
        <v>HZI</v>
      </c>
    </row>
    <row r="100" spans="4:6">
      <c r="D100" s="49" t="str">
        <f>IF(Flight!$A88=0,"",Flight!$A88)</f>
        <v>3A8015</v>
      </c>
      <c r="F100" s="164" t="str">
        <f>IF(D100="","",VLOOKUP(D100,Flight!$A$68:$C$91,3,FALSE))</f>
        <v>?</v>
      </c>
    </row>
    <row r="101" spans="4:6">
      <c r="D101" s="49" t="str">
        <f>IF(Flight!$A89=0,"",Flight!$A89)</f>
        <v>3A8016</v>
      </c>
      <c r="F101" s="164" t="str">
        <f>IF(D101="","",VLOOKUP(D101,Flight!$A$68:$C$91,3,FALSE))</f>
        <v>HZI</v>
      </c>
    </row>
    <row r="102" spans="4:6">
      <c r="D102" s="49" t="str">
        <f>IF(Flight!$A91=0,"",Flight!$A91)</f>
        <v xml:space="preserve">Last </v>
      </c>
      <c r="F102" s="164" t="str">
        <f>IF(D102="","",VLOOKUP(D102,Flight!$A$68:$C$91,3,FALSE))</f>
        <v>↑</v>
      </c>
    </row>
    <row r="103" spans="4:6">
      <c r="D103" s="49" t="str">
        <f>IF(Flight!$A92=0,"",Flight!$A92)</f>
        <v/>
      </c>
      <c r="F103" s="164" t="str">
        <f>IF(D103="","",VLOOKUP(D103,Flight!$A$68:$C$91,3,FALSE))</f>
        <v/>
      </c>
    </row>
    <row r="104" spans="4:6">
      <c r="D104" s="186"/>
      <c r="F104" s="187"/>
    </row>
    <row r="105" spans="4:6">
      <c r="D105" s="406" t="str">
        <f>IF(Flight!$A$93=0,"",Flight!$A$93)</f>
        <v>Target Flight</v>
      </c>
      <c r="E105" s="406"/>
      <c r="F105" s="406"/>
    </row>
    <row r="106" spans="4:6">
      <c r="D106" s="27" t="s">
        <v>59</v>
      </c>
      <c r="E106" s="158"/>
      <c r="F106" s="10" t="s">
        <v>38</v>
      </c>
    </row>
    <row r="107" spans="4:6">
      <c r="D107" s="27" t="s">
        <v>89</v>
      </c>
      <c r="E107" s="158"/>
      <c r="F107" s="10" t="s">
        <v>38</v>
      </c>
    </row>
    <row r="108" spans="4:6">
      <c r="D108" s="27" t="s">
        <v>254</v>
      </c>
      <c r="E108" s="158"/>
      <c r="F108" s="10" t="s">
        <v>38</v>
      </c>
    </row>
    <row r="109" spans="4:6">
      <c r="D109" s="27" t="s">
        <v>57</v>
      </c>
      <c r="E109" s="158"/>
      <c r="F109" s="10" t="s">
        <v>58</v>
      </c>
    </row>
    <row r="110" spans="4:6">
      <c r="D110" s="27" t="s">
        <v>198</v>
      </c>
      <c r="E110" s="158"/>
      <c r="F110" s="10" t="s">
        <v>199</v>
      </c>
    </row>
    <row r="111" spans="4:6">
      <c r="D111" s="27" t="s">
        <v>55</v>
      </c>
      <c r="E111" s="158"/>
      <c r="F111" s="10" t="s">
        <v>54</v>
      </c>
    </row>
    <row r="112" spans="4:6">
      <c r="D112" s="27" t="s">
        <v>39</v>
      </c>
      <c r="E112" s="158"/>
      <c r="F112" s="10" t="s">
        <v>38</v>
      </c>
    </row>
    <row r="113" spans="4:6">
      <c r="D113" s="27" t="s">
        <v>200</v>
      </c>
      <c r="E113" s="158"/>
      <c r="F113" s="10" t="s">
        <v>54</v>
      </c>
    </row>
    <row r="114" spans="4:6">
      <c r="D114" s="27" t="s">
        <v>201</v>
      </c>
      <c r="E114" s="158"/>
      <c r="F114" s="10" t="s">
        <v>38</v>
      </c>
    </row>
    <row r="115" spans="4:6">
      <c r="D115" s="161"/>
      <c r="E115" s="158"/>
      <c r="F115" s="159"/>
    </row>
    <row r="116" spans="4:6">
      <c r="D116" s="161"/>
      <c r="E116" s="158"/>
      <c r="F116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7:E47"/>
    <mergeCell ref="G47:H47"/>
    <mergeCell ref="I47:J47"/>
    <mergeCell ref="K46:M46"/>
    <mergeCell ref="H6:H7"/>
    <mergeCell ref="I6:I7"/>
    <mergeCell ref="J6:J7"/>
    <mergeCell ref="K6:M6"/>
    <mergeCell ref="A43:F43"/>
    <mergeCell ref="I43:M44"/>
    <mergeCell ref="A44:H44"/>
    <mergeCell ref="A6:A7"/>
    <mergeCell ref="B6:C6"/>
    <mergeCell ref="D6:D7"/>
    <mergeCell ref="E6:E7"/>
    <mergeCell ref="F6:F7"/>
    <mergeCell ref="A45:H45"/>
    <mergeCell ref="A46:B46"/>
    <mergeCell ref="D46:E46"/>
    <mergeCell ref="G46:H46"/>
    <mergeCell ref="I46:J46"/>
    <mergeCell ref="K47:M47"/>
    <mergeCell ref="A52:B52"/>
    <mergeCell ref="C52:E52"/>
    <mergeCell ref="F52:I52"/>
    <mergeCell ref="K52:M52"/>
    <mergeCell ref="A49:B49"/>
    <mergeCell ref="C49:E49"/>
    <mergeCell ref="G49:I49"/>
    <mergeCell ref="K49:M49"/>
    <mergeCell ref="C50:E50"/>
    <mergeCell ref="G50:I50"/>
    <mergeCell ref="K50:M50"/>
    <mergeCell ref="D48:E48"/>
    <mergeCell ref="G48:H48"/>
    <mergeCell ref="I48:J48"/>
    <mergeCell ref="A47:B47"/>
    <mergeCell ref="D54:E54"/>
    <mergeCell ref="F54:G54"/>
    <mergeCell ref="H54:I54"/>
    <mergeCell ref="D51:I51"/>
    <mergeCell ref="K51:M51"/>
    <mergeCell ref="A53:B53"/>
    <mergeCell ref="C53:E53"/>
    <mergeCell ref="F53:G53"/>
    <mergeCell ref="H53:I53"/>
    <mergeCell ref="K53:M53"/>
    <mergeCell ref="D105:F105"/>
    <mergeCell ref="A55:B55"/>
    <mergeCell ref="C55:E55"/>
    <mergeCell ref="H55:I55"/>
    <mergeCell ref="C56:H56"/>
    <mergeCell ref="I57:J57"/>
    <mergeCell ref="D81:F81"/>
  </mergeCells>
  <phoneticPr fontId="2" type="noConversion"/>
  <conditionalFormatting sqref="H8:H41 E8:E41">
    <cfRule type="cellIs" dxfId="35" priority="4" operator="equal">
      <formula>""</formula>
    </cfRule>
  </conditionalFormatting>
  <conditionalFormatting sqref="F62:H79">
    <cfRule type="cellIs" dxfId="34" priority="3" operator="equal">
      <formula>"?"</formula>
    </cfRule>
  </conditionalFormatting>
  <conditionalFormatting sqref="D43:D999 D8:D41">
    <cfRule type="duplicateValues" dxfId="33" priority="5"/>
  </conditionalFormatting>
  <conditionalFormatting sqref="H42 E42">
    <cfRule type="cellIs" dxfId="32" priority="1" operator="equal">
      <formula>""</formula>
    </cfRule>
  </conditionalFormatting>
  <conditionalFormatting sqref="D42">
    <cfRule type="duplicateValues" dxfId="31" priority="2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D47:E47</xm:sqref>
        </x14:dataValidation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allowBlank="1" showInputMessage="1">
          <x14:formula1>
            <xm:f>Staff!$G$23:$G$52</xm:f>
          </x14:formula1>
          <xm:sqref>K49:M53</xm:sqref>
        </x14:dataValidation>
        <x14:dataValidation type="list" allowBlank="1" showInputMessage="1">
          <x14:formula1>
            <xm:f>Staff!$G$12:$G$52</xm:f>
          </x14:formula1>
          <xm:sqref>G49:I50</xm:sqref>
        </x14:dataValidation>
        <x14:dataValidation type="list" allowBlank="1" showInputMessage="1">
          <x14:formula1>
            <xm:f>Staff!$G$2:$G$9</xm:f>
          </x14:formula1>
          <xm:sqref>K46:M47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4"/>
  <sheetViews>
    <sheetView view="pageBreakPreview" zoomScale="90" zoomScaleNormal="100" zoomScaleSheetLayoutView="90" workbookViewId="0">
      <selection activeCell="D31" sqref="D31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45771</v>
      </c>
      <c r="E1" s="355"/>
      <c r="F1" s="333" t="s">
        <v>23</v>
      </c>
      <c r="G1" s="110">
        <f>D1</f>
        <v>45771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S7(0) </v>
      </c>
      <c r="C4" s="367"/>
      <c r="D4" s="366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 &lt;S1(0)&gt;  S3(0) </v>
      </c>
      <c r="E4" s="367"/>
      <c r="F4" s="366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S4(0) </v>
      </c>
      <c r="G4" s="367"/>
      <c r="H4" s="366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S2(0) </v>
      </c>
      <c r="I4" s="367"/>
      <c r="J4" s="366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S9(0)  &lt;S11(0)&gt;  S12(0) </v>
      </c>
      <c r="K4" s="367"/>
      <c r="L4" s="366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S10(0)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0" si="0">IF($E8&lt;&gt;"",IF($E8-715&lt;0,VLOOKUP($B$3,$E$60:$J$71,6,FALSE),IF(AND($E8-2130&gt;0,_xlfn.IFNA(MATCH($D8,$D$104:$D$114,0)&lt;20,"")=TRUE),VLOOKUP($L$3,$E$60:$J$71,6,FALSE),"-")),"")</f>
        <v>S7</v>
      </c>
      <c r="C8" s="9" t="str">
        <f t="shared" ref="C8:C13" si="1">IF($E8&lt;&gt;"",IF(ISNUMBER(SEARCH("Hall Operation",$K8)),"-",IF($E8-715&lt;0,VLOOKUP($B$3,$E$60:$J$71,6,FALSE),IF($E8-2129&gt;0,VLOOKUP($L$3,$E$60:$J$71,6,FALSE),""))),"")</f>
        <v>-</v>
      </c>
      <c r="D8" s="165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20" si="2">IF($D8=0,"",IF(OR(ISNUMBER(SEARCH("S",$B8)),_xlfn.IFNA(MATCH($D8,$D$104:$D$114,0)&lt;20,"")=TRUE),"&lt;   Hall Operation   &gt;",""))</f>
        <v>&lt;   Hall Operation   &gt;</v>
      </c>
      <c r="L8" s="166"/>
      <c r="M8" s="166"/>
      <c r="N8" s="173"/>
    </row>
    <row r="9" spans="1:16" s="346" customFormat="1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S7</v>
      </c>
      <c r="C9" s="9" t="str">
        <f t="shared" si="1"/>
        <v>-</v>
      </c>
      <c r="D9" s="336" t="s">
        <v>991</v>
      </c>
      <c r="E9" s="172" t="str">
        <f>IF($D9&gt;0,VLOOKUP($D9,Flight!$A$1:$E$91,2,FALSE),"")</f>
        <v>0545</v>
      </c>
      <c r="F9" s="43"/>
      <c r="G9" s="43" t="str">
        <f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  <c r="N9" s="173"/>
      <c r="O9" s="112"/>
    </row>
    <row r="10" spans="1:16" ht="16.5" customHeight="1">
      <c r="A10" s="9">
        <f>IF($A7="S/N",1,IF($F10="Wavied","-",IF($D10=0,"",ROW($A10)-ROW($A$7)-COUNTIF($A$7:$A$8,"@")-COUNTIF($A$7:$A$8,"-"))))</f>
        <v>3</v>
      </c>
      <c r="B10" s="9" t="str">
        <f t="shared" si="0"/>
        <v>S7</v>
      </c>
      <c r="C10" s="9" t="str">
        <f t="shared" si="1"/>
        <v>-</v>
      </c>
      <c r="D10" s="213" t="s">
        <v>992</v>
      </c>
      <c r="E10" s="172" t="str">
        <f>IF($D10&gt;0,VLOOKUP($D10,Flight!$A$1:$E$91,2,FALSE),"")</f>
        <v>0555</v>
      </c>
      <c r="F10" s="45"/>
      <c r="G10" s="43" t="str">
        <f t="shared" ref="G10:G40" si="3">IF(A10="@",IF(H10="ZYK","Berth 3",IF(H10="HKM","Bay 7","")),"")</f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IF($A8="S/N",1,IF($F11="Wavied","-",IF($D11=0,"",ROW($A11)-ROW($A$7)-COUNTIF($A$7:$A$8,"@")-COUNTIF($A$7:$A$8,"-"))))</f>
        <v>4</v>
      </c>
      <c r="B11" s="9" t="str">
        <f t="shared" si="0"/>
        <v>S7</v>
      </c>
      <c r="C11" s="9" t="str">
        <f t="shared" si="1"/>
        <v>-</v>
      </c>
      <c r="D11" s="213" t="s">
        <v>993</v>
      </c>
      <c r="E11" s="172" t="str">
        <f>IF($D11&gt;0,VLOOKUP($D11,Flight!$A$1:$E$91,2,FALSE),"")</f>
        <v>0615</v>
      </c>
      <c r="F11" s="45"/>
      <c r="G11" s="43" t="str">
        <f t="shared" si="3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ref="A12:A38" si="4">IF($A10="S/N",1,IF($F12="Wavied","-",IF($D12=0,"",ROW($A12)-ROW($A$7)-COUNTIF($A$7:$A$8,"@")-COUNTIF($A$7:$A$8,"-"))))</f>
        <v>5</v>
      </c>
      <c r="B12" s="9" t="str">
        <f t="shared" si="0"/>
        <v>S7</v>
      </c>
      <c r="C12" s="9" t="str">
        <f t="shared" si="1"/>
        <v>-</v>
      </c>
      <c r="D12" s="27" t="s">
        <v>994</v>
      </c>
      <c r="E12" s="172" t="str">
        <f>IF($D12&gt;0,VLOOKUP($D12,Flight!$A$1:$E$91,2,FALSE),"")</f>
        <v>0640</v>
      </c>
      <c r="F12" s="43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si="4"/>
        <v>6</v>
      </c>
      <c r="B13" s="9" t="str">
        <f t="shared" si="0"/>
        <v>-</v>
      </c>
      <c r="C13" s="9" t="str">
        <f t="shared" si="1"/>
        <v>-</v>
      </c>
      <c r="D13" s="27" t="s">
        <v>995</v>
      </c>
      <c r="E13" s="172" t="str">
        <f>IF($D13&gt;0,VLOOKUP($D13,Flight!$A$1:$E$91,2,FALSE),"")</f>
        <v>0905</v>
      </c>
      <c r="F13" s="45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6">
      <c r="A14" s="9">
        <f t="shared" si="4"/>
        <v>7</v>
      </c>
      <c r="B14" s="9" t="str">
        <f t="shared" si="0"/>
        <v>-</v>
      </c>
      <c r="C14" s="257" t="s">
        <v>1001</v>
      </c>
      <c r="D14" s="213" t="s">
        <v>980</v>
      </c>
      <c r="E14" s="172" t="str">
        <f>IF($D14&gt;0,VLOOKUP($D14,Flight!$A$1:$E$91,2,FALSE),"")</f>
        <v>0930</v>
      </c>
      <c r="F14" s="46"/>
      <c r="G14" s="43" t="str">
        <f t="shared" si="3"/>
        <v/>
      </c>
      <c r="H14" s="44" t="str">
        <f>IF($D14&gt;0,VLOOKUP($D14,Flight!$A$1:$E$91,3,FALSE),"")</f>
        <v>HYD</v>
      </c>
      <c r="I14" s="44" t="str">
        <f>IF($D14&gt;0,IF(VLOOKUP($D14,Flight!$A$1:$E$91,4,FALSE)&gt;1,VLOOKUP($D14,Flight!$A$1:$E96,4,FALSE),""),"")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/>
      </c>
      <c r="L14" s="166"/>
      <c r="M14" s="166"/>
      <c r="P14" s="87"/>
    </row>
    <row r="15" spans="1:16">
      <c r="A15" s="9">
        <f t="shared" si="4"/>
        <v>8</v>
      </c>
      <c r="B15" s="9" t="str">
        <f t="shared" si="0"/>
        <v>-</v>
      </c>
      <c r="C15" s="9" t="str">
        <f t="shared" ref="C15:C40" si="5">IF($E15&lt;&gt;"",IF(ISNUMBER(SEARCH("Hall Operation",$K15)),"-",IF($E15-715&lt;0,VLOOKUP($B$3,$E$60:$J$71,6,FALSE),IF($E15-2129&gt;0,VLOOKUP($L$3,$E$60:$J$71,6,FALSE),""))),"")</f>
        <v>-</v>
      </c>
      <c r="D15" s="213" t="s">
        <v>370</v>
      </c>
      <c r="E15" s="172" t="str">
        <f>IF($D15&gt;0,VLOOKUP($D15,Flight!$A$1:$E$91,2,FALSE),"")</f>
        <v>0935</v>
      </c>
      <c r="F15" s="46"/>
      <c r="G15" s="43" t="str">
        <f t="shared" si="3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IF($D15&gt;0,IF(VLOOKUP($D15,Flight!$A$1:$E$91,4,FALSE)&gt;1,VLOOKUP($D15,Flight!$A$1:$E97,4,FALSE),""),"")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</row>
    <row r="16" spans="1:16">
      <c r="A16" s="9">
        <f t="shared" si="4"/>
        <v>9</v>
      </c>
      <c r="B16" s="9" t="str">
        <f t="shared" si="0"/>
        <v>-</v>
      </c>
      <c r="C16" s="9" t="str">
        <f t="shared" si="5"/>
        <v>-</v>
      </c>
      <c r="D16" s="213" t="s">
        <v>371</v>
      </c>
      <c r="E16" s="172" t="str">
        <f>IF($D16&gt;0,VLOOKUP($D16,Flight!$A$1:$E$91,2,FALSE),"")</f>
        <v>0955</v>
      </c>
      <c r="F16" s="46"/>
      <c r="G16" s="43" t="str">
        <f t="shared" si="3"/>
        <v/>
      </c>
      <c r="H16" s="44" t="str">
        <f>IF($D16&gt;0,VLOOKUP($D16,Flight!$A$1:$E$91,3,FALSE),"")</f>
        <v>BOM</v>
      </c>
      <c r="I16" s="44" t="str">
        <f>IF($D16&gt;0,IF(VLOOKUP($D16,Flight!$A$1:$E$91,4,FALSE)&gt;1,VLOOKUP($D16,Flight!$A$1:$E98,4,FALSE),""),"")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>
      <c r="A17" s="9">
        <f t="shared" si="4"/>
        <v>10</v>
      </c>
      <c r="B17" s="9" t="str">
        <f t="shared" si="0"/>
        <v>-</v>
      </c>
      <c r="C17" s="9" t="str">
        <f t="shared" si="5"/>
        <v/>
      </c>
      <c r="D17" s="27" t="s">
        <v>372</v>
      </c>
      <c r="E17" s="172" t="str">
        <f>IF($D17&gt;0,VLOOKUP($D17,Flight!$A$1:$E$91,2,FALSE),"")</f>
        <v>1000</v>
      </c>
      <c r="F17" s="45"/>
      <c r="G17" s="43" t="str">
        <f t="shared" si="3"/>
        <v/>
      </c>
      <c r="H17" s="44" t="str">
        <f>IF($D17&gt;0,VLOOKUP($D17,Flight!$A$1:$E$91,3,FALSE),"")</f>
        <v>DMK</v>
      </c>
      <c r="I17" s="44" t="str">
        <f>IF($D17&gt;0,IF(VLOOKUP($D17,Flight!$A$1:$E$91,4,FALSE)&gt;1,VLOOKUP($D17,Flight!$A$1:$E99,4,FALSE),""),"")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/>
      </c>
      <c r="L17" s="166"/>
      <c r="M17" s="166"/>
      <c r="O17" s="114"/>
    </row>
    <row r="18" spans="1:15" ht="16.5" customHeight="1">
      <c r="A18" s="9">
        <f t="shared" si="4"/>
        <v>11</v>
      </c>
      <c r="B18" s="9" t="str">
        <f t="shared" si="0"/>
        <v>-</v>
      </c>
      <c r="C18" s="9" t="str">
        <f t="shared" si="5"/>
        <v/>
      </c>
      <c r="D18" s="27" t="s">
        <v>373</v>
      </c>
      <c r="E18" s="172" t="str">
        <f>IF($D18&gt;0,VLOOKUP($D18,Flight!$A$1:$E$91,2,FALSE),"")</f>
        <v>1010</v>
      </c>
      <c r="F18" s="45"/>
      <c r="G18" s="43" t="str">
        <f t="shared" si="3"/>
        <v/>
      </c>
      <c r="H18" s="44" t="str">
        <f>IF($D18&gt;0,VLOOKUP($D18,Flight!$A$1:$E$91,3,FALSE),"")</f>
        <v>MNL</v>
      </c>
      <c r="I18" s="44" t="str">
        <f>IF($D18&gt;0,IF(VLOOKUP($D18,Flight!$A$1:$E$91,4,FALSE)&gt;1,VLOOKUP($D18,Flight!$A$1:$E100,4,FALSE),""),"")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>
        <f t="shared" si="4"/>
        <v>12</v>
      </c>
      <c r="B19" s="9" t="str">
        <f t="shared" si="0"/>
        <v>-</v>
      </c>
      <c r="C19" s="9" t="str">
        <f t="shared" si="5"/>
        <v/>
      </c>
      <c r="D19" s="27" t="s">
        <v>374</v>
      </c>
      <c r="E19" s="172" t="str">
        <f>IF($D19&gt;0,VLOOKUP($D19,Flight!$A$1:$E$91,2,FALSE),"")</f>
        <v>1115</v>
      </c>
      <c r="F19" s="45"/>
      <c r="G19" s="43" t="str">
        <f t="shared" si="3"/>
        <v/>
      </c>
      <c r="H19" s="44" t="str">
        <f>IF($D19&gt;0,VLOOKUP($D19,Flight!$A$1:$E$91,3,FALSE),"")</f>
        <v>KUL</v>
      </c>
      <c r="I19" s="44" t="str">
        <f>IF($D19&gt;0,IF(VLOOKUP($D19,Flight!$A$1:$E$91,4,FALSE)&gt;1,VLOOKUP($D19,Flight!$A$1:$E101,4,FALSE),""),"")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5"/>
        <v/>
      </c>
      <c r="D20" s="27" t="s">
        <v>375</v>
      </c>
      <c r="E20" s="172" t="str">
        <f>IF($D20&gt;0,VLOOKUP($D20,Flight!$A$1:$E$91,2,FALSE),"")</f>
        <v>1145</v>
      </c>
      <c r="F20" s="45"/>
      <c r="G20" s="43" t="str">
        <f t="shared" si="3"/>
        <v/>
      </c>
      <c r="H20" s="44" t="str">
        <f>IF($D20&gt;0,VLOOKUP($D20,Flight!$A$1:$E$91,3,FALSE),"")</f>
        <v>BKK</v>
      </c>
      <c r="I20" s="44" t="str">
        <f>IF($D20&gt;0,IF(VLOOKUP($D20,Flight!$A$1:$E$91,4,FALSE)&gt;1,VLOOKUP($D20,Flight!$A$1:$E102,4,FALSE),""),"")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 s="346" customFormat="1">
      <c r="A21" s="9">
        <f t="shared" si="4"/>
        <v>14</v>
      </c>
      <c r="B21" s="9" t="str">
        <f t="shared" si="0"/>
        <v>-</v>
      </c>
      <c r="C21" s="9" t="str">
        <f t="shared" si="5"/>
        <v/>
      </c>
      <c r="D21" s="27" t="s">
        <v>996</v>
      </c>
      <c r="E21" s="172">
        <v>1210</v>
      </c>
      <c r="F21" s="45"/>
      <c r="G21" s="43" t="str">
        <f t="shared" ref="G21" si="6">IF(A21="@",IF(H21="ZYK","Berth 3",IF(H21="HKM","Bay 7","")),"")</f>
        <v/>
      </c>
      <c r="H21" s="44" t="str">
        <f>IF($D21&gt;0,VLOOKUP($D21,Flight!$A$1:$E$91,3,FALSE),"")</f>
        <v>BKK</v>
      </c>
      <c r="I21" s="44"/>
      <c r="J21" s="44"/>
      <c r="K21" s="166"/>
      <c r="L21" s="166"/>
      <c r="M21" s="166"/>
      <c r="O21" s="114"/>
    </row>
    <row r="22" spans="1:15">
      <c r="A22" s="9">
        <f>IF($A19="S/N",1,IF($F22="Wavied","-",IF($D22=0,"",ROW($A22)-ROW($A$7)-COUNTIF($A$7:$A$8,"@")-COUNTIF($A$7:$A$8,"-"))))</f>
        <v>15</v>
      </c>
      <c r="B22" s="9" t="str">
        <f t="shared" si="0"/>
        <v>-</v>
      </c>
      <c r="C22" s="9" t="str">
        <f t="shared" si="5"/>
        <v/>
      </c>
      <c r="D22" s="9" t="s">
        <v>376</v>
      </c>
      <c r="E22" s="172" t="str">
        <f>IF($D22&gt;0,VLOOKUP($D22,Flight!$A$1:$E$91,2,FALSE),"")</f>
        <v>1305</v>
      </c>
      <c r="F22" s="45"/>
      <c r="G22" s="43" t="str">
        <f t="shared" si="3"/>
        <v/>
      </c>
      <c r="H22" s="44" t="str">
        <f>IF($D22&gt;0,VLOOKUP($D22,Flight!$A$1:$E$91,3,FALSE),"")</f>
        <v>DMK</v>
      </c>
      <c r="I22" s="44" t="str">
        <f>IF($D22&gt;0,IF(VLOOKUP($D22,Flight!$A$1:$E$91,4,FALSE)&gt;1,VLOOKUP($D22,Flight!$A$1:$E103,4,FALSE),""),"")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ref="K22:K28" si="7">IF($D22=0,"",IF(OR(ISNUMBER(SEARCH("S",$B22)),_xlfn.IFNA(MATCH($D22,$D$104:$D$114,0)&lt;20,"")=TRUE),"&lt;   Hall Operation   &gt;",""))</f>
        <v/>
      </c>
      <c r="L22" s="166"/>
      <c r="M22" s="166"/>
      <c r="O22" s="114"/>
    </row>
    <row r="23" spans="1:15" ht="15.75" customHeight="1">
      <c r="A23" s="9">
        <f>IF($A20="S/N",1,IF($F23="Wavied","-",IF($D23=0,"",ROW($A23)-ROW($A$7)-COUNTIF($A$7:$A$8,"@")-COUNTIF($A$7:$A$8,"-"))))</f>
        <v>16</v>
      </c>
      <c r="B23" s="9" t="str">
        <f t="shared" si="0"/>
        <v>-</v>
      </c>
      <c r="C23" s="9" t="str">
        <f t="shared" si="5"/>
        <v>-</v>
      </c>
      <c r="D23" s="214" t="s">
        <v>377</v>
      </c>
      <c r="E23" s="172" t="str">
        <f>IF($D23&gt;0,VLOOKUP($D23,Flight!$A$1:$E$91,2,FALSE),"")</f>
        <v>1310</v>
      </c>
      <c r="F23" s="44"/>
      <c r="G23" s="43" t="str">
        <f t="shared" si="3"/>
        <v/>
      </c>
      <c r="H23" s="44" t="str">
        <f>IF($D23&gt;0,VLOOKUP($D23,Flight!$A$1:$E$91,3,FALSE),"")</f>
        <v>DEL</v>
      </c>
      <c r="I23" s="44" t="str">
        <f>IF($D23&gt;0,IF(VLOOKUP($D23,Flight!$A$1:$E$91,4,FALSE)&gt;1,VLOOKUP($D23,Flight!$A$1:$E104,4,FALSE),""),"")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7"/>
        <v>&lt;   Hall Operation   &gt;</v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5"/>
        <v/>
      </c>
      <c r="D24" s="9" t="s">
        <v>378</v>
      </c>
      <c r="E24" s="172" t="str">
        <f>IF($D24&gt;0,VLOOKUP($D24,Flight!$A$1:$E$91,2,FALSE),"")</f>
        <v>1415</v>
      </c>
      <c r="F24" s="44"/>
      <c r="G24" s="43" t="str">
        <f t="shared" si="3"/>
        <v/>
      </c>
      <c r="H24" s="44" t="str">
        <f>IF($D24&gt;0,VLOOKUP($D24,Flight!$A$1:$E$91,3,FALSE),"")</f>
        <v>KUL</v>
      </c>
      <c r="I24" s="44" t="str">
        <f>IF($D24&gt;0,IF(VLOOKUP($D24,Flight!$A$1:$E$91,4,FALSE)&gt;1,VLOOKUP($D24,Flight!$A$1:$E105,4,FALSE),""),"")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7"/>
        <v/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5"/>
        <v/>
      </c>
      <c r="D25" s="27" t="s">
        <v>379</v>
      </c>
      <c r="E25" s="172" t="str">
        <f>IF($D25&gt;0,VLOOKUP($D25,Flight!$A$1:$E$91,2,FALSE),"")</f>
        <v>1420</v>
      </c>
      <c r="F25" s="44"/>
      <c r="G25" s="43" t="str">
        <f t="shared" si="3"/>
        <v/>
      </c>
      <c r="H25" s="44" t="str">
        <f>IF($D25&gt;0,VLOOKUP($D25,Flight!$A$1:$E$91,3,FALSE),"")</f>
        <v>BKK</v>
      </c>
      <c r="I25" s="44" t="str">
        <f>IF($D25&gt;0,IF(VLOOKUP($D25,Flight!$A$1:$E$91,4,FALSE)&gt;1,VLOOKUP($D25,Flight!$A$1:$E106,4,FALSE),""),"")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7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5"/>
        <v/>
      </c>
      <c r="D26" s="27" t="s">
        <v>380</v>
      </c>
      <c r="E26" s="172" t="str">
        <f>IF($D26&gt;0,VLOOKUP($D26,Flight!$A$1:$E$91,2,FALSE),"")</f>
        <v>1455</v>
      </c>
      <c r="F26" s="45"/>
      <c r="G26" s="43" t="str">
        <f t="shared" si="3"/>
        <v/>
      </c>
      <c r="H26" s="44" t="str">
        <f>IF($D26&gt;0,VLOOKUP($D26,Flight!$A$1:$E$91,3,FALSE),"")</f>
        <v>ADD</v>
      </c>
      <c r="I26" s="44" t="str">
        <f>IF($D26&gt;0,IF(VLOOKUP($D26,Flight!$A$1:$E$91,4,FALSE)&gt;1,VLOOKUP($D26,Flight!$A$1:$E107,4,FALSE),""),"")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7"/>
        <v/>
      </c>
      <c r="L26" s="166"/>
      <c r="M26" s="166"/>
      <c r="O26" s="114"/>
    </row>
    <row r="27" spans="1:15">
      <c r="A27" s="9">
        <f t="shared" si="4"/>
        <v>20</v>
      </c>
      <c r="B27" s="9" t="str">
        <f t="shared" si="0"/>
        <v>-</v>
      </c>
      <c r="C27" s="9" t="str">
        <f t="shared" si="5"/>
        <v/>
      </c>
      <c r="D27" s="27" t="s">
        <v>381</v>
      </c>
      <c r="E27" s="172" t="str">
        <f>IF($D27&gt;0,VLOOKUP($D27,Flight!$A$1:$E$91,2,FALSE),"")</f>
        <v>1510</v>
      </c>
      <c r="F27" s="45"/>
      <c r="G27" s="43" t="str">
        <f t="shared" si="3"/>
        <v/>
      </c>
      <c r="H27" s="44" t="str">
        <f>IF($D27&gt;0,VLOOKUP($D27,Flight!$A$1:$E$91,3,FALSE),"")</f>
        <v>DOH</v>
      </c>
      <c r="I27" s="44" t="str">
        <f>IF($D27&gt;0,IF(VLOOKUP($D27,Flight!$A$1:$E$91,4,FALSE)&gt;1,VLOOKUP($D27,Flight!$A$1:$E108,4,FALSE),""),"")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7"/>
        <v/>
      </c>
      <c r="L27" s="166"/>
      <c r="M27" s="166"/>
      <c r="O27" s="114"/>
    </row>
    <row r="28" spans="1:15">
      <c r="A28" s="9">
        <f t="shared" si="4"/>
        <v>21</v>
      </c>
      <c r="B28" s="9" t="str">
        <f t="shared" si="0"/>
        <v>-</v>
      </c>
      <c r="C28" s="9" t="str">
        <f t="shared" si="5"/>
        <v/>
      </c>
      <c r="D28" s="27" t="s">
        <v>382</v>
      </c>
      <c r="E28" s="172" t="str">
        <f>IF($D28&gt;0,VLOOKUP($D28,Flight!$A$1:$E$91,2,FALSE),"")</f>
        <v>1715</v>
      </c>
      <c r="F28" s="44"/>
      <c r="G28" s="43" t="str">
        <f t="shared" si="3"/>
        <v/>
      </c>
      <c r="H28" s="44" t="str">
        <f>IF($D28&gt;0,VLOOKUP($D28,Flight!$A$1:$E$91,3,FALSE),"")</f>
        <v>IST</v>
      </c>
      <c r="I28" s="44" t="str">
        <f>IF($D28&gt;0,IF(VLOOKUP($D28,Flight!$A$1:$E$91,4,FALSE)&gt;1,VLOOKUP($D28,Flight!$A$1:$E109,4,FALSE),""),"")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7"/>
        <v/>
      </c>
      <c r="L28" s="166"/>
      <c r="M28" s="166"/>
      <c r="O28" s="114"/>
    </row>
    <row r="29" spans="1:15" s="346" customFormat="1">
      <c r="A29" s="9">
        <f t="shared" si="4"/>
        <v>22</v>
      </c>
      <c r="B29" s="9" t="str">
        <f t="shared" si="0"/>
        <v>-</v>
      </c>
      <c r="C29" s="9" t="str">
        <f t="shared" si="5"/>
        <v/>
      </c>
      <c r="D29" s="27" t="s">
        <v>997</v>
      </c>
      <c r="E29" s="172" t="str">
        <f>IF($D29&gt;0,VLOOKUP($D29,Flight!$A$1:$E$91,2,FALSE),"")</f>
        <v>1720</v>
      </c>
      <c r="F29" s="44"/>
      <c r="G29" s="43" t="str">
        <f t="shared" ref="G29" si="8">IF(A29="@",IF(H29="ZYK","Berth 3",IF(H29="HKM","Bay 7","")),"")</f>
        <v/>
      </c>
      <c r="H29" s="44" t="str">
        <f>IF($D29&gt;0,VLOOKUP($D29,Flight!$A$1:$E$91,3,FALSE),"")</f>
        <v>MNL</v>
      </c>
      <c r="I29" s="44" t="str">
        <f>IF($D29&gt;0,IF(VLOOKUP($D29,Flight!$A$1:$E$91,4,FALSE)&gt;1,VLOOKUP($D29,Flight!$A$1:$E110,4,FALSE),""),"")</f>
        <v/>
      </c>
      <c r="J29" s="44" t="str">
        <f>IF($D29&gt;0,IF(VLOOKUP($D29,Flight!$A$1:$E$91,5,FALSE)&gt;1,VLOOKUP($D29,Flight!$A$1:$E$91,5,FALSE),""),"")</f>
        <v/>
      </c>
      <c r="K29" s="166"/>
      <c r="L29" s="166"/>
      <c r="M29" s="166"/>
      <c r="O29" s="114"/>
    </row>
    <row r="30" spans="1:15" s="349" customFormat="1">
      <c r="A30" s="9">
        <f t="shared" si="4"/>
        <v>23</v>
      </c>
      <c r="B30" s="9" t="str">
        <f t="shared" si="0"/>
        <v>-</v>
      </c>
      <c r="C30" s="9" t="str">
        <f t="shared" si="5"/>
        <v/>
      </c>
      <c r="D30" s="27" t="s">
        <v>1007</v>
      </c>
      <c r="E30" s="172" t="str">
        <f>IF($D30&gt;0,VLOOKUP($D30,Flight!$A$1:$E$91,2,FALSE),"")</f>
        <v>1745</v>
      </c>
      <c r="F30" s="44"/>
      <c r="G30" s="43" t="str">
        <f t="shared" ref="G30" si="9">IF(A30="@",IF(H30="ZYK","Berth 3",IF(H30="HKM","Bay 7","")),"")</f>
        <v/>
      </c>
      <c r="H30" s="44" t="str">
        <f>IF($D30&gt;0,VLOOKUP($D30,Flight!$A$1:$E$91,3,FALSE),"")</f>
        <v>BKK</v>
      </c>
      <c r="I30" s="44"/>
      <c r="J30" s="44"/>
      <c r="K30" s="166"/>
      <c r="L30" s="166"/>
      <c r="M30" s="166"/>
      <c r="O30" s="114"/>
    </row>
    <row r="31" spans="1:15">
      <c r="A31" s="9">
        <f>IF($A27="S/N",1,IF($F31="Wavied","-",IF($D31=0,"",ROW($A31)-ROW($A$7)-COUNTIF($A$7:$A$8,"@")-COUNTIF($A$7:$A$8,"-"))))</f>
        <v>24</v>
      </c>
      <c r="B31" s="9" t="str">
        <f t="shared" si="0"/>
        <v>-</v>
      </c>
      <c r="C31" s="9" t="str">
        <f t="shared" si="5"/>
        <v/>
      </c>
      <c r="D31" s="27" t="s">
        <v>998</v>
      </c>
      <c r="E31" s="172" t="str">
        <f>IF($D31&gt;0,VLOOKUP($D31,Flight!$A$1:$E$91,2,FALSE),"")</f>
        <v>1755</v>
      </c>
      <c r="F31" s="45"/>
      <c r="G31" s="43" t="str">
        <f t="shared" si="3"/>
        <v/>
      </c>
      <c r="H31" s="44" t="str">
        <f>IF($D31&gt;0,VLOOKUP($D31,Flight!$A$1:$E$91,3,FALSE),"")</f>
        <v>KUL</v>
      </c>
      <c r="I31" s="44" t="str">
        <f>IF($D31&gt;0,IF(VLOOKUP($D31,Flight!$A$1:$E$91,4,FALSE)&gt;1,VLOOKUP($D31,Flight!$A$1:$E110,4,FALSE),""),"")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ref="K31:K40" si="10">IF($D31=0,"",IF(OR(ISNUMBER(SEARCH("S",$B31)),_xlfn.IFNA(MATCH($D31,$D$104:$D$114,0)&lt;20,"")=TRUE),"&lt;   Hall Operation   &gt;",""))</f>
        <v/>
      </c>
      <c r="L31" s="166"/>
      <c r="M31" s="166"/>
      <c r="O31" s="114"/>
    </row>
    <row r="32" spans="1:15">
      <c r="A32" s="9">
        <f>IF($A28="S/N",1,IF($F32="Wavied","-",IF($D32=0,"",ROW($A32)-ROW($A$7)-COUNTIF($A$7:$A$8,"@")-COUNTIF($A$7:$A$8,"-"))))</f>
        <v>25</v>
      </c>
      <c r="B32" s="9" t="str">
        <f t="shared" si="0"/>
        <v>-</v>
      </c>
      <c r="C32" s="9" t="str">
        <f t="shared" si="5"/>
        <v/>
      </c>
      <c r="D32" s="27" t="s">
        <v>384</v>
      </c>
      <c r="E32" s="172" t="str">
        <f>IF($D32&gt;0,VLOOKUP($D32,Flight!$A$1:$E$91,2,FALSE),"")</f>
        <v>1805</v>
      </c>
      <c r="F32" s="45"/>
      <c r="G32" s="43" t="str">
        <f t="shared" si="3"/>
        <v/>
      </c>
      <c r="H32" s="44" t="str">
        <f>IF($D32&gt;0,VLOOKUP($D32,Flight!$A$1:$E$91,3,FALSE),"")</f>
        <v>DXB</v>
      </c>
      <c r="I32" s="44" t="str">
        <f>IF($D32&gt;0,IF(VLOOKUP($D32,Flight!$A$1:$E$91,4,FALSE)&gt;1,VLOOKUP($D32,Flight!$A$1:$E111,4,FALSE),""),"")</f>
        <v>BKK</v>
      </c>
      <c r="J32" s="44" t="str">
        <f>IF($D32&gt;0,IF(VLOOKUP($D32,Flight!$A$1:$E$91,5,FALSE)&gt;1,VLOOKUP($D32,Flight!$A$1:$E$91,5,FALSE),""),"")</f>
        <v/>
      </c>
      <c r="K32" s="166" t="str">
        <f t="shared" si="10"/>
        <v/>
      </c>
      <c r="L32" s="166"/>
      <c r="M32" s="166"/>
    </row>
    <row r="33" spans="1:18">
      <c r="A33" s="9">
        <f t="shared" si="4"/>
        <v>26</v>
      </c>
      <c r="B33" s="9" t="str">
        <f t="shared" si="0"/>
        <v>-</v>
      </c>
      <c r="C33" s="9" t="str">
        <f t="shared" si="5"/>
        <v/>
      </c>
      <c r="D33" s="27" t="s">
        <v>999</v>
      </c>
      <c r="E33" s="172" t="str">
        <f>IF($D33&gt;0,VLOOKUP($D33,Flight!$A$1:$E$91,2,FALSE),"")</f>
        <v>1810</v>
      </c>
      <c r="F33" s="49"/>
      <c r="G33" s="43" t="str">
        <f t="shared" si="3"/>
        <v/>
      </c>
      <c r="H33" s="44" t="str">
        <f>IF($D33&gt;0,VLOOKUP($D33,Flight!$A$1:$E$91,3,FALSE),"")</f>
        <v>MNL</v>
      </c>
      <c r="I33" s="44" t="str">
        <f>IF($D33&gt;0,IF(VLOOKUP($D33,Flight!$A$1:$E$91,4,FALSE)&gt;1,VLOOKUP($D33,Flight!$A$1:$E112,4,FALSE),""),"")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10"/>
        <v/>
      </c>
      <c r="L33" s="166"/>
      <c r="M33" s="166"/>
    </row>
    <row r="34" spans="1:18">
      <c r="A34" s="9">
        <f t="shared" si="4"/>
        <v>27</v>
      </c>
      <c r="B34" s="9" t="str">
        <f t="shared" si="0"/>
        <v>-</v>
      </c>
      <c r="C34" s="9" t="str">
        <f t="shared" si="5"/>
        <v/>
      </c>
      <c r="D34" s="27" t="s">
        <v>1000</v>
      </c>
      <c r="E34" s="172" t="str">
        <f>IF($D34&gt;0,VLOOKUP($D34,Flight!$A$1:$E$91,2,FALSE),"")</f>
        <v>1820</v>
      </c>
      <c r="F34" s="45"/>
      <c r="G34" s="43" t="str">
        <f t="shared" si="3"/>
        <v/>
      </c>
      <c r="H34" s="44" t="str">
        <f>IF($D34&gt;0,VLOOKUP($D34,Flight!$A$1:$E$91,3,FALSE),"")</f>
        <v>SIN</v>
      </c>
      <c r="I34" s="44" t="str">
        <f>IF($D34&gt;0,IF(VLOOKUP($D34,Flight!$A$1:$E$91,4,FALSE)&gt;1,VLOOKUP($D34,Flight!$A$1:$E113,4,FALSE),""),"")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10"/>
        <v/>
      </c>
      <c r="L34" s="166"/>
      <c r="M34" s="166"/>
    </row>
    <row r="35" spans="1:18">
      <c r="A35" s="9">
        <f t="shared" ref="A35:A36" si="11">IF($A32="S/N",1,IF($F35="Wavied","-",IF($D35=0,"",ROW($A35)-ROW($A$7)-COUNTIF($A$7:$A$8,"@")-COUNTIF($A$7:$A$8,"-"))))</f>
        <v>28</v>
      </c>
      <c r="B35" s="9" t="str">
        <f t="shared" si="0"/>
        <v>-</v>
      </c>
      <c r="C35" s="9" t="str">
        <f t="shared" si="5"/>
        <v/>
      </c>
      <c r="D35" s="27" t="s">
        <v>387</v>
      </c>
      <c r="E35" s="172" t="str">
        <f>IF($D35&gt;0,VLOOKUP($D35,Flight!$A$1:$E$91,2,FALSE),"")</f>
        <v>1920</v>
      </c>
      <c r="F35" s="46"/>
      <c r="G35" s="43" t="str">
        <f t="shared" si="3"/>
        <v/>
      </c>
      <c r="H35" s="44" t="str">
        <f>IF($D35&gt;0,VLOOKUP($D35,Flight!$A$1:$E$91,3,FALSE),"")</f>
        <v>DMK</v>
      </c>
      <c r="I35" s="44" t="str">
        <f>IF($D35&gt;0,IF(VLOOKUP($D35,Flight!$A$1:$E$91,4,FALSE)&gt;1,VLOOKUP($D35,Flight!$A$1:$E115,4,FALSE),""),"")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10"/>
        <v/>
      </c>
      <c r="L35" s="166"/>
      <c r="M35" s="166"/>
    </row>
    <row r="36" spans="1:18">
      <c r="A36" s="9">
        <f t="shared" si="11"/>
        <v>29</v>
      </c>
      <c r="B36" s="9" t="str">
        <f t="shared" si="0"/>
        <v>-</v>
      </c>
      <c r="C36" s="9" t="str">
        <f t="shared" si="5"/>
        <v/>
      </c>
      <c r="D36" s="27" t="s">
        <v>388</v>
      </c>
      <c r="E36" s="172" t="str">
        <f>IF($D36&gt;0,VLOOKUP($D36,Flight!$A$1:$E$91,2,FALSE),"")</f>
        <v>1950</v>
      </c>
      <c r="F36" s="45"/>
      <c r="G36" s="43" t="str">
        <f t="shared" si="3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IF($D36&gt;0,IF(VLOOKUP($D36,Flight!$A$1:$E$91,4,FALSE)&gt;1,VLOOKUP($D36,Flight!$A$1:$E116,4,FALSE),""),"")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10"/>
        <v/>
      </c>
      <c r="L36" s="166"/>
      <c r="M36" s="166"/>
    </row>
    <row r="37" spans="1:18">
      <c r="A37" s="9">
        <f t="shared" si="4"/>
        <v>30</v>
      </c>
      <c r="B37" s="9" t="str">
        <f t="shared" si="0"/>
        <v>-</v>
      </c>
      <c r="C37" s="9" t="str">
        <f t="shared" si="5"/>
        <v/>
      </c>
      <c r="D37" s="27" t="s">
        <v>389</v>
      </c>
      <c r="E37" s="172" t="str">
        <f>IF($D37&gt;0,VLOOKUP($D37,Flight!$A$1:$E$91,2,FALSE),"")</f>
        <v>2030</v>
      </c>
      <c r="F37" s="45"/>
      <c r="G37" s="43" t="str">
        <f t="shared" si="3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IF($D37&gt;0,IF(VLOOKUP($D37,Flight!$A$1:$E$91,4,FALSE)&gt;1,VLOOKUP($D37,Flight!$A$1:$E117,4,FALSE),""),"")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10"/>
        <v/>
      </c>
      <c r="L37" s="166"/>
      <c r="M37" s="167"/>
      <c r="P37" s="84"/>
    </row>
    <row r="38" spans="1:18">
      <c r="A38" s="9">
        <f t="shared" si="4"/>
        <v>31</v>
      </c>
      <c r="B38" s="9" t="str">
        <f t="shared" si="0"/>
        <v>-</v>
      </c>
      <c r="C38" s="9" t="str">
        <f t="shared" si="5"/>
        <v>S10</v>
      </c>
      <c r="D38" s="27" t="s">
        <v>390</v>
      </c>
      <c r="E38" s="172" t="str">
        <f>IF($D38&gt;0,VLOOKUP($D38,Flight!$A$1:$E$91,2,FALSE),"")</f>
        <v>2155</v>
      </c>
      <c r="F38" s="45"/>
      <c r="G38" s="43" t="str">
        <f t="shared" si="3"/>
        <v/>
      </c>
      <c r="H38" s="44" t="str">
        <f>IF($D38&gt;0,VLOOKUP($D38,Flight!$A$1:$E$91,3,FALSE),"")</f>
        <v>DOH</v>
      </c>
      <c r="I38" s="44" t="str">
        <f>IF($D38&gt;0,IF(VLOOKUP($D38,Flight!$A$1:$E$91,4,FALSE)&gt;1,VLOOKUP($D38,Flight!$A$1:$E118,4,FALSE),""),"")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10"/>
        <v/>
      </c>
      <c r="L38" s="166"/>
      <c r="M38" s="167"/>
      <c r="O38" s="115"/>
      <c r="P38" s="87"/>
    </row>
    <row r="39" spans="1:18">
      <c r="A39" s="9">
        <f t="shared" ref="A39" si="12">IF($A36="S/N",1,IF($F39="Wavied","-",IF($D39=0,"",ROW($A39)-ROW($A$7)-COUNTIF($A$7:$A$8,"@")-COUNTIF($A$7:$A$8,"-"))))</f>
        <v>32</v>
      </c>
      <c r="B39" s="9" t="str">
        <f t="shared" si="0"/>
        <v>-</v>
      </c>
      <c r="C39" s="9" t="str">
        <f t="shared" si="5"/>
        <v>S10</v>
      </c>
      <c r="D39" s="27" t="s">
        <v>392</v>
      </c>
      <c r="E39" s="172" t="str">
        <f>IF($D39&gt;0,VLOOKUP($D39,Flight!$A$1:$E$91,2,FALSE),"")</f>
        <v>2320</v>
      </c>
      <c r="F39" s="45"/>
      <c r="G39" s="43" t="str">
        <f t="shared" si="3"/>
        <v/>
      </c>
      <c r="H39" s="44" t="str">
        <f>IF($D39&gt;0,VLOOKUP($D39,Flight!$A$1:$E$91,3,FALSE),"")</f>
        <v>BKK</v>
      </c>
      <c r="I39" s="44" t="str">
        <f>IF($D39&gt;0,IF(VLOOKUP($D39,Flight!$A$1:$E$91,4,FALSE)&gt;1,VLOOKUP($D39,Flight!$A$1:$E120,4,FALSE),""),"")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10"/>
        <v/>
      </c>
      <c r="L39" s="166"/>
      <c r="M39" s="167"/>
      <c r="O39" s="4"/>
      <c r="P39" s="4"/>
      <c r="Q39" s="4"/>
      <c r="R39" s="4"/>
    </row>
    <row r="40" spans="1:18" ht="16.5">
      <c r="A40" s="9" t="str">
        <f>IF($A37="S/N",1,IF($F40="Wavied","-",IF($D40=0,"",ROW($A40)-ROW($A$7)-COUNTIF($A$7:$A$8,"@")-COUNTIF($A$7:$A$8,"-"))))</f>
        <v/>
      </c>
      <c r="B40" s="9" t="str">
        <f t="shared" si="0"/>
        <v/>
      </c>
      <c r="C40" s="9" t="str">
        <f t="shared" si="5"/>
        <v/>
      </c>
      <c r="D40" s="27"/>
      <c r="E40" s="172" t="str">
        <f>IF($D40&gt;0,VLOOKUP($D40,Flight!$A$1:$E$91,2,FALSE),"")</f>
        <v/>
      </c>
      <c r="F40" s="45"/>
      <c r="G40" s="43" t="str">
        <f t="shared" si="3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IF($D40&gt;0,IF(VLOOKUP($D40,Flight!$A$1:$E$91,4,FALSE)&gt;1,VLOOKUP($D40,Flight!$A$1:$E121,4,FALSE),""),"")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10"/>
        <v/>
      </c>
      <c r="L40" s="166"/>
      <c r="M40" s="166"/>
      <c r="O40" s="4"/>
      <c r="P40" s="89"/>
      <c r="Q40" s="4"/>
      <c r="R40" s="4"/>
    </row>
    <row r="41" spans="1:18">
      <c r="A41" s="376" t="s">
        <v>5</v>
      </c>
      <c r="B41" s="376"/>
      <c r="C41" s="376"/>
      <c r="D41" s="376"/>
      <c r="E41" s="376"/>
      <c r="F41" s="376"/>
      <c r="G41" s="50"/>
      <c r="H41" s="321" t="s">
        <v>40</v>
      </c>
      <c r="I41" s="377"/>
      <c r="J41" s="377"/>
      <c r="K41" s="377"/>
      <c r="L41" s="377"/>
      <c r="M41" s="377"/>
      <c r="N41" s="5"/>
    </row>
    <row r="42" spans="1:18">
      <c r="A42" s="379" t="s">
        <v>35</v>
      </c>
      <c r="B42" s="379"/>
      <c r="C42" s="379" t="s">
        <v>31</v>
      </c>
      <c r="D42" s="379"/>
      <c r="E42" s="379"/>
      <c r="F42" s="379"/>
      <c r="G42" s="379"/>
      <c r="H42" s="379"/>
      <c r="I42" s="378"/>
      <c r="J42" s="378"/>
      <c r="K42" s="378"/>
      <c r="L42" s="378"/>
      <c r="M42" s="378"/>
    </row>
    <row r="43" spans="1:18">
      <c r="A43" s="379"/>
      <c r="B43" s="379"/>
      <c r="C43" s="379"/>
      <c r="D43" s="379"/>
      <c r="E43" s="379"/>
      <c r="F43" s="379"/>
      <c r="G43" s="379"/>
      <c r="H43" s="379"/>
      <c r="I43" s="51"/>
      <c r="J43" s="51"/>
      <c r="K43" s="6"/>
      <c r="L43" s="6"/>
      <c r="M43" s="6"/>
    </row>
    <row r="44" spans="1:18">
      <c r="A44" s="389" t="s">
        <v>216</v>
      </c>
      <c r="B44" s="389"/>
      <c r="C44" s="323" t="str">
        <f>VLOOKUP($D$44,Staff!$B$2:$D$41,2,FALSE)</f>
        <v>CIA</v>
      </c>
      <c r="D44" s="375" t="str">
        <f>VLOOKUP(VLOOKUP($E$56,$E$60:$J$71,6,FALSE),Staff!$A$2:$D$13,2,FALSE)</f>
        <v>CN NG</v>
      </c>
      <c r="E44" s="375"/>
      <c r="F44" s="325" t="s">
        <v>215</v>
      </c>
      <c r="G44" s="390" t="str">
        <f>VLOOKUP($D$44,Staff!$B$2:$D$39,3,FALSE)</f>
        <v>6685 0265</v>
      </c>
      <c r="H44" s="390"/>
      <c r="I44" s="391" t="s">
        <v>223</v>
      </c>
      <c r="J44" s="391"/>
      <c r="K44" s="375" t="str">
        <f>IF(COUNTIF($E$60:$E$63,$E$56)&gt;0,Staff!$G$2,"")&amp;IF(COUNTIF($E$64:$E$67,$E$56)&gt;0,Staff!$G$3,"")&amp;IF(COUNTIF($E$68:$E$71,$E$56)&gt;0,Staff!$G$4,"")</f>
        <v>LIU, WAI FUN (F)</v>
      </c>
      <c r="L44" s="375"/>
      <c r="M44" s="375"/>
    </row>
    <row r="45" spans="1:18">
      <c r="A45" s="389" t="s">
        <v>217</v>
      </c>
      <c r="B45" s="389"/>
      <c r="C45" s="323" t="str">
        <f>VLOOKUP($D$45,Staff!$B$2:$D$41,2,FALSE)</f>
        <v>CIA</v>
      </c>
      <c r="D45" s="375" t="str">
        <f>VLOOKUP(VLOOKUP($E$57,$E$60:$J$71,6,FALSE),Staff!$A$2:$D$13,2,FALSE)</f>
        <v>WS YUEN</v>
      </c>
      <c r="E45" s="375"/>
      <c r="F45" s="325" t="s">
        <v>215</v>
      </c>
      <c r="G45" s="390" t="str">
        <f>VLOOKUP($D$45,Staff!$B$2:$D$39,3,FALSE)</f>
        <v>9745 6782</v>
      </c>
      <c r="H45" s="390"/>
      <c r="I45" s="391" t="s">
        <v>224</v>
      </c>
      <c r="J45" s="391"/>
      <c r="K45" s="375" t="str">
        <f>IF(COUNTIF($E$60:$E$63,$E$57)&gt;0,Staff!$G$2,"")&amp;IF(COUNTIF($E$64:$E$67,$E$57)&gt;0,Staff!$G$3,"")&amp;IF(COUNTIF($E$68:$E$71,$E$57)&gt;0,Staff!$G$4,"")</f>
        <v>WONG, TSZ MING</v>
      </c>
      <c r="L45" s="375"/>
      <c r="M45" s="375"/>
    </row>
    <row r="46" spans="1:18">
      <c r="A46" s="329"/>
      <c r="B46" s="329"/>
      <c r="C46" s="327"/>
      <c r="D46" s="395"/>
      <c r="E46" s="395"/>
      <c r="F46" s="324"/>
      <c r="G46" s="396"/>
      <c r="H46" s="396"/>
      <c r="I46" s="390"/>
      <c r="J46" s="390"/>
      <c r="K46" s="143"/>
      <c r="L46" s="143"/>
      <c r="M46" s="143"/>
    </row>
    <row r="47" spans="1:18" s="112" customFormat="1">
      <c r="A47" s="397" t="s">
        <v>4</v>
      </c>
      <c r="B47" s="397"/>
      <c r="C47" s="396" t="s">
        <v>218</v>
      </c>
      <c r="D47" s="396"/>
      <c r="E47" s="396"/>
      <c r="F47" s="154" t="s">
        <v>213</v>
      </c>
      <c r="G47" s="398" t="str">
        <f>IF(COUNTIF($E$60:$E$63,$E$56)&gt;0,Staff!$G$14,"")&amp;IF(COUNTIF($E$64:$E$67,$E$56)&gt;0,Staff!$G$13,"")&amp;IF(COUNTIF($E$68:$E$71,$E$56)&gt;0,Staff!$G$12,"")</f>
        <v>HO, KWOK WUN D</v>
      </c>
      <c r="H47" s="398"/>
      <c r="I47" s="398"/>
      <c r="J47" s="333" t="s">
        <v>209</v>
      </c>
      <c r="K47" s="390" t="str">
        <f>VLOOKUP(VLOOKUP($B$3,$E$60:$J$71,6,FALSE),Staff!$F$22:$G$47,2,FALSE)</f>
        <v>CHAN, CHUN NGAI</v>
      </c>
      <c r="L47" s="390"/>
      <c r="M47" s="390"/>
      <c r="N47" s="12"/>
      <c r="P47" s="330"/>
      <c r="Q47" s="330"/>
      <c r="R47" s="330"/>
    </row>
    <row r="48" spans="1:18" s="112" customFormat="1">
      <c r="A48" s="155"/>
      <c r="B48" s="155"/>
      <c r="C48" s="396" t="s">
        <v>219</v>
      </c>
      <c r="D48" s="396"/>
      <c r="E48" s="396"/>
      <c r="F48" s="154" t="s">
        <v>214</v>
      </c>
      <c r="G48" s="375" t="str">
        <f>IF(COUNTIF($E$60:$E$63,$E$57)&gt;0,Staff!$G$14,"")&amp;IF(COUNTIF($E$64:$E$67,$E$57)&gt;0,Staff!$G$13,"")&amp;IF(COUNTIF($E$68:$E$71,$E$57)&gt;0,Staff!$G$12,"")</f>
        <v>CHONG, MAN LOK</v>
      </c>
      <c r="H48" s="375"/>
      <c r="I48" s="375"/>
      <c r="J48" s="333" t="s">
        <v>208</v>
      </c>
      <c r="K48" s="390"/>
      <c r="L48" s="390"/>
      <c r="M48" s="390"/>
      <c r="N48" s="330"/>
      <c r="P48" s="330"/>
      <c r="Q48" s="330"/>
      <c r="R48" s="330"/>
    </row>
    <row r="49" spans="1:18" s="112" customFormat="1">
      <c r="A49" s="320"/>
      <c r="B49" s="320"/>
      <c r="C49" s="327"/>
      <c r="D49" s="401"/>
      <c r="E49" s="401"/>
      <c r="F49" s="401"/>
      <c r="G49" s="401"/>
      <c r="H49" s="401"/>
      <c r="I49" s="401"/>
      <c r="J49" s="333" t="s">
        <v>210</v>
      </c>
      <c r="K49" s="390"/>
      <c r="L49" s="390"/>
      <c r="M49" s="390"/>
      <c r="N49" s="330"/>
      <c r="P49" s="330"/>
      <c r="Q49" s="330"/>
      <c r="R49" s="330"/>
    </row>
    <row r="50" spans="1:18" s="112" customFormat="1">
      <c r="A50" s="392" t="s">
        <v>3</v>
      </c>
      <c r="B50" s="393"/>
      <c r="C50" s="394" t="s">
        <v>220</v>
      </c>
      <c r="D50" s="394"/>
      <c r="E50" s="394"/>
      <c r="F50" s="397" t="s">
        <v>408</v>
      </c>
      <c r="G50" s="397"/>
      <c r="H50" s="397"/>
      <c r="I50" s="397"/>
      <c r="J50" s="333" t="s">
        <v>211</v>
      </c>
      <c r="K50" s="390"/>
      <c r="L50" s="390"/>
      <c r="M50" s="390"/>
      <c r="N50" s="330"/>
      <c r="P50" s="330"/>
      <c r="Q50" s="330"/>
      <c r="R50" s="330"/>
    </row>
    <row r="51" spans="1:18" s="112" customFormat="1">
      <c r="A51" s="393" t="s">
        <v>2</v>
      </c>
      <c r="B51" s="393"/>
      <c r="C51" s="411" t="s">
        <v>221</v>
      </c>
      <c r="D51" s="411"/>
      <c r="E51" s="411"/>
      <c r="F51" s="412" t="s">
        <v>1</v>
      </c>
      <c r="G51" s="412"/>
      <c r="H51" s="400" t="s">
        <v>409</v>
      </c>
      <c r="I51" s="400"/>
      <c r="J51" s="333" t="s">
        <v>212</v>
      </c>
      <c r="K51" s="390"/>
      <c r="L51" s="390"/>
      <c r="M51" s="390"/>
      <c r="N51" s="330"/>
      <c r="P51" s="330"/>
      <c r="Q51" s="330"/>
      <c r="R51" s="330"/>
    </row>
    <row r="52" spans="1:18" s="112" customFormat="1">
      <c r="A52" s="155"/>
      <c r="B52" s="155"/>
      <c r="C52" s="320"/>
      <c r="D52" s="399"/>
      <c r="E52" s="399"/>
      <c r="F52" s="391"/>
      <c r="G52" s="391"/>
      <c r="H52" s="400" t="s">
        <v>410</v>
      </c>
      <c r="I52" s="400"/>
      <c r="J52" s="326"/>
      <c r="K52" s="329"/>
      <c r="L52" s="329"/>
      <c r="M52" s="47"/>
      <c r="N52" s="330"/>
      <c r="P52" s="330"/>
      <c r="Q52" s="330"/>
      <c r="R52" s="330"/>
    </row>
    <row r="53" spans="1:18" s="112" customFormat="1" ht="16.5" customHeight="1">
      <c r="A53" s="392" t="s">
        <v>0</v>
      </c>
      <c r="B53" s="392"/>
      <c r="C53" s="407" t="s">
        <v>222</v>
      </c>
      <c r="D53" s="407"/>
      <c r="E53" s="407"/>
      <c r="F53" s="326"/>
      <c r="G53" s="333"/>
      <c r="H53" s="394" t="s">
        <v>411</v>
      </c>
      <c r="I53" s="394"/>
      <c r="J53" s="332"/>
      <c r="K53" s="329"/>
      <c r="L53" s="329"/>
      <c r="M53" s="47"/>
      <c r="N53" s="330"/>
      <c r="P53" s="330"/>
      <c r="Q53" s="330"/>
      <c r="R53" s="330"/>
    </row>
    <row r="54" spans="1:18" s="112" customFormat="1">
      <c r="A54" s="330"/>
      <c r="B54" s="330"/>
      <c r="C54" s="408"/>
      <c r="D54" s="408"/>
      <c r="E54" s="408"/>
      <c r="F54" s="408"/>
      <c r="G54" s="408"/>
      <c r="H54" s="408"/>
      <c r="I54" s="54"/>
      <c r="J54" s="53"/>
      <c r="M54" s="330"/>
      <c r="N54" s="330"/>
      <c r="P54" s="330"/>
      <c r="Q54" s="330"/>
      <c r="R54" s="330"/>
    </row>
    <row r="55" spans="1:18" s="112" customFormat="1" ht="16.5" thickBot="1">
      <c r="A55" s="3"/>
      <c r="B55" s="3"/>
      <c r="C55" s="3"/>
      <c r="D55" s="2"/>
      <c r="E55" s="39"/>
      <c r="F55" s="331"/>
      <c r="G55" s="331"/>
      <c r="H55" s="331"/>
      <c r="I55" s="409"/>
      <c r="J55" s="409"/>
      <c r="M55" s="330"/>
      <c r="N55" s="330"/>
      <c r="P55" s="330"/>
      <c r="Q55" s="330"/>
      <c r="R55" s="330"/>
    </row>
    <row r="56" spans="1:18" s="112" customFormat="1">
      <c r="A56" s="330"/>
      <c r="B56" s="330"/>
      <c r="C56" s="330"/>
      <c r="D56" s="330"/>
      <c r="E56" s="90" t="s">
        <v>133</v>
      </c>
      <c r="F56" s="91" t="s">
        <v>135</v>
      </c>
      <c r="G56" s="91"/>
      <c r="H56" s="92"/>
      <c r="I56" s="330"/>
      <c r="J56" s="330"/>
      <c r="K56" s="330"/>
      <c r="L56" s="330"/>
      <c r="M56" s="330"/>
      <c r="N56" s="330"/>
      <c r="P56" s="330"/>
      <c r="Q56" s="330"/>
      <c r="R56" s="330"/>
    </row>
    <row r="57" spans="1:18" s="112" customFormat="1" ht="16.5" thickBot="1">
      <c r="A57" s="330"/>
      <c r="B57" s="330"/>
      <c r="C57" s="330"/>
      <c r="D57" s="330"/>
      <c r="E57" s="93" t="s">
        <v>134</v>
      </c>
      <c r="F57" s="94" t="s">
        <v>136</v>
      </c>
      <c r="G57" s="94"/>
      <c r="H57" s="95"/>
      <c r="I57" s="330"/>
      <c r="J57" s="330"/>
      <c r="K57" s="330"/>
      <c r="L57" s="330"/>
      <c r="M57" s="330"/>
      <c r="N57" s="330"/>
      <c r="P57" s="330"/>
      <c r="Q57" s="330"/>
      <c r="R57" s="330"/>
    </row>
    <row r="58" spans="1:18" s="112" customFormat="1">
      <c r="A58" s="330"/>
      <c r="B58" s="330"/>
      <c r="C58" s="330"/>
      <c r="D58" s="330"/>
      <c r="E58" s="330"/>
      <c r="F58" s="330"/>
      <c r="G58" s="330"/>
      <c r="H58" s="330"/>
      <c r="I58" s="330"/>
      <c r="J58" s="330"/>
      <c r="K58" s="330"/>
      <c r="L58" s="330"/>
      <c r="M58" s="330"/>
      <c r="N58" s="330"/>
      <c r="P58" s="330"/>
      <c r="Q58" s="330"/>
      <c r="R58" s="330"/>
    </row>
    <row r="59" spans="1:18" s="112" customFormat="1" ht="16.5" thickBot="1">
      <c r="A59" s="330"/>
      <c r="B59" s="330"/>
      <c r="C59" s="330"/>
      <c r="D59" s="85" t="s">
        <v>132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98</v>
      </c>
      <c r="J59" s="330"/>
      <c r="K59" s="96" t="s">
        <v>302</v>
      </c>
      <c r="L59" s="96" t="s">
        <v>303</v>
      </c>
      <c r="M59" s="96"/>
      <c r="N59" s="330"/>
      <c r="P59" s="330"/>
      <c r="Q59" s="330"/>
      <c r="R59" s="330"/>
    </row>
    <row r="60" spans="1:18" s="112" customFormat="1">
      <c r="A60" s="330"/>
      <c r="B60" s="330"/>
      <c r="C60" s="330"/>
      <c r="D60" s="97" t="s">
        <v>86</v>
      </c>
      <c r="E60" s="98" t="str">
        <f>_xlfn.IFNA(VLOOKUP(MOD((($D$1-WEEKDAY($D$1,2)+1)-45523)/7+21,24),Shift!$A$2:$H$25,WEEKDAY($D$1,2)+1),VLOOKUP(24,Shift!$A$2:$H$25,WEEKDAY($D$1,2)+1))</f>
        <v>M @</v>
      </c>
      <c r="F60" s="98" t="str">
        <f>IF(OR($E60="L",$E60="L#"),0,"?")</f>
        <v>?</v>
      </c>
      <c r="G60" s="98" t="str">
        <f>IF(OR($E60="L",$E60="L#"),0,"?")</f>
        <v>?</v>
      </c>
      <c r="H60" s="98" t="str">
        <f>IF(OR($E60="L",$E60="L#"),0,"?")</f>
        <v>?</v>
      </c>
      <c r="I60" s="99">
        <f t="shared" ref="I60:I71" si="13">IF(OR($E60="L",$E60="L#"),0,SUM($F60:$H60))</f>
        <v>0</v>
      </c>
      <c r="J60" s="136" t="s">
        <v>86</v>
      </c>
      <c r="K60" s="112" t="str">
        <f>IF(AND($F60&gt;1,$F60&lt;&gt;"?"),$F60-1,"")</f>
        <v/>
      </c>
      <c r="L60" s="112" t="str">
        <f>IF(AND($G60&gt;1,$G60&lt;&gt;"?"),$G60-1,"")</f>
        <v/>
      </c>
      <c r="N60" s="330"/>
      <c r="P60" s="330"/>
      <c r="Q60" s="330"/>
      <c r="R60" s="330"/>
    </row>
    <row r="61" spans="1:18" s="112" customFormat="1">
      <c r="A61" s="330"/>
      <c r="B61" s="330"/>
      <c r="C61" s="330"/>
      <c r="D61" s="100" t="s">
        <v>85</v>
      </c>
      <c r="E61" s="101" t="str">
        <f>_xlfn.IFNA(VLOOKUP(MOD((($D$1-WEEKDAY($D$1,2)+1)-45523)/7+3,24),Shift!$A$2:$H$25,WEEKDAY($D$1,2)+1),VLOOKUP(24,Shift!$A$2:$H$25,WEEKDAY($D$1,2)+1))</f>
        <v>G1</v>
      </c>
      <c r="F61" s="101" t="str">
        <f t="shared" ref="F61:H71" si="14">IF(OR($E61="L",$E61="L#"),0,"?")</f>
        <v>?</v>
      </c>
      <c r="G61" s="101" t="str">
        <f t="shared" si="14"/>
        <v>?</v>
      </c>
      <c r="H61" s="101" t="str">
        <f t="shared" si="14"/>
        <v>?</v>
      </c>
      <c r="I61" s="102">
        <f t="shared" si="13"/>
        <v>0</v>
      </c>
      <c r="J61" s="137" t="s">
        <v>85</v>
      </c>
      <c r="K61" s="112" t="str">
        <f t="shared" ref="K61:K71" si="15">IF(AND($F61&gt;1,$F61&lt;&gt;"?"),$F61-1,"")</f>
        <v/>
      </c>
      <c r="L61" s="112" t="str">
        <f t="shared" ref="L61:L71" si="16">IF(AND($G61&gt;1,$G61&lt;&gt;"?"),$G61-1,"")</f>
        <v/>
      </c>
      <c r="N61" s="330"/>
      <c r="P61" s="330"/>
      <c r="Q61" s="330"/>
      <c r="R61" s="330"/>
    </row>
    <row r="62" spans="1:18" s="112" customFormat="1">
      <c r="A62" s="330"/>
      <c r="B62" s="330"/>
      <c r="C62" s="330"/>
      <c r="D62" s="100" t="s">
        <v>99</v>
      </c>
      <c r="E62" s="101" t="str">
        <f>_xlfn.IFNA(VLOOKUP(MOD((($D$1-WEEKDAY($D$1,2)+1)-45523)/7+9,24),Shift!$A$2:$H$25,WEEKDAY($D$1,2)+1),VLOOKUP(24,Shift!$A$2:$H$25,WEEKDAY($D$1,2)+1))</f>
        <v>M</v>
      </c>
      <c r="F62" s="101" t="str">
        <f t="shared" si="14"/>
        <v>?</v>
      </c>
      <c r="G62" s="101" t="str">
        <f t="shared" si="14"/>
        <v>?</v>
      </c>
      <c r="H62" s="101" t="str">
        <f t="shared" si="14"/>
        <v>?</v>
      </c>
      <c r="I62" s="102">
        <f t="shared" si="13"/>
        <v>0</v>
      </c>
      <c r="J62" s="137" t="s">
        <v>99</v>
      </c>
      <c r="K62" s="112" t="str">
        <f t="shared" si="15"/>
        <v/>
      </c>
      <c r="L62" s="112" t="str">
        <f t="shared" si="16"/>
        <v/>
      </c>
      <c r="N62" s="330"/>
      <c r="P62" s="330"/>
      <c r="Q62" s="330"/>
      <c r="R62" s="330"/>
    </row>
    <row r="63" spans="1:18" ht="16.5" thickBot="1">
      <c r="D63" s="103" t="s">
        <v>100</v>
      </c>
      <c r="E63" s="104" t="str">
        <f>_xlfn.IFNA(VLOOKUP(MOD((($D$1-WEEKDAY($D$1,2)+1)-45523)/7+15,24),Shift!$A$2:$H$25,WEEKDAY($D$1,2)+1),VLOOKUP(24,Shift!$A$2:$H$25,WEEKDAY($D$1,2)+1))</f>
        <v>M1</v>
      </c>
      <c r="F63" s="104" t="str">
        <f t="shared" si="14"/>
        <v>?</v>
      </c>
      <c r="G63" s="104" t="str">
        <f t="shared" si="14"/>
        <v>?</v>
      </c>
      <c r="H63" s="104" t="str">
        <f t="shared" si="14"/>
        <v>?</v>
      </c>
      <c r="I63" s="105">
        <f t="shared" si="13"/>
        <v>0</v>
      </c>
      <c r="J63" s="138" t="s">
        <v>100</v>
      </c>
      <c r="K63" s="112" t="str">
        <f t="shared" si="15"/>
        <v/>
      </c>
      <c r="L63" s="112" t="str">
        <f t="shared" si="16"/>
        <v/>
      </c>
      <c r="M63" s="112"/>
    </row>
    <row r="64" spans="1:18">
      <c r="D64" s="97" t="s">
        <v>101</v>
      </c>
      <c r="E64" s="98" t="str">
        <f>_xlfn.IFNA(VLOOKUP(MOD((($D$1-WEEKDAY($D$1,2)+1)-45523)/7+19,24),Shift!$A$2:$H$25,WEEKDAY($D$1,2)+1),VLOOKUP(24,Shift!$A$2:$H$25,WEEKDAY($D$1,2)+1))</f>
        <v>L</v>
      </c>
      <c r="F64" s="98">
        <f t="shared" si="14"/>
        <v>0</v>
      </c>
      <c r="G64" s="98">
        <f t="shared" si="14"/>
        <v>0</v>
      </c>
      <c r="H64" s="98">
        <f t="shared" si="14"/>
        <v>0</v>
      </c>
      <c r="I64" s="99">
        <f t="shared" si="13"/>
        <v>0</v>
      </c>
      <c r="J64" s="136" t="s">
        <v>101</v>
      </c>
      <c r="K64" s="112" t="str">
        <f t="shared" si="15"/>
        <v/>
      </c>
      <c r="L64" s="112" t="str">
        <f t="shared" si="16"/>
        <v/>
      </c>
      <c r="M64" s="112"/>
    </row>
    <row r="65" spans="4:13">
      <c r="D65" s="100" t="s">
        <v>102</v>
      </c>
      <c r="E65" s="101" t="str">
        <f>_xlfn.IFNA(VLOOKUP(MOD((($D$1-WEEKDAY($D$1,2)+1)-45523)/7+1,24),Shift!$A$2:$H$25,WEEKDAY($D$1,2)+1),VLOOKUP(24,Shift!$A$2:$H$25,WEEKDAY($D$1,2)+1))</f>
        <v>L</v>
      </c>
      <c r="F65" s="101">
        <f t="shared" si="14"/>
        <v>0</v>
      </c>
      <c r="G65" s="101">
        <f t="shared" si="14"/>
        <v>0</v>
      </c>
      <c r="H65" s="101">
        <f t="shared" si="14"/>
        <v>0</v>
      </c>
      <c r="I65" s="102">
        <f t="shared" si="13"/>
        <v>0</v>
      </c>
      <c r="J65" s="137" t="s">
        <v>102</v>
      </c>
      <c r="K65" s="112" t="str">
        <f t="shared" si="15"/>
        <v/>
      </c>
      <c r="L65" s="112" t="str">
        <f t="shared" si="16"/>
        <v/>
      </c>
      <c r="M65" s="112"/>
    </row>
    <row r="66" spans="4:13">
      <c r="D66" s="100" t="s">
        <v>103</v>
      </c>
      <c r="E66" s="101" t="str">
        <f>_xlfn.IFNA(VLOOKUP(MOD((($D$1-WEEKDAY($D$1,2)+1)-45523)/7+7,24),Shift!$A$2:$H$25,WEEKDAY($D$1,2)+1),VLOOKUP(24,Shift!$A$2:$H$25,WEEKDAY($D$1,2)+1))</f>
        <v>A</v>
      </c>
      <c r="F66" s="101" t="str">
        <f t="shared" si="14"/>
        <v>?</v>
      </c>
      <c r="G66" s="101" t="str">
        <f t="shared" si="14"/>
        <v>?</v>
      </c>
      <c r="H66" s="101" t="str">
        <f t="shared" si="14"/>
        <v>?</v>
      </c>
      <c r="I66" s="102">
        <f t="shared" si="13"/>
        <v>0</v>
      </c>
      <c r="J66" s="137" t="s">
        <v>103</v>
      </c>
      <c r="K66" s="112" t="str">
        <f t="shared" si="15"/>
        <v/>
      </c>
      <c r="L66" s="112" t="str">
        <f t="shared" si="16"/>
        <v/>
      </c>
      <c r="M66" s="112"/>
    </row>
    <row r="67" spans="4:13" ht="16.5" thickBot="1">
      <c r="D67" s="103" t="s">
        <v>104</v>
      </c>
      <c r="E67" s="104" t="str">
        <f>_xlfn.IFNA(VLOOKUP(MOD((($D$1-WEEKDAY($D$1,2)+1)-45523)/7+13,24),Shift!$A$2:$H$25,WEEKDAY($D$1,2)+1),VLOOKUP(24,Shift!$A$2:$H$25,WEEKDAY($D$1,2)+1))</f>
        <v>L</v>
      </c>
      <c r="F67" s="104">
        <f t="shared" si="14"/>
        <v>0</v>
      </c>
      <c r="G67" s="104">
        <f t="shared" si="14"/>
        <v>0</v>
      </c>
      <c r="H67" s="104">
        <f t="shared" si="14"/>
        <v>0</v>
      </c>
      <c r="I67" s="105">
        <f t="shared" si="13"/>
        <v>0</v>
      </c>
      <c r="J67" s="138" t="s">
        <v>104</v>
      </c>
      <c r="K67" s="112" t="str">
        <f t="shared" si="15"/>
        <v/>
      </c>
      <c r="L67" s="112" t="str">
        <f t="shared" si="16"/>
        <v/>
      </c>
      <c r="M67" s="112"/>
    </row>
    <row r="68" spans="4:13">
      <c r="D68" s="97" t="s">
        <v>105</v>
      </c>
      <c r="E68" s="98" t="str">
        <f>_xlfn.IFNA(VLOOKUP(MOD((($D$1-WEEKDAY($D$1,2)+1)-45523)/7+17,24),Shift!$A$2:$H$25,WEEKDAY($D$1,2)+1),VLOOKUP(24,Shift!$A$2:$H$25,WEEKDAY($D$1,2)+1))</f>
        <v>P1</v>
      </c>
      <c r="F68" s="98" t="str">
        <f t="shared" si="14"/>
        <v>?</v>
      </c>
      <c r="G68" s="98" t="str">
        <f t="shared" si="14"/>
        <v>?</v>
      </c>
      <c r="H68" s="98" t="str">
        <f t="shared" si="14"/>
        <v>?</v>
      </c>
      <c r="I68" s="99">
        <f t="shared" si="13"/>
        <v>0</v>
      </c>
      <c r="J68" s="136" t="s">
        <v>105</v>
      </c>
      <c r="K68" s="112" t="str">
        <f t="shared" si="15"/>
        <v/>
      </c>
      <c r="L68" s="112" t="str">
        <f t="shared" si="16"/>
        <v/>
      </c>
      <c r="M68" s="112"/>
    </row>
    <row r="69" spans="4:13">
      <c r="D69" s="100" t="s">
        <v>106</v>
      </c>
      <c r="E69" s="101" t="str">
        <f>_xlfn.IFNA(VLOOKUP(MOD((($D$1-WEEKDAY($D$1,2)+1)-45523)/7+23,24),Shift!$A$2:$H$25,WEEKDAY($D$1,2)+1),VLOOKUP(24,Shift!$A$2:$H$25,WEEKDAY($D$1,2)+1))</f>
        <v>P4</v>
      </c>
      <c r="F69" s="101" t="str">
        <f t="shared" si="14"/>
        <v>?</v>
      </c>
      <c r="G69" s="101" t="str">
        <f t="shared" si="14"/>
        <v>?</v>
      </c>
      <c r="H69" s="101" t="str">
        <f t="shared" si="14"/>
        <v>?</v>
      </c>
      <c r="I69" s="102">
        <f t="shared" si="13"/>
        <v>0</v>
      </c>
      <c r="J69" s="137" t="s">
        <v>106</v>
      </c>
      <c r="K69" s="112" t="str">
        <f t="shared" si="15"/>
        <v/>
      </c>
      <c r="L69" s="112" t="str">
        <f t="shared" si="16"/>
        <v/>
      </c>
      <c r="M69" s="112"/>
    </row>
    <row r="70" spans="4:13">
      <c r="D70" s="100" t="s">
        <v>107</v>
      </c>
      <c r="E70" s="101" t="str">
        <f>_xlfn.IFNA(VLOOKUP(MOD((($D$1-WEEKDAY($D$1,2)+1)-45523)/7+5,24),Shift!$A$2:$H$25,WEEKDAY($D$1,2)+1),VLOOKUP(24,Shift!$A$2:$H$25,WEEKDAY($D$1,2)+1))</f>
        <v>P1 @</v>
      </c>
      <c r="F70" s="101" t="str">
        <f t="shared" si="14"/>
        <v>?</v>
      </c>
      <c r="G70" s="101" t="str">
        <f t="shared" si="14"/>
        <v>?</v>
      </c>
      <c r="H70" s="101" t="str">
        <f t="shared" si="14"/>
        <v>?</v>
      </c>
      <c r="I70" s="102">
        <f t="shared" si="13"/>
        <v>0</v>
      </c>
      <c r="J70" s="137" t="s">
        <v>107</v>
      </c>
      <c r="K70" s="112" t="str">
        <f t="shared" si="15"/>
        <v/>
      </c>
      <c r="L70" s="112" t="str">
        <f t="shared" si="16"/>
        <v/>
      </c>
      <c r="M70" s="112"/>
    </row>
    <row r="71" spans="4:13" ht="16.5" thickBot="1">
      <c r="D71" s="103" t="s">
        <v>108</v>
      </c>
      <c r="E71" s="104" t="str">
        <f>_xlfn.IFNA(VLOOKUP(MOD((($D$1-WEEKDAY($D$1,2)+1)-45523)/7+11,24),Shift!$A$2:$H$25,WEEKDAY($D$1,2)+1),VLOOKUP(24,Shift!$A$2:$H$25,WEEKDAY($D$1,2)+1))</f>
        <v>P1</v>
      </c>
      <c r="F71" s="104" t="str">
        <f t="shared" si="14"/>
        <v>?</v>
      </c>
      <c r="G71" s="104" t="str">
        <f t="shared" si="14"/>
        <v>?</v>
      </c>
      <c r="H71" s="104" t="str">
        <f t="shared" si="14"/>
        <v>?</v>
      </c>
      <c r="I71" s="105">
        <f t="shared" si="13"/>
        <v>0</v>
      </c>
      <c r="J71" s="138" t="s">
        <v>108</v>
      </c>
      <c r="K71" s="112" t="str">
        <f t="shared" si="15"/>
        <v/>
      </c>
      <c r="L71" s="112" t="str">
        <f t="shared" si="16"/>
        <v/>
      </c>
      <c r="M71" s="112"/>
    </row>
    <row r="72" spans="4:13">
      <c r="D72" s="144" t="s">
        <v>86</v>
      </c>
      <c r="E72" s="98" t="s">
        <v>127</v>
      </c>
      <c r="F72" s="98"/>
      <c r="G72" s="98"/>
      <c r="H72" s="98"/>
      <c r="I72" s="99">
        <f>IF(OR($E72="L",$E72="L#",$E72="?"),0,SUM($F72:$H72))</f>
        <v>0</v>
      </c>
      <c r="J72" s="330"/>
    </row>
    <row r="73" spans="4:13">
      <c r="D73" s="145" t="s">
        <v>137</v>
      </c>
      <c r="E73" s="101" t="s">
        <v>127</v>
      </c>
      <c r="F73" s="101"/>
      <c r="G73" s="101"/>
      <c r="H73" s="101"/>
      <c r="I73" s="102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 ht="16.5" thickBot="1">
      <c r="D75" s="146" t="s">
        <v>137</v>
      </c>
      <c r="E75" s="104" t="s">
        <v>127</v>
      </c>
      <c r="F75" s="106"/>
      <c r="G75" s="106"/>
      <c r="H75" s="106"/>
      <c r="I75" s="105">
        <f>IF(OR($E75="L",$E75="L#",$E75="?"),0,SUM($F75:$H75))</f>
        <v>0</v>
      </c>
      <c r="J75" s="330"/>
    </row>
    <row r="76" spans="4:13">
      <c r="D76" s="330"/>
      <c r="E76" s="96" t="s">
        <v>98</v>
      </c>
      <c r="F76" s="96" t="str">
        <f>SUM($F$60:$F$75)&amp;IF(SUM($F$60:$H$75)&gt;$I$76,"?","")</f>
        <v>0</v>
      </c>
      <c r="G76" s="96" t="str">
        <f>SUM($G$60:$G$75)&amp;IF(SUM($F$60:$H$75)&gt;$I$76,"?","")</f>
        <v>0</v>
      </c>
      <c r="H76" s="96" t="str">
        <f>SUM($H$60:$H$75)&amp;IF(SUM($F$60:$H$75)&gt;$I$76,"?","")</f>
        <v>0</v>
      </c>
      <c r="I76" s="96">
        <f>SUM(I60:I75)</f>
        <v>0</v>
      </c>
      <c r="J76" s="330"/>
    </row>
    <row r="77" spans="4:13">
      <c r="D77" s="330"/>
      <c r="E77" s="330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330"/>
      <c r="J77" s="330"/>
    </row>
    <row r="79" spans="4:13">
      <c r="D79" s="410" t="s">
        <v>281</v>
      </c>
      <c r="E79" s="410"/>
      <c r="F79" s="410"/>
    </row>
    <row r="80" spans="4:13">
      <c r="D80" s="49" t="str">
        <f>IF(Flight!$A$68=0,"",Flight!$A$68)</f>
        <v/>
      </c>
      <c r="E80" s="163"/>
      <c r="F80" s="164" t="str">
        <f>IF(D80="","",VLOOKUP(D80,Flight!$A$68:$C$91,3,FALSE))</f>
        <v/>
      </c>
    </row>
    <row r="81" spans="4:6">
      <c r="D81" s="49" t="str">
        <f>IF(Flight!$A69=0,"",Flight!$A69)</f>
        <v/>
      </c>
      <c r="F81" s="164" t="str">
        <f>IF(D81="","",VLOOKUP(D81,Flight!$A$68:$C$91,3,FALSE))</f>
        <v/>
      </c>
    </row>
    <row r="82" spans="4:6">
      <c r="D82" s="49" t="str">
        <f>IF(Flight!$A71=0,"",Flight!$A71)</f>
        <v>3A031</v>
      </c>
      <c r="F82" s="164" t="str">
        <f>IF(D82="","",VLOOKUP(D82,Flight!$A$68:$C$91,3,FALSE))</f>
        <v>ZTI</v>
      </c>
    </row>
    <row r="83" spans="4:6">
      <c r="D83" s="49" t="str">
        <f>IF(Flight!$A72=0,"",Flight!$A72)</f>
        <v>3A003</v>
      </c>
      <c r="F83" s="164" t="str">
        <f>IF(D83="","",VLOOKUP(D83,Flight!$A$68:$C$91,3,FALSE))</f>
        <v>ZYK</v>
      </c>
    </row>
    <row r="84" spans="4:6">
      <c r="D84" s="49" t="str">
        <f>IF(Flight!$A73=0,"",Flight!$A73)</f>
        <v>3A005</v>
      </c>
      <c r="F84" s="164" t="str">
        <f>IF(D84="","",VLOOKUP(D84,Flight!$A$68:$C$91,3,FALSE))</f>
        <v>HKM</v>
      </c>
    </row>
    <row r="85" spans="4:6">
      <c r="D85" s="49" t="str">
        <f>IF(Flight!$A74=0,"",Flight!$A74)</f>
        <v>3A007</v>
      </c>
      <c r="F85" s="164" t="str">
        <f>IF(D85="","",VLOOKUP(D85,Flight!$A$68:$C$91,3,FALSE))</f>
        <v>ZYK</v>
      </c>
    </row>
    <row r="86" spans="4:6">
      <c r="D86" s="49" t="str">
        <f>IF(Flight!$A75=0,"",Flight!$A75)</f>
        <v>3A008</v>
      </c>
      <c r="F86" s="164" t="str">
        <f>IF(D86="","",VLOOKUP(D86,Flight!$A$68:$C$91,3,FALSE))</f>
        <v>ZYK</v>
      </c>
    </row>
    <row r="87" spans="4:6">
      <c r="D87" s="49" t="str">
        <f>IF(Flight!$A76=0,"",Flight!$A76)</f>
        <v>3A009</v>
      </c>
      <c r="F87" s="164" t="str">
        <f>IF(D87="","",VLOOKUP(D87,Flight!$A$68:$C$91,3,FALSE))</f>
        <v>ZYK</v>
      </c>
    </row>
    <row r="88" spans="4:6">
      <c r="D88" s="49" t="str">
        <f>IF(Flight!$A77=0,"",Flight!$A77)</f>
        <v>3A010</v>
      </c>
      <c r="F88" s="164" t="str">
        <f>IF(D88="","",VLOOKUP(D88,Flight!$A$68:$C$91,3,FALSE))</f>
        <v>ZYK</v>
      </c>
    </row>
    <row r="89" spans="4:6">
      <c r="D89" s="49" t="str">
        <f>IF(Flight!$A78=0,"",Flight!$A78)</f>
        <v/>
      </c>
      <c r="F89" s="164" t="str">
        <f>IF(D89="","",VLOOKUP(D89,Flight!$A$68:$C$91,3,FALSE))</f>
        <v/>
      </c>
    </row>
    <row r="90" spans="4:6">
      <c r="D90" s="49" t="str">
        <f>IF(Flight!$A80=0,"",Flight!$A80)</f>
        <v>8S7121</v>
      </c>
      <c r="F90" s="164" t="str">
        <f>IF(D90="","",VLOOKUP(D90,Flight!$A$68:$C$91,3,FALSE))</f>
        <v>HKM</v>
      </c>
    </row>
    <row r="91" spans="4:6">
      <c r="D91" s="49" t="str">
        <f>IF(Flight!$A81=0,"",Flight!$A81)</f>
        <v>8S7108</v>
      </c>
      <c r="F91" s="164" t="str">
        <f>IF(D91="","",VLOOKUP(D91,Flight!$A$68:$C$91,3,FALSE))</f>
        <v>ZYK</v>
      </c>
    </row>
    <row r="92" spans="4:6">
      <c r="D92" s="49" t="str">
        <f>IF(Flight!$A82=0,"",Flight!$A82)</f>
        <v>8S7111</v>
      </c>
      <c r="F92" s="164" t="str">
        <f>IF(D92="","",VLOOKUP(D92,Flight!$A$68:$C$91,3,FALSE))</f>
        <v>ZYK</v>
      </c>
    </row>
    <row r="93" spans="4:6">
      <c r="D93" s="49" t="str">
        <f>IF(Flight!$A83=0,"",Flight!$A83)</f>
        <v>8S7131</v>
      </c>
      <c r="F93" s="164" t="str">
        <f>IF(D93="","",VLOOKUP(D93,Flight!$A$68:$C$91,3,FALSE))</f>
        <v>?</v>
      </c>
    </row>
    <row r="94" spans="4:6">
      <c r="D94" s="49" t="str">
        <f>IF(Flight!$A84=0,"",Flight!$A84)</f>
        <v>8S7119</v>
      </c>
      <c r="F94" s="164" t="str">
        <f>IF(D94="","",VLOOKUP(D94,Flight!$A$68:$C$91,3,FALSE))</f>
        <v>HKM</v>
      </c>
    </row>
    <row r="95" spans="4:6">
      <c r="D95" s="49" t="str">
        <f>IF(Flight!$A85=0,"",Flight!$A85)</f>
        <v>8S7126</v>
      </c>
      <c r="F95" s="164" t="str">
        <f>IF(D95="","",VLOOKUP(D95,Flight!$A$68:$C$91,3,FALSE))</f>
        <v>HKM</v>
      </c>
    </row>
    <row r="96" spans="4:6">
      <c r="D96" s="49" t="str">
        <f>IF(Flight!$A86=0,"",Flight!$A86)</f>
        <v>8S7128</v>
      </c>
      <c r="F96" s="164" t="str">
        <f>IF(D96="","",VLOOKUP(D96,Flight!$A$68:$C$91,3,FALSE))</f>
        <v>HKM</v>
      </c>
    </row>
    <row r="97" spans="4:6">
      <c r="D97" s="49" t="str">
        <f>IF(Flight!$A87=0,"",Flight!$A87)</f>
        <v>3A8010</v>
      </c>
      <c r="F97" s="164" t="str">
        <f>IF(D97="","",VLOOKUP(D97,Flight!$A$68:$C$91,3,FALSE))</f>
        <v>HZI</v>
      </c>
    </row>
    <row r="98" spans="4:6">
      <c r="D98" s="49" t="str">
        <f>IF(Flight!$A88=0,"",Flight!$A88)</f>
        <v>3A8015</v>
      </c>
      <c r="F98" s="164" t="str">
        <f>IF(D98="","",VLOOKUP(D98,Flight!$A$68:$C$91,3,FALSE))</f>
        <v>?</v>
      </c>
    </row>
    <row r="99" spans="4:6">
      <c r="D99" s="49" t="str">
        <f>IF(Flight!$A89=0,"",Flight!$A89)</f>
        <v>3A8016</v>
      </c>
      <c r="F99" s="164" t="str">
        <f>IF(D99="","",VLOOKUP(D99,Flight!$A$68:$C$91,3,FALSE))</f>
        <v>HZI</v>
      </c>
    </row>
    <row r="100" spans="4:6">
      <c r="D100" s="49" t="str">
        <f>IF(Flight!$A91=0,"",Flight!$A91)</f>
        <v xml:space="preserve">Last </v>
      </c>
      <c r="F100" s="164" t="str">
        <f>IF(D100="","",VLOOKUP(D100,Flight!$A$68:$C$91,3,FALSE))</f>
        <v>↑</v>
      </c>
    </row>
    <row r="101" spans="4:6">
      <c r="D101" s="49" t="str">
        <f>IF(Flight!$A92=0,"",Flight!$A92)</f>
        <v/>
      </c>
      <c r="F101" s="164" t="str">
        <f>IF(D101="","",VLOOKUP(D101,Flight!$A$68:$C$91,3,FALSE))</f>
        <v/>
      </c>
    </row>
    <row r="102" spans="4:6">
      <c r="D102" s="186"/>
      <c r="F102" s="187"/>
    </row>
    <row r="103" spans="4:6">
      <c r="D103" s="406" t="str">
        <f>IF(Flight!$A$93=0,"",Flight!$A$93)</f>
        <v>Target Flight</v>
      </c>
      <c r="E103" s="406"/>
      <c r="F103" s="406"/>
    </row>
    <row r="104" spans="4:6">
      <c r="D104" s="27" t="s">
        <v>59</v>
      </c>
      <c r="E104" s="158"/>
      <c r="F104" s="10" t="s">
        <v>38</v>
      </c>
    </row>
    <row r="105" spans="4:6">
      <c r="D105" s="27" t="s">
        <v>89</v>
      </c>
      <c r="E105" s="158"/>
      <c r="F105" s="10" t="s">
        <v>38</v>
      </c>
    </row>
    <row r="106" spans="4:6">
      <c r="D106" s="27" t="s">
        <v>254</v>
      </c>
      <c r="E106" s="158"/>
      <c r="F106" s="10" t="s">
        <v>38</v>
      </c>
    </row>
    <row r="107" spans="4:6">
      <c r="D107" s="27" t="s">
        <v>57</v>
      </c>
      <c r="E107" s="158"/>
      <c r="F107" s="10" t="s">
        <v>58</v>
      </c>
    </row>
    <row r="108" spans="4:6">
      <c r="D108" s="27" t="s">
        <v>198</v>
      </c>
      <c r="E108" s="158"/>
      <c r="F108" s="10" t="s">
        <v>199</v>
      </c>
    </row>
    <row r="109" spans="4:6">
      <c r="D109" s="27" t="s">
        <v>55</v>
      </c>
      <c r="E109" s="158"/>
      <c r="F109" s="10" t="s">
        <v>54</v>
      </c>
    </row>
    <row r="110" spans="4:6">
      <c r="D110" s="27" t="s">
        <v>39</v>
      </c>
      <c r="E110" s="158"/>
      <c r="F110" s="10" t="s">
        <v>38</v>
      </c>
    </row>
    <row r="111" spans="4:6">
      <c r="D111" s="27" t="s">
        <v>200</v>
      </c>
      <c r="E111" s="158"/>
      <c r="F111" s="10" t="s">
        <v>54</v>
      </c>
    </row>
    <row r="112" spans="4:6">
      <c r="D112" s="27" t="s">
        <v>201</v>
      </c>
      <c r="E112" s="158"/>
      <c r="F112" s="10" t="s">
        <v>38</v>
      </c>
    </row>
    <row r="113" spans="4:6">
      <c r="D113" s="161"/>
      <c r="E113" s="158"/>
      <c r="F113" s="159"/>
    </row>
    <row r="114" spans="4:6">
      <c r="D114" s="161"/>
      <c r="E114" s="158"/>
      <c r="F114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5:E45"/>
    <mergeCell ref="G45:H45"/>
    <mergeCell ref="I45:J45"/>
    <mergeCell ref="K44:M44"/>
    <mergeCell ref="H6:H7"/>
    <mergeCell ref="I6:I7"/>
    <mergeCell ref="J6:J7"/>
    <mergeCell ref="K6:M6"/>
    <mergeCell ref="A41:F41"/>
    <mergeCell ref="I41:M42"/>
    <mergeCell ref="A42:H42"/>
    <mergeCell ref="A6:A7"/>
    <mergeCell ref="B6:C6"/>
    <mergeCell ref="D6:D7"/>
    <mergeCell ref="E6:E7"/>
    <mergeCell ref="F6:F7"/>
    <mergeCell ref="A43:H43"/>
    <mergeCell ref="A44:B44"/>
    <mergeCell ref="D44:E44"/>
    <mergeCell ref="G44:H44"/>
    <mergeCell ref="I44:J44"/>
    <mergeCell ref="K45:M45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G46:H46"/>
    <mergeCell ref="I46:J46"/>
    <mergeCell ref="A45:B45"/>
    <mergeCell ref="D52:E52"/>
    <mergeCell ref="F52:G52"/>
    <mergeCell ref="H52:I52"/>
    <mergeCell ref="D49:I49"/>
    <mergeCell ref="K49:M49"/>
    <mergeCell ref="A51:B51"/>
    <mergeCell ref="C51:E51"/>
    <mergeCell ref="F51:G51"/>
    <mergeCell ref="H51:I51"/>
    <mergeCell ref="K51:M51"/>
    <mergeCell ref="D103:F103"/>
    <mergeCell ref="A53:B53"/>
    <mergeCell ref="C53:E53"/>
    <mergeCell ref="H53:I53"/>
    <mergeCell ref="C54:H54"/>
    <mergeCell ref="I55:J55"/>
    <mergeCell ref="D79:F79"/>
  </mergeCells>
  <phoneticPr fontId="2" type="noConversion"/>
  <conditionalFormatting sqref="H8:H40 E8:E40">
    <cfRule type="cellIs" dxfId="30" priority="3" operator="equal">
      <formula>""</formula>
    </cfRule>
  </conditionalFormatting>
  <conditionalFormatting sqref="F60:H77">
    <cfRule type="cellIs" dxfId="29" priority="2" operator="equal">
      <formula>"?"</formula>
    </cfRule>
  </conditionalFormatting>
  <conditionalFormatting sqref="D40:D997">
    <cfRule type="duplicateValues" dxfId="28" priority="4"/>
  </conditionalFormatting>
  <conditionalFormatting sqref="D8:D39">
    <cfRule type="duplicateValues" dxfId="27" priority="255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D45:E45</xm:sqref>
        </x14:dataValidation>
        <x14:dataValidation type="list" allowBlank="1" showInputMessage="1">
          <x14:formula1>
            <xm:f>Staff!$B$15:$B$39</xm:f>
          </x14:formula1>
          <xm:sqref>D44:E44</xm:sqref>
        </x14:dataValidation>
        <x14:dataValidation type="list" allowBlank="1" showInputMessage="1">
          <x14:formula1>
            <xm:f>Staff!$G$23:$G$52</xm:f>
          </x14:formula1>
          <xm:sqref>K47:M51</xm:sqref>
        </x14:dataValidation>
        <x14:dataValidation type="list" allowBlank="1" showInputMessage="1">
          <x14:formula1>
            <xm:f>Staff!$G$12:$G$52</xm:f>
          </x14:formula1>
          <xm:sqref>G47:I48</xm:sqref>
        </x14:dataValidation>
        <x14:dataValidation type="list" allowBlank="1" showInputMessage="1">
          <x14:formula1>
            <xm:f>Staff!$G$2:$G$9</xm:f>
          </x14:formula1>
          <xm:sqref>K44:M45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3"/>
  <sheetViews>
    <sheetView view="pageBreakPreview" topLeftCell="A2" zoomScale="90" zoomScaleNormal="100" zoomScaleSheetLayoutView="90" workbookViewId="0">
      <selection activeCell="D31" sqref="D31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45772</v>
      </c>
      <c r="E1" s="355"/>
      <c r="F1" s="333" t="s">
        <v>23</v>
      </c>
      <c r="G1" s="110">
        <f>D1</f>
        <v>45772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","")&amp;IF(COUNTIF($E$59:$E$73,B$3)=0,"-","")</f>
        <v xml:space="preserve">S10(0) </v>
      </c>
      <c r="C4" s="367"/>
      <c r="D4" s="366" t="str">
        <f>IF($E$59=$E$55," &lt;"&amp;$D$59&amp;"("&amp;$I$59&amp;")&gt; "&amp;" ","")&amp;IF($E$59=D$3,$D$59&amp;"("&amp;$I$59&amp;")"&amp;" ","")&amp;IF($E$60=$E$55," &lt;"&amp;$D$60&amp;"("&amp;$I$60&amp;")&gt; "&amp;" ","")&amp;IF($E$60=D$3,$D$60&amp;"("&amp;$I$60&amp;")"&amp;" ","")&amp;IF($E$61=$E$55," &lt;"&amp;$D$61&amp;"("&amp;$I$61&amp;")&gt; "&amp;" ","")&amp;IF($E$61=D$3,$D$61&amp;"("&amp;$I$61&amp;")"&amp;" ","")&amp;IF($E$62=$E$55," &lt;"&amp;$D$62&amp;"("&amp;$I$62&amp;")&gt; "&amp;" ","")&amp;IF($E$62=D$3,$D$62&amp;"("&amp;$I$62&amp;")"&amp;" ","")&amp;IF($E$63=$E$55," &lt;"&amp;$D$63&amp;"("&amp;$I$63&amp;")&gt; "&amp;" ","")&amp;IF($E$63=D$3,$D$63&amp;"("&amp;$I$63&amp;")"&amp;" ","")&amp;IF($E$64=$E$55," &lt;"&amp;$D$64&amp;"("&amp;$I$64&amp;")&gt; "&amp;" ","")&amp;IF($E$64=D$3,$D$64&amp;"("&amp;$I$64&amp;")"&amp;" ","")&amp;IF($E$65=$E$55," &lt;"&amp;$D$65&amp;"("&amp;$I$65&amp;")&gt; "&amp;" ","")&amp;IF($E$65=D$3,$D$65&amp;"("&amp;$I$65&amp;")"&amp;" ","")&amp;IF($E$66=$E$55," &lt;"&amp;$D$66&amp;"("&amp;$I$66&amp;")&gt; "&amp;" ","")&amp;IF($E$66=D$3,$D$66&amp;"("&amp;$I$66&amp;")"&amp;" ","")&amp;IF($E$67=$E$55," &lt;"&amp;$D$67&amp;"("&amp;$I$67&amp;")&gt; "&amp;" ","")&amp;IF($E$67=D$3,$D$67&amp;"("&amp;$I$67&amp;")"&amp;" ","")&amp;IF($E$68=$E$55," &lt;"&amp;$D$68&amp;"("&amp;$I$68&amp;")&gt; "&amp;" ","")&amp;IF($E$68=D$3,$D$68&amp;"("&amp;$I$68&amp;")"&amp;" ","")&amp;IF($E$69=$E$55," &lt;"&amp;$D$69&amp;"("&amp;$I$69&amp;")&gt; "&amp;" ","")&amp;IF($E$69=D$3,$D$69&amp;"("&amp;$I$69&amp;")"&amp;" ","")&amp;IF($E$70=$E$55," &lt;"&amp;$D$70&amp;"("&amp;$I$70&amp;")&gt; "&amp;" ","")&amp;IF($E$70=D$3,$D$70&amp;"("&amp;$I$70&amp;")"&amp;" ","")&amp;IF($E$71=D$3,$D$71&amp;"("&amp;$I$71&amp;")"&amp;" ","")&amp;IF($E$72=D$3,$D$72&amp;"("&amp;$I$72&amp;")"&amp;" ","")&amp;IF($E$73=D$3,$D$73&amp;"("&amp;$I$73&amp;")"&amp;" ","")&amp;IF($E$74=D$3,$D$74&amp;"("&amp;$I$74&amp;")"&amp;" ","")&amp;IF(COUNTIF($E$59:$E$74,D$3)=0,"-","")</f>
        <v xml:space="preserve"> &lt;S3(0)&gt;  S4(0) </v>
      </c>
      <c r="E4" s="367"/>
      <c r="F4" s="366" t="str">
        <f>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","")&amp;IF(COUNTIF($E$59:$E$73,F$3)=0,"-","")</f>
        <v xml:space="preserve">S2(0) </v>
      </c>
      <c r="G4" s="367"/>
      <c r="H4" s="366" t="str">
        <f>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","")&amp;IF(COUNTIF($E$59:$E$73,H$3)=0,"-","")</f>
        <v xml:space="preserve">S1(0) </v>
      </c>
      <c r="I4" s="367"/>
      <c r="J4" s="366" t="str">
        <f>IF($E$59=$E$56," &lt;"&amp;$D$59&amp;"("&amp;$I$59&amp;")&gt; "&amp;" ","")&amp;IF($E$59=J$3,$D$59&amp;"("&amp;$I$59&amp;")"&amp;" ","")&amp;IF($E$60=$E$56," &lt;"&amp;$D$60&amp;"("&amp;$I$60&amp;")&gt; "&amp;" ","")&amp;IF($E$60=J$3,$D$60&amp;"("&amp;$I$60&amp;")"&amp;" ","")&amp;IF($E$61=$E$56," &lt;"&amp;$D$61&amp;"("&amp;$I$61&amp;")&gt; "&amp;" ","")&amp;IF($E$61=J$3,$D$61&amp;"("&amp;$I$61&amp;")"&amp;" ","")&amp;IF($E$62=$E$56," &lt;"&amp;$D$62&amp;"("&amp;$I$62&amp;")&gt; "&amp;" ","")&amp;IF($E$62=J$3,$D$62&amp;"("&amp;$I$62&amp;")"&amp;" ","")&amp;IF($E$63=$E$56," &lt;"&amp;$D$63&amp;"("&amp;$I$63&amp;")&gt; "&amp;" ","")&amp;IF($E$63=J$3,$D$63&amp;"("&amp;$I$63&amp;")"&amp;" ","")&amp;IF($E$64=$E$56," &lt;"&amp;$D$64&amp;"("&amp;$I$64&amp;")&gt; "&amp;" ","")&amp;IF($E$64=J$3,$D$64&amp;"("&amp;$I$64&amp;")"&amp;" ","")&amp;IF($E$65=$E$56," &lt;"&amp;$D$65&amp;"("&amp;$I$65&amp;")&gt; "&amp;" ","")&amp;IF($E$65=J$3,$D$65&amp;"("&amp;$I$65&amp;")"&amp;" ","")&amp;IF($E$66=$E$56," &lt;"&amp;$D$66&amp;"("&amp;$I$66&amp;")&gt; "&amp;" ","")&amp;IF($E$66=J$3,$D$66&amp;"("&amp;$I$66&amp;")"&amp;" ","")&amp;IF($E$67=$E$56," &lt;"&amp;$D$67&amp;"("&amp;$I$67&amp;")&gt; "&amp;" ","")&amp;IF($E$67=J$3,$D$67&amp;"("&amp;$I$67&amp;")"&amp;" ","")&amp;IF($E$68=$E$56," &lt;"&amp;$D$68&amp;"("&amp;$I$68&amp;")&gt; "&amp;" ","")&amp;IF($E$68=J$3,$D$68&amp;"("&amp;$I$68&amp;")"&amp;" ","")&amp;IF($E$69=$E$56," &lt;"&amp;$D$69&amp;"("&amp;$I$69&amp;")&gt; "&amp;" ","")&amp;IF($E$69=J$3,$D$69&amp;"("&amp;$I$69&amp;")"&amp;" ","")&amp;IF($E$70=$E$56," &lt;"&amp;$D$70&amp;"("&amp;$I$70&amp;")&gt; "&amp;" ","")&amp;IF($E$70=J$3,$D$70&amp;"("&amp;$I$70&amp;")"&amp;" ","")&amp;IF($E$71=J$3,$D$71&amp;"("&amp;$I$71&amp;")"&amp;" ","")&amp;IF($E$72=J$3,$D$72&amp;"("&amp;$I$72&amp;")"&amp;" ","")&amp;IF($E$73=J$3,$D$73&amp;"("&amp;$I$73&amp;")"&amp;" ","")&amp;IF($E$74=J$3,$D$74&amp;"("&amp;$I$74&amp;")"&amp;" ","")&amp;IF(COUNTIF($E$59:$E$74,J$3)=0,"-","")</f>
        <v xml:space="preserve"> &lt;S5(0)&gt;  S6(0) </v>
      </c>
      <c r="K4" s="367"/>
      <c r="L4" s="366" t="str">
        <f>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","")&amp;IF(COUNTIF($E$59:$E$73,L$3)=0,"-","")</f>
        <v xml:space="preserve">S8(0)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39" si="0">IF($E8&lt;&gt;"",IF($E8-715&lt;0,VLOOKUP($B$3,$E$59:$J$70,6,FALSE),IF(AND($E8-2130&gt;0,_xlfn.IFNA(MATCH($D8,$D$103:$D$113,0)&lt;20,"")=TRUE),VLOOKUP($L$3,$E$59:$J$70,6,FALSE),"-")),"")</f>
        <v>S10</v>
      </c>
      <c r="C8" s="9" t="str">
        <f t="shared" ref="C8:C39" si="1">IF($E8&lt;&gt;"",IF(ISNUMBER(SEARCH("Hall Operation",$K8)),"-",IF($E8-715&lt;0,VLOOKUP($B$3,$E$59:$J$70,6,FALSE),IF($E8-2129&gt;0,VLOOKUP($L$3,$E$59:$J$70,6,FALSE),""))),"")</f>
        <v>-</v>
      </c>
      <c r="D8" s="165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29" si="2">IF($D8=0,"",IF(OR(ISNUMBER(SEARCH("S",$B8)),_xlfn.IFNA(MATCH($D8,$D$103:$D$113,0)&lt;20,"")=TRUE),"&lt;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 t="shared" ref="A9:A39" si="3">IF($A7="S/N",1,IF($F9="Wavied","-",IF($D9=0,"",ROW($A9)-ROW($A$7)-COUNTIF($A$7:$A$8,"@")-COUNTIF($A$7:$A$8,"-"))))</f>
        <v>2</v>
      </c>
      <c r="B9" s="9" t="str">
        <f t="shared" si="0"/>
        <v>S10</v>
      </c>
      <c r="C9" s="9" t="str">
        <f t="shared" si="1"/>
        <v>-</v>
      </c>
      <c r="D9" s="165" t="s">
        <v>63</v>
      </c>
      <c r="E9" s="172" t="str">
        <f>IF($D9&gt;0,VLOOKUP($D9,Flight!$A$1:$E$91,2,FALSE),"")</f>
        <v>0545</v>
      </c>
      <c r="F9" s="45"/>
      <c r="G9" s="43" t="str">
        <f t="shared" ref="G9:G39" si="4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 t="shared" si="3"/>
        <v>3</v>
      </c>
      <c r="B10" s="9" t="str">
        <f t="shared" si="0"/>
        <v>S10</v>
      </c>
      <c r="C10" s="9" t="str">
        <f t="shared" si="1"/>
        <v>-</v>
      </c>
      <c r="D10" s="165" t="s">
        <v>238</v>
      </c>
      <c r="E10" s="172" t="str">
        <f>IF($D10&gt;0,VLOOKUP($D10,Flight!$A$1:$E$91,2,FALSE),"")</f>
        <v>0555</v>
      </c>
      <c r="F10" s="45"/>
      <c r="G10" s="43" t="str">
        <f t="shared" si="4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 t="shared" si="3"/>
        <v>4</v>
      </c>
      <c r="B11" s="9" t="str">
        <f t="shared" si="0"/>
        <v>S10</v>
      </c>
      <c r="C11" s="9" t="str">
        <f t="shared" si="1"/>
        <v>-</v>
      </c>
      <c r="D11" s="217" t="s">
        <v>89</v>
      </c>
      <c r="E11" s="172" t="str">
        <f>IF($D11&gt;0,VLOOKUP($D11,Flight!$A$1:$E$91,2,FALSE),"")</f>
        <v>0615</v>
      </c>
      <c r="F11" s="43"/>
      <c r="G11" s="43" t="str">
        <f t="shared" si="4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si="3"/>
        <v>5</v>
      </c>
      <c r="B12" s="9" t="str">
        <f t="shared" si="0"/>
        <v>S10</v>
      </c>
      <c r="C12" s="9" t="str">
        <f t="shared" si="1"/>
        <v>-</v>
      </c>
      <c r="D12" s="217" t="s">
        <v>201</v>
      </c>
      <c r="E12" s="172" t="str">
        <f>IF($D12&gt;0,VLOOKUP($D12,Flight!$A$1:$E$91,2,FALSE),"")</f>
        <v>0640</v>
      </c>
      <c r="F12" s="45"/>
      <c r="G12" s="43" t="str">
        <f t="shared" si="4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si="3"/>
        <v>6</v>
      </c>
      <c r="B13" s="9" t="str">
        <f t="shared" si="0"/>
        <v>-</v>
      </c>
      <c r="C13" s="9" t="str">
        <f t="shared" si="1"/>
        <v>-</v>
      </c>
      <c r="D13" s="217" t="s">
        <v>39</v>
      </c>
      <c r="E13" s="172" t="str">
        <f>IF($D13&gt;0,VLOOKUP($D13,Flight!$A$1:$E$91,2,FALSE),"")</f>
        <v>0905</v>
      </c>
      <c r="F13" s="46"/>
      <c r="G13" s="43" t="str">
        <f t="shared" si="4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f t="shared" si="3"/>
        <v>7</v>
      </c>
      <c r="B14" s="9" t="str">
        <f t="shared" si="0"/>
        <v>-</v>
      </c>
      <c r="C14" s="9" t="str">
        <f t="shared" si="1"/>
        <v>-</v>
      </c>
      <c r="D14" s="217" t="s">
        <v>57</v>
      </c>
      <c r="E14" s="172" t="str">
        <f>IF($D14&gt;0,VLOOKUP($D14,Flight!$A$1:$E$91,2,FALSE),"")</f>
        <v>0935</v>
      </c>
      <c r="F14" s="46"/>
      <c r="G14" s="43" t="str">
        <f t="shared" si="4"/>
        <v/>
      </c>
      <c r="H14" s="44" t="str">
        <f>IF($D14&gt;0,VLOOKUP($D14,Flight!$A$1:$E$91,3,FALSE),"")</f>
        <v>BLR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 t="shared" si="3"/>
        <v>8</v>
      </c>
      <c r="B15" s="9" t="str">
        <f t="shared" si="0"/>
        <v>-</v>
      </c>
      <c r="C15" s="9" t="str">
        <f t="shared" si="1"/>
        <v>-</v>
      </c>
      <c r="D15" s="217" t="s">
        <v>198</v>
      </c>
      <c r="E15" s="172" t="str">
        <f>IF($D15&gt;0,VLOOKUP($D15,Flight!$A$1:$E$91,2,FALSE),"")</f>
        <v>0950</v>
      </c>
      <c r="F15" s="46"/>
      <c r="G15" s="43" t="str">
        <f t="shared" si="4"/>
        <v/>
      </c>
      <c r="H15" s="44" t="str">
        <f>IF($D15&gt;0,VLOOKUP($D15,Flight!$A$1:$E$91,3,FALSE),"")</f>
        <v>MAA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f t="shared" si="3"/>
        <v>9</v>
      </c>
      <c r="B16" s="9" t="str">
        <f t="shared" si="0"/>
        <v>-</v>
      </c>
      <c r="C16" s="9" t="str">
        <f t="shared" si="1"/>
        <v>-</v>
      </c>
      <c r="D16" s="217" t="s">
        <v>55</v>
      </c>
      <c r="E16" s="172" t="str">
        <f>IF($D16&gt;0,VLOOKUP($D16,Flight!$A$1:$E$91,2,FALSE),"")</f>
        <v>0955</v>
      </c>
      <c r="F16" s="45"/>
      <c r="G16" s="43" t="str">
        <f t="shared" si="4"/>
        <v/>
      </c>
      <c r="H16" s="44" t="str">
        <f>IF($D16&gt;0,VLOOKUP($D16,Flight!$A$1:$E$91,3,FALSE),"")</f>
        <v>BOM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f t="shared" si="3"/>
        <v>10</v>
      </c>
      <c r="B17" s="9" t="str">
        <f t="shared" si="0"/>
        <v>-</v>
      </c>
      <c r="C17" s="9" t="str">
        <f t="shared" si="1"/>
        <v/>
      </c>
      <c r="D17" s="27" t="s">
        <v>43</v>
      </c>
      <c r="E17" s="172" t="str">
        <f>IF($D17&gt;0,VLOOKUP($D17,Flight!$A$1:$E$91,2,FALSE),"")</f>
        <v>1000</v>
      </c>
      <c r="F17" s="45"/>
      <c r="G17" s="43" t="str">
        <f t="shared" si="4"/>
        <v/>
      </c>
      <c r="H17" s="44" t="str">
        <f>IF($D17&gt;0,VLOOKUP($D17,Flight!$A$1:$E$91,3,FALSE),"")</f>
        <v>DMK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/>
      </c>
      <c r="L17" s="166"/>
      <c r="M17" s="166"/>
      <c r="O17" s="114"/>
    </row>
    <row r="18" spans="1:15">
      <c r="A18" s="9">
        <f t="shared" si="3"/>
        <v>11</v>
      </c>
      <c r="B18" s="9" t="str">
        <f t="shared" si="0"/>
        <v>-</v>
      </c>
      <c r="C18" s="9" t="str">
        <f t="shared" si="1"/>
        <v/>
      </c>
      <c r="D18" s="27" t="s">
        <v>42</v>
      </c>
      <c r="E18" s="172" t="str">
        <f>IF($D18&gt;0,VLOOKUP($D18,Flight!$A$1:$E$91,2,FALSE),"")</f>
        <v>1010</v>
      </c>
      <c r="F18" s="45"/>
      <c r="G18" s="43" t="str">
        <f t="shared" si="4"/>
        <v/>
      </c>
      <c r="H18" s="44" t="str">
        <f>IF($D18&gt;0,VLOOKUP($D18,Flight!$A$1:$E$91,3,FALSE),"")</f>
        <v>MNL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>
        <f t="shared" si="3"/>
        <v>12</v>
      </c>
      <c r="B19" s="9" t="str">
        <f t="shared" si="0"/>
        <v>-</v>
      </c>
      <c r="C19" s="9" t="str">
        <f t="shared" si="1"/>
        <v/>
      </c>
      <c r="D19" s="27" t="s">
        <v>36</v>
      </c>
      <c r="E19" s="172" t="str">
        <f>IF($D19&gt;0,VLOOKUP($D19,Flight!$A$1:$E$91,2,FALSE),"")</f>
        <v>1115</v>
      </c>
      <c r="F19" s="45"/>
      <c r="G19" s="43" t="str">
        <f t="shared" si="4"/>
        <v/>
      </c>
      <c r="H19" s="44" t="str">
        <f>IF($D19&gt;0,VLOOKUP($D19,Flight!$A$1:$E$91,3,FALSE),"")</f>
        <v>KUL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3"/>
        <v>13</v>
      </c>
      <c r="B20" s="9" t="str">
        <f t="shared" si="0"/>
        <v>-</v>
      </c>
      <c r="C20" s="9" t="str">
        <f t="shared" si="1"/>
        <v/>
      </c>
      <c r="D20" s="27" t="s">
        <v>576</v>
      </c>
      <c r="E20" s="172" t="str">
        <f>IF($D20&gt;0,VLOOKUP($D20,Flight!$A$1:$E$91,2,FALSE),"")</f>
        <v>1145</v>
      </c>
      <c r="F20" s="45"/>
      <c r="G20" s="43" t="str">
        <f t="shared" si="4"/>
        <v/>
      </c>
      <c r="H20" s="44" t="str">
        <f>IF($D20&gt;0,VLOOKUP($D20,Flight!$A$1:$E$91,3,FALSE),"")</f>
        <v>BKK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 ht="15.75" customHeight="1">
      <c r="A21" s="9">
        <f t="shared" si="3"/>
        <v>14</v>
      </c>
      <c r="B21" s="9" t="str">
        <f t="shared" si="0"/>
        <v>-</v>
      </c>
      <c r="C21" s="9" t="str">
        <f t="shared" si="1"/>
        <v/>
      </c>
      <c r="D21" s="27" t="s">
        <v>456</v>
      </c>
      <c r="E21" s="172">
        <v>1210</v>
      </c>
      <c r="F21" s="44"/>
      <c r="G21" s="43" t="str">
        <f t="shared" si="4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3"/>
        <v>15</v>
      </c>
      <c r="B22" s="9" t="str">
        <f t="shared" si="0"/>
        <v>-</v>
      </c>
      <c r="C22" s="9" t="str">
        <f t="shared" si="1"/>
        <v/>
      </c>
      <c r="D22" s="27" t="s">
        <v>321</v>
      </c>
      <c r="E22" s="172" t="str">
        <f>IF($D22&gt;0,VLOOKUP($D22,Flight!$A$1:$E$91,2,FALSE),"")</f>
        <v>1305</v>
      </c>
      <c r="F22" s="44"/>
      <c r="G22" s="43" t="str">
        <f t="shared" si="4"/>
        <v/>
      </c>
      <c r="H22" s="44" t="str">
        <f>IF($D22&gt;0,VLOOKUP($D22,Flight!$A$1:$E$91,3,FALSE),"")</f>
        <v>DMK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>
        <f t="shared" si="3"/>
        <v>16</v>
      </c>
      <c r="B23" s="9" t="str">
        <f t="shared" si="0"/>
        <v>-</v>
      </c>
      <c r="C23" s="9" t="str">
        <f t="shared" si="1"/>
        <v>-</v>
      </c>
      <c r="D23" s="339" t="s">
        <v>59</v>
      </c>
      <c r="E23" s="172" t="str">
        <f>IF($D23&gt;0,VLOOKUP($D23,Flight!$A$1:$E$91,2,FALSE),"")</f>
        <v>1310</v>
      </c>
      <c r="F23" s="44"/>
      <c r="G23" s="43" t="str">
        <f t="shared" si="4"/>
        <v/>
      </c>
      <c r="H23" s="44" t="str">
        <f>IF($D23&gt;0,VLOOKUP($D23,Flight!$A$1:$E$91,3,FALSE),"")</f>
        <v>DEL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>&lt;   Hall Operation   &gt;</v>
      </c>
      <c r="L23" s="166"/>
      <c r="M23" s="166"/>
      <c r="O23" s="114"/>
    </row>
    <row r="24" spans="1:15">
      <c r="A24" s="9">
        <f t="shared" si="3"/>
        <v>17</v>
      </c>
      <c r="B24" s="9" t="str">
        <f t="shared" si="0"/>
        <v>-</v>
      </c>
      <c r="C24" s="9" t="str">
        <f t="shared" si="1"/>
        <v/>
      </c>
      <c r="D24" s="9" t="s">
        <v>96</v>
      </c>
      <c r="E24" s="172" t="str">
        <f>IF($D24&gt;0,VLOOKUP($D24,Flight!$A$1:$E$91,2,FALSE),"")</f>
        <v>1415</v>
      </c>
      <c r="F24" s="45"/>
      <c r="G24" s="43" t="str">
        <f t="shared" si="4"/>
        <v/>
      </c>
      <c r="H24" s="44" t="str">
        <f>IF($D24&gt;0,VLOOKUP($D24,Flight!$A$1:$E$91,3,FALSE),"")</f>
        <v>KUL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>
        <f t="shared" si="3"/>
        <v>18</v>
      </c>
      <c r="B25" s="9" t="str">
        <f t="shared" si="0"/>
        <v>-</v>
      </c>
      <c r="C25" s="9" t="str">
        <f t="shared" si="1"/>
        <v/>
      </c>
      <c r="D25" s="9" t="s">
        <v>236</v>
      </c>
      <c r="E25" s="172" t="str">
        <f>IF($D25&gt;0,VLOOKUP($D25,Flight!$A$1:$E$91,2,FALSE),"")</f>
        <v>1420</v>
      </c>
      <c r="F25" s="45"/>
      <c r="G25" s="43" t="str">
        <f t="shared" si="4"/>
        <v/>
      </c>
      <c r="H25" s="44" t="str">
        <f>IF($D25&gt;0,VLOOKUP($D25,Flight!$A$1:$E$91,3,FALSE),"")</f>
        <v>BKK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>IF($A25="S/N",1,IF($F26="Wavied","-",IF($D26=0,"",ROW($A26)-ROW($A$7)-COUNTIF($A$7:$A$8,"@")-COUNTIF($A$7:$A$8,"-"))))</f>
        <v>19</v>
      </c>
      <c r="B26" s="9" t="str">
        <f t="shared" si="0"/>
        <v>-</v>
      </c>
      <c r="C26" s="9" t="str">
        <f t="shared" si="1"/>
        <v/>
      </c>
      <c r="D26" s="27" t="s">
        <v>381</v>
      </c>
      <c r="E26" s="172" t="str">
        <f>IF($D26&gt;0,VLOOKUP($D26,Flight!$A$1:$E$91,2,FALSE),"")</f>
        <v>1510</v>
      </c>
      <c r="F26" s="45"/>
      <c r="G26" s="43" t="str">
        <f t="shared" si="4"/>
        <v/>
      </c>
      <c r="H26" s="44" t="str">
        <f>IF($D26&gt;0,VLOOKUP($D26,Flight!$A$1:$E$91,3,FALSE),"")</f>
        <v>DOH</v>
      </c>
      <c r="I26" s="44" t="str">
        <f>IF($D26&gt;0,IF(VLOOKUP($D26,Flight!$A$1:$E$91,4,FALSE)&gt;1,VLOOKUP($D26,Flight!$A$1:$E110,4,FALSE),""),"")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 t="shared" si="3"/>
        <v>20</v>
      </c>
      <c r="B27" s="9" t="str">
        <f t="shared" si="0"/>
        <v>-</v>
      </c>
      <c r="C27" s="9" t="str">
        <f t="shared" si="1"/>
        <v/>
      </c>
      <c r="D27" s="27" t="s">
        <v>91</v>
      </c>
      <c r="E27" s="172" t="str">
        <f>IF($D27&gt;0,VLOOKUP($D27,Flight!$A$1:$E$91,2,FALSE),"")</f>
        <v>1645</v>
      </c>
      <c r="F27" s="45"/>
      <c r="G27" s="43" t="str">
        <f t="shared" si="4"/>
        <v/>
      </c>
      <c r="H27" s="44" t="str">
        <f>IF($D27&gt;0,VLOOKUP($D27,Flight!$A$1:$E$91,3,FALSE),"")</f>
        <v>ADD</v>
      </c>
      <c r="I27" s="44" t="str">
        <f>IF($D27&gt;0,IF(VLOOKUP($D27,Flight!$A$1:$E$91,4,FALSE)&gt;1,VLOOKUP($D27,Flight!$A$1:$E111,4,FALSE),""),"")</f>
        <v>BKK</v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</row>
    <row r="28" spans="1:15">
      <c r="A28" s="9">
        <f t="shared" si="3"/>
        <v>21</v>
      </c>
      <c r="B28" s="9" t="str">
        <f t="shared" si="0"/>
        <v>-</v>
      </c>
      <c r="C28" s="9" t="str">
        <f t="shared" si="1"/>
        <v/>
      </c>
      <c r="D28" s="27" t="s">
        <v>382</v>
      </c>
      <c r="E28" s="172" t="str">
        <f>IF($D28&gt;0,VLOOKUP($D28,Flight!$A$1:$E$91,2,FALSE),"")</f>
        <v>1715</v>
      </c>
      <c r="F28" s="49"/>
      <c r="G28" s="43" t="str">
        <f t="shared" si="4"/>
        <v/>
      </c>
      <c r="H28" s="44" t="str">
        <f>IF($D28&gt;0,VLOOKUP($D28,Flight!$A$1:$E$91,3,FALSE),"")</f>
        <v>IST</v>
      </c>
      <c r="I28" s="44" t="str">
        <f>IF($D28&gt;0,IF(VLOOKUP($D28,Flight!$A$1:$E$91,4,FALSE)&gt;1,VLOOKUP($D28,Flight!$A$1:$E112,4,FALSE),""),"")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</row>
    <row r="29" spans="1:15">
      <c r="A29" s="9">
        <f t="shared" si="3"/>
        <v>22</v>
      </c>
      <c r="B29" s="9" t="str">
        <f t="shared" si="0"/>
        <v>-</v>
      </c>
      <c r="C29" s="9" t="str">
        <f t="shared" si="1"/>
        <v/>
      </c>
      <c r="D29" s="27" t="s">
        <v>398</v>
      </c>
      <c r="E29" s="172" t="str">
        <f>IF($D29&gt;0,VLOOKUP($D29,Flight!$A$1:$E$91,2,FALSE),"")</f>
        <v>1720</v>
      </c>
      <c r="F29" s="45"/>
      <c r="G29" s="43" t="str">
        <f t="shared" si="4"/>
        <v/>
      </c>
      <c r="H29" s="44" t="str">
        <f>IF($D29&gt;0,VLOOKUP($D29,Flight!$A$1:$E$91,3,FALSE),"")</f>
        <v>MNL</v>
      </c>
      <c r="I29" s="44" t="str">
        <f>IF($D29&gt;0,IF(VLOOKUP($D29,Flight!$A$1:$E$91,4,FALSE)&gt;1,VLOOKUP($D29,Flight!$A$1:$E113,4,FALSE),""),"")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 s="349" customFormat="1">
      <c r="A30" s="9">
        <f t="shared" si="3"/>
        <v>23</v>
      </c>
      <c r="B30" s="9" t="str">
        <f t="shared" si="0"/>
        <v>-</v>
      </c>
      <c r="C30" s="9" t="str">
        <f t="shared" si="1"/>
        <v/>
      </c>
      <c r="D30" s="27" t="s">
        <v>1008</v>
      </c>
      <c r="E30" s="172" t="str">
        <f>IF($D30&gt;0,VLOOKUP($D30,Flight!$A$1:$E$91,2,FALSE),"")</f>
        <v>1745</v>
      </c>
      <c r="F30" s="45"/>
      <c r="G30" s="43" t="str">
        <f t="shared" ref="G30" si="5">IF(A30="@",IF(H30="ZYK","Berth 3",IF(H30="HKM","Bay 7","")),"")</f>
        <v/>
      </c>
      <c r="H30" s="44" t="str">
        <f>IF($D30&gt;0,VLOOKUP($D30,Flight!$A$1:$E$91,3,FALSE),"")</f>
        <v>BKK</v>
      </c>
      <c r="I30" s="44"/>
      <c r="J30" s="44"/>
      <c r="K30" s="166"/>
      <c r="L30" s="166"/>
      <c r="M30" s="166"/>
      <c r="O30" s="112"/>
    </row>
    <row r="31" spans="1:15">
      <c r="A31" s="9">
        <f>IF($A28="S/N",1,IF($F31="Wavied","-",IF($D31=0,"",ROW($A31)-ROW($A$7)-COUNTIF($A$7:$A$8,"@")-COUNTIF($A$7:$A$8,"-"))))</f>
        <v>24</v>
      </c>
      <c r="B31" s="9" t="str">
        <f t="shared" si="0"/>
        <v>-</v>
      </c>
      <c r="C31" s="9" t="str">
        <f t="shared" si="1"/>
        <v/>
      </c>
      <c r="D31" s="27" t="s">
        <v>78</v>
      </c>
      <c r="E31" s="172" t="str">
        <f>IF($D31&gt;0,VLOOKUP($D31,Flight!$A$1:$E$91,2,FALSE),"")</f>
        <v>1755</v>
      </c>
      <c r="F31" s="45"/>
      <c r="G31" s="43" t="str">
        <f t="shared" si="4"/>
        <v/>
      </c>
      <c r="H31" s="44" t="str">
        <f>IF($D31&gt;0,VLOOKUP($D31,Flight!$A$1:$E$91,3,FALSE),"")</f>
        <v>KUL</v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ref="K31:K39" si="6">IF($D31=0,"",IF(OR(ISNUMBER(SEARCH("S",$B31)),_xlfn.IFNA(MATCH($D31,$D$103:$D$113,0)&lt;20,"")=TRUE),"&lt;   Hall Operation   &gt;",""))</f>
        <v/>
      </c>
      <c r="L31" s="166"/>
      <c r="M31" s="166"/>
    </row>
    <row r="32" spans="1:15">
      <c r="A32" s="9">
        <f>IF($A29="S/N",1,IF($F32="Wavied","-",IF($D32=0,"",ROW($A32)-ROW($A$7)-COUNTIF($A$7:$A$8,"@")-COUNTIF($A$7:$A$8,"-"))))</f>
        <v>25</v>
      </c>
      <c r="B32" s="9" t="str">
        <f t="shared" si="0"/>
        <v>-</v>
      </c>
      <c r="C32" s="9" t="str">
        <f t="shared" si="1"/>
        <v/>
      </c>
      <c r="D32" s="27" t="s">
        <v>68</v>
      </c>
      <c r="E32" s="172" t="str">
        <f>IF($D32&gt;0,VLOOKUP($D32,Flight!$A$1:$E$91,2,FALSE),"")</f>
        <v>1805</v>
      </c>
      <c r="F32" s="46"/>
      <c r="G32" s="43" t="str">
        <f t="shared" si="4"/>
        <v/>
      </c>
      <c r="H32" s="44" t="str">
        <f>IF($D32&gt;0,VLOOKUP($D32,Flight!$A$1:$E$91,3,FALSE),"")</f>
        <v>DXB</v>
      </c>
      <c r="I32" s="44" t="str">
        <f>IF($D32&gt;0,IF(VLOOKUP($D32,Flight!$A$1:$E$91,4,FALSE)&gt;1,VLOOKUP($D32,Flight!$A$1:$E115,4,FALSE),""),"")</f>
        <v>BKK</v>
      </c>
      <c r="J32" s="44" t="str">
        <f>IF($D32&gt;0,IF(VLOOKUP($D32,Flight!$A$1:$E$91,5,FALSE)&gt;1,VLOOKUP($D32,Flight!$A$1:$E$91,5,FALSE),""),"")</f>
        <v/>
      </c>
      <c r="K32" s="166" t="str">
        <f t="shared" si="6"/>
        <v/>
      </c>
      <c r="L32" s="166"/>
      <c r="M32" s="166"/>
    </row>
    <row r="33" spans="1:18">
      <c r="A33" s="9">
        <f t="shared" si="3"/>
        <v>26</v>
      </c>
      <c r="B33" s="9" t="str">
        <f t="shared" si="0"/>
        <v>-</v>
      </c>
      <c r="C33" s="9" t="str">
        <f t="shared" si="1"/>
        <v/>
      </c>
      <c r="D33" s="27" t="s">
        <v>385</v>
      </c>
      <c r="E33" s="172" t="str">
        <f>IF($D33&gt;0,VLOOKUP($D33,Flight!$A$1:$E$91,2,FALSE),"")</f>
        <v>1810</v>
      </c>
      <c r="F33" s="45"/>
      <c r="G33" s="43" t="str">
        <f t="shared" si="4"/>
        <v/>
      </c>
      <c r="H33" s="44" t="str">
        <f>IF($D33&gt;0,VLOOKUP($D33,Flight!$A$1:$E$91,3,FALSE),"")</f>
        <v>MNL</v>
      </c>
      <c r="I33" s="44" t="str">
        <f>IF($D33&gt;0,IF(VLOOKUP($D33,Flight!$A$1:$E$91,4,FALSE)&gt;1,VLOOKUP($D33,Flight!$A$1:$E116,4,FALSE),""),"")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6"/>
        <v/>
      </c>
      <c r="L33" s="166"/>
      <c r="M33" s="166"/>
    </row>
    <row r="34" spans="1:18">
      <c r="A34" s="9">
        <f t="shared" ref="A34" si="7">IF($A33="S/N",1,IF($F34="Wavied","-",IF($D34=0,"",ROW($A34)-ROW($A$7)-COUNTIF($A$7:$A$8,"@")-COUNTIF($A$7:$A$8,"-"))))</f>
        <v>27</v>
      </c>
      <c r="B34" s="9" t="str">
        <f t="shared" si="0"/>
        <v>-</v>
      </c>
      <c r="C34" s="9" t="str">
        <f t="shared" si="1"/>
        <v/>
      </c>
      <c r="D34" s="27" t="s">
        <v>71</v>
      </c>
      <c r="E34" s="172" t="str">
        <f>IF($D34&gt;0,VLOOKUP($D34,Flight!$A$1:$E$91,2,FALSE),"")</f>
        <v>1920</v>
      </c>
      <c r="F34" s="45"/>
      <c r="G34" s="43" t="str">
        <f t="shared" si="4"/>
        <v/>
      </c>
      <c r="H34" s="44" t="str">
        <f>IF($D34&gt;0,VLOOKUP($D34,Flight!$A$1:$E$91,3,FALSE),"")</f>
        <v>DMK</v>
      </c>
      <c r="I34" s="44" t="str">
        <f>IF($D34&gt;0,IF(VLOOKUP($D34,Flight!$A$1:$E$91,4,FALSE)&gt;1,VLOOKUP($D34,Flight!$A$1:$E118,4,FALSE),""),"")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6"/>
        <v/>
      </c>
      <c r="L34" s="166"/>
      <c r="M34" s="167"/>
      <c r="O34" s="115"/>
      <c r="P34" s="87"/>
    </row>
    <row r="35" spans="1:18" ht="16.5">
      <c r="A35" s="9">
        <f t="shared" si="3"/>
        <v>28</v>
      </c>
      <c r="B35" s="9" t="str">
        <f t="shared" si="0"/>
        <v>-</v>
      </c>
      <c r="C35" s="9" t="str">
        <f t="shared" si="1"/>
        <v/>
      </c>
      <c r="D35" s="27" t="s">
        <v>72</v>
      </c>
      <c r="E35" s="172" t="str">
        <f>IF($D35&gt;0,VLOOKUP($D35,Flight!$A$1:$E$91,2,FALSE),"")</f>
        <v>1950</v>
      </c>
      <c r="F35" s="45"/>
      <c r="G35" s="43" t="str">
        <f t="shared" si="4"/>
        <v/>
      </c>
      <c r="H35" s="44" t="str">
        <f>IF($D35&gt;0,VLOOKUP($D35,Flight!$A$1:$E$91,3,FALSE),"")</f>
        <v>BKK</v>
      </c>
      <c r="I35" s="44" t="str">
        <f>IF($D35&gt;0,IF(VLOOKUP($D35,Flight!$A$1:$E$91,4,FALSE)&gt;1,VLOOKUP($D35,Flight!$A$1:$E119,4,FALSE),""),"")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O35" s="4"/>
      <c r="P35" s="88"/>
      <c r="Q35" s="4"/>
      <c r="R35" s="4"/>
    </row>
    <row r="36" spans="1:18">
      <c r="A36" s="9">
        <f t="shared" si="3"/>
        <v>29</v>
      </c>
      <c r="B36" s="9" t="str">
        <f t="shared" si="0"/>
        <v>-</v>
      </c>
      <c r="C36" s="9" t="str">
        <f t="shared" si="1"/>
        <v/>
      </c>
      <c r="D36" s="27" t="s">
        <v>64</v>
      </c>
      <c r="E36" s="172" t="str">
        <f>IF($D36&gt;0,VLOOKUP($D36,Flight!$A$1:$E$91,2,FALSE),"")</f>
        <v>2030</v>
      </c>
      <c r="F36" s="45"/>
      <c r="G36" s="43" t="str">
        <f t="shared" si="4"/>
        <v/>
      </c>
      <c r="H36" s="44" t="str">
        <f>IF($D36&gt;0,VLOOKUP($D36,Flight!$A$1:$E$91,3,FALSE),"")</f>
        <v>CGK</v>
      </c>
      <c r="I36" s="44" t="str">
        <f>IF($D36&gt;0,IF(VLOOKUP($D36,Flight!$A$1:$E$91,4,FALSE)&gt;1,VLOOKUP($D36,Flight!$A$1:$E120,4,FALSE),""),"")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4"/>
      <c r="P36" s="4"/>
      <c r="Q36" s="4"/>
      <c r="R36" s="4"/>
    </row>
    <row r="37" spans="1:18" ht="16.5">
      <c r="A37" s="9">
        <f t="shared" si="3"/>
        <v>30</v>
      </c>
      <c r="B37" s="9" t="str">
        <f t="shared" si="0"/>
        <v>-</v>
      </c>
      <c r="C37" s="9" t="str">
        <f t="shared" si="1"/>
        <v>S8</v>
      </c>
      <c r="D37" s="27" t="s">
        <v>50</v>
      </c>
      <c r="E37" s="172" t="str">
        <f>IF($D37&gt;0,VLOOKUP($D37,Flight!$A$1:$E$91,2,FALSE),"")</f>
        <v>2155</v>
      </c>
      <c r="F37" s="45"/>
      <c r="G37" s="43" t="str">
        <f t="shared" si="4"/>
        <v/>
      </c>
      <c r="H37" s="44" t="str">
        <f>IF($D37&gt;0,VLOOKUP($D37,Flight!$A$1:$E$91,3,FALSE),"")</f>
        <v>DOH</v>
      </c>
      <c r="I37" s="44" t="str">
        <f>IF($D37&gt;0,IF(VLOOKUP($D37,Flight!$A$1:$E$91,4,FALSE)&gt;1,VLOOKUP($D37,Flight!$A$1:$E122,4,FALSE),""),"")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6"/>
      <c r="O37" s="4"/>
      <c r="P37" s="89"/>
      <c r="Q37" s="4"/>
      <c r="R37" s="4"/>
    </row>
    <row r="38" spans="1:18" ht="16.5">
      <c r="A38" s="9">
        <f t="shared" si="3"/>
        <v>31</v>
      </c>
      <c r="B38" s="9" t="str">
        <f t="shared" si="0"/>
        <v>-</v>
      </c>
      <c r="C38" s="9" t="str">
        <f t="shared" si="1"/>
        <v>S8</v>
      </c>
      <c r="D38" s="27" t="s">
        <v>77</v>
      </c>
      <c r="E38" s="172" t="str">
        <f>IF($D38&gt;0,VLOOKUP($D38,Flight!$A$1:$E$91,2,FALSE),"")</f>
        <v>2320</v>
      </c>
      <c r="F38" s="45"/>
      <c r="G38" s="43" t="str">
        <f t="shared" si="4"/>
        <v/>
      </c>
      <c r="H38" s="44" t="str">
        <f>IF($D38&gt;0,VLOOKUP($D38,Flight!$A$1:$E$91,3,FALSE),"")</f>
        <v>BKK</v>
      </c>
      <c r="I38" s="44" t="str">
        <f>IF($D38&gt;0,IF(VLOOKUP($D38,Flight!$A$1:$E$91,4,FALSE)&gt;1,VLOOKUP($D38,Flight!$A$1:$E123,4,FALSE),""),"")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6"/>
      <c r="O38" s="4"/>
      <c r="P38" s="89"/>
      <c r="Q38" s="4"/>
      <c r="R38" s="4"/>
    </row>
    <row r="39" spans="1:18" ht="16.5">
      <c r="A39" s="9" t="str">
        <f t="shared" si="3"/>
        <v/>
      </c>
      <c r="B39" s="9" t="str">
        <f t="shared" si="0"/>
        <v/>
      </c>
      <c r="C39" s="9" t="str">
        <f t="shared" si="1"/>
        <v/>
      </c>
      <c r="D39" s="27"/>
      <c r="E39" s="172" t="str">
        <f>IF($D39&gt;0,VLOOKUP($D39,Flight!$A$1:$E$91,2,FALSE),"")</f>
        <v/>
      </c>
      <c r="F39" s="45"/>
      <c r="G39" s="43" t="str">
        <f t="shared" si="4"/>
        <v/>
      </c>
      <c r="H39" s="44" t="str">
        <f>IF($D39&gt;0,VLOOKUP($D39,Flight!$A$1:$E$91,3,FALSE),"")</f>
        <v/>
      </c>
      <c r="I39" s="44" t="str">
        <f>IF($D39&gt;0,IF(VLOOKUP($D39,Flight!$A$1:$E$91,4,FALSE)&gt;1,VLOOKUP($D39,Flight!$A$1:$E124,4,FALSE),""),"")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>
      <c r="A40" s="376" t="s">
        <v>5</v>
      </c>
      <c r="B40" s="376"/>
      <c r="C40" s="376"/>
      <c r="D40" s="376"/>
      <c r="E40" s="376"/>
      <c r="F40" s="376"/>
      <c r="G40" s="50"/>
      <c r="H40" s="321" t="s">
        <v>40</v>
      </c>
      <c r="I40" s="377"/>
      <c r="J40" s="377"/>
      <c r="K40" s="377"/>
      <c r="L40" s="377"/>
      <c r="M40" s="377"/>
      <c r="N40" s="5"/>
    </row>
    <row r="41" spans="1:18">
      <c r="A41" s="379" t="s">
        <v>35</v>
      </c>
      <c r="B41" s="379"/>
      <c r="C41" s="379" t="s">
        <v>31</v>
      </c>
      <c r="D41" s="379"/>
      <c r="E41" s="379"/>
      <c r="F41" s="379"/>
      <c r="G41" s="379"/>
      <c r="H41" s="379"/>
      <c r="I41" s="378"/>
      <c r="J41" s="378"/>
      <c r="K41" s="378"/>
      <c r="L41" s="378"/>
      <c r="M41" s="378"/>
    </row>
    <row r="42" spans="1:18">
      <c r="A42" s="379"/>
      <c r="B42" s="379"/>
      <c r="C42" s="379"/>
      <c r="D42" s="379"/>
      <c r="E42" s="379"/>
      <c r="F42" s="379"/>
      <c r="G42" s="379"/>
      <c r="H42" s="379"/>
      <c r="I42" s="51"/>
      <c r="J42" s="51"/>
      <c r="K42" s="6"/>
      <c r="L42" s="6"/>
      <c r="M42" s="6"/>
    </row>
    <row r="43" spans="1:18">
      <c r="A43" s="389" t="s">
        <v>216</v>
      </c>
      <c r="B43" s="389"/>
      <c r="C43" s="323" t="str">
        <f>VLOOKUP($D$43,Staff!$B$2:$D$41,2,FALSE)</f>
        <v>CIA</v>
      </c>
      <c r="D43" s="375" t="str">
        <f>VLOOKUP(VLOOKUP($E$55,$E$59:$J$70,6,FALSE),Staff!$A$2:$D$13,2,FALSE)</f>
        <v>WO LO</v>
      </c>
      <c r="E43" s="375"/>
      <c r="F43" s="325" t="s">
        <v>215</v>
      </c>
      <c r="G43" s="390" t="str">
        <f>VLOOKUP($D$43,Staff!$B$2:$D$39,3,FALSE)</f>
        <v>9425 1098</v>
      </c>
      <c r="H43" s="390"/>
      <c r="I43" s="391" t="s">
        <v>223</v>
      </c>
      <c r="J43" s="391"/>
      <c r="K43" s="375" t="str">
        <f>IF(COUNTIF($E$59:$E$62,$E$55)&gt;0,Staff!$G$2,"")&amp;IF(COUNTIF($E$63:$E$66,$E$55)&gt;0,Staff!$G$3,"")&amp;IF(COUNTIF($E$67:$E$70,$E$55)&gt;0,Staff!$G$4,"")</f>
        <v>LIU, WAI FUN (F)</v>
      </c>
      <c r="L43" s="375"/>
      <c r="M43" s="375"/>
    </row>
    <row r="44" spans="1:18">
      <c r="A44" s="389" t="s">
        <v>217</v>
      </c>
      <c r="B44" s="389"/>
      <c r="C44" s="323" t="str">
        <f>VLOOKUP($D$44,Staff!$B$2:$D$41,2,FALSE)</f>
        <v>CIA</v>
      </c>
      <c r="D44" s="375" t="str">
        <f>VLOOKUP(VLOOKUP($E$56,$E$59:$J$70,6,FALSE),Staff!$A$2:$D$13,2,FALSE)</f>
        <v>WL TSE</v>
      </c>
      <c r="E44" s="375"/>
      <c r="F44" s="325" t="s">
        <v>215</v>
      </c>
      <c r="G44" s="390" t="str">
        <f>VLOOKUP($D$44,Staff!$B$2:$D$39,3,FALSE)</f>
        <v>9669 1314</v>
      </c>
      <c r="H44" s="390"/>
      <c r="I44" s="391" t="s">
        <v>224</v>
      </c>
      <c r="J44" s="391"/>
      <c r="K44" s="375" t="str">
        <f>IF(COUNTIF($E$59:$E$62,$E$56)&gt;0,Staff!$G$2,"")&amp;IF(COUNTIF($E$63:$E$66,$E$56)&gt;0,Staff!$G$3,"")&amp;IF(COUNTIF($E$67:$E$70,$E$56)&gt;0,Staff!$G$4,"")</f>
        <v>HO, KING KAI</v>
      </c>
      <c r="L44" s="375"/>
      <c r="M44" s="375"/>
    </row>
    <row r="45" spans="1:18">
      <c r="A45" s="329"/>
      <c r="B45" s="329"/>
      <c r="C45" s="327"/>
      <c r="D45" s="395"/>
      <c r="E45" s="395"/>
      <c r="F45" s="324"/>
      <c r="G45" s="396"/>
      <c r="H45" s="396"/>
      <c r="I45" s="390"/>
      <c r="J45" s="390"/>
      <c r="K45" s="143"/>
      <c r="L45" s="143"/>
      <c r="M45" s="143"/>
    </row>
    <row r="46" spans="1:18" s="112" customFormat="1">
      <c r="A46" s="397" t="s">
        <v>4</v>
      </c>
      <c r="B46" s="397"/>
      <c r="C46" s="396" t="s">
        <v>218</v>
      </c>
      <c r="D46" s="396"/>
      <c r="E46" s="396"/>
      <c r="F46" s="154" t="s">
        <v>213</v>
      </c>
      <c r="G46" s="398" t="str">
        <f>IF(COUNTIF($E$59:$E$62,$E$55)&gt;0,Staff!$G$14,"")&amp;IF(COUNTIF($E$63:$E$66,$E$55)&gt;0,Staff!$G$13,"")&amp;IF(COUNTIF($E$67:$E$70,$E$55)&gt;0,Staff!$G$12,"")</f>
        <v>HO, KWOK WUN D</v>
      </c>
      <c r="H46" s="398"/>
      <c r="I46" s="398"/>
      <c r="J46" s="333" t="s">
        <v>209</v>
      </c>
      <c r="K46" s="390" t="str">
        <f>VLOOKUP(VLOOKUP($B$3,$E$59:$J$70,6,FALSE),Staff!$F$22:$G$47,2,FALSE)</f>
        <v>KWOK, KA MAN (F)</v>
      </c>
      <c r="L46" s="390"/>
      <c r="M46" s="390"/>
      <c r="N46" s="12"/>
      <c r="P46" s="330"/>
      <c r="Q46" s="330"/>
      <c r="R46" s="330"/>
    </row>
    <row r="47" spans="1:18" s="112" customFormat="1">
      <c r="A47" s="155"/>
      <c r="B47" s="155"/>
      <c r="C47" s="396" t="s">
        <v>219</v>
      </c>
      <c r="D47" s="396"/>
      <c r="E47" s="396"/>
      <c r="F47" s="154" t="s">
        <v>214</v>
      </c>
      <c r="G47" s="375" t="str">
        <f>IF(COUNTIF($E$59:$E$62,$E$56)&gt;0,Staff!$G$14,"")&amp;IF(COUNTIF($E$63:$E$66,$E$56)&gt;0,Staff!$G$13,"")&amp;IF(COUNTIF($E$67:$E$70,$E$56)&gt;0,Staff!$G$12,"")</f>
        <v>CHIU, OI YU (F)</v>
      </c>
      <c r="H47" s="375"/>
      <c r="I47" s="375"/>
      <c r="J47" s="333" t="s">
        <v>208</v>
      </c>
      <c r="K47" s="390"/>
      <c r="L47" s="390"/>
      <c r="M47" s="390"/>
      <c r="N47" s="330"/>
      <c r="P47" s="330"/>
      <c r="Q47" s="330"/>
      <c r="R47" s="330"/>
    </row>
    <row r="48" spans="1:18" s="112" customFormat="1">
      <c r="A48" s="320"/>
      <c r="B48" s="320"/>
      <c r="C48" s="327"/>
      <c r="D48" s="401"/>
      <c r="E48" s="401"/>
      <c r="F48" s="401"/>
      <c r="G48" s="401"/>
      <c r="H48" s="401"/>
      <c r="I48" s="401"/>
      <c r="J48" s="333" t="s">
        <v>210</v>
      </c>
      <c r="K48" s="390"/>
      <c r="L48" s="390"/>
      <c r="M48" s="390"/>
      <c r="N48" s="330"/>
      <c r="P48" s="330"/>
      <c r="Q48" s="330"/>
      <c r="R48" s="330"/>
    </row>
    <row r="49" spans="1:18" s="112" customFormat="1">
      <c r="A49" s="392" t="s">
        <v>3</v>
      </c>
      <c r="B49" s="393"/>
      <c r="C49" s="394" t="s">
        <v>220</v>
      </c>
      <c r="D49" s="394"/>
      <c r="E49" s="394"/>
      <c r="F49" s="397" t="s">
        <v>408</v>
      </c>
      <c r="G49" s="397"/>
      <c r="H49" s="397"/>
      <c r="I49" s="397"/>
      <c r="J49" s="333" t="s">
        <v>211</v>
      </c>
      <c r="K49" s="390"/>
      <c r="L49" s="390"/>
      <c r="M49" s="390"/>
      <c r="N49" s="330"/>
      <c r="P49" s="330"/>
      <c r="Q49" s="330"/>
      <c r="R49" s="330"/>
    </row>
    <row r="50" spans="1:18" s="112" customFormat="1">
      <c r="A50" s="393" t="s">
        <v>2</v>
      </c>
      <c r="B50" s="393"/>
      <c r="C50" s="411" t="s">
        <v>221</v>
      </c>
      <c r="D50" s="411"/>
      <c r="E50" s="411"/>
      <c r="F50" s="412" t="s">
        <v>1</v>
      </c>
      <c r="G50" s="412"/>
      <c r="H50" s="400" t="s">
        <v>409</v>
      </c>
      <c r="I50" s="400"/>
      <c r="J50" s="333" t="s">
        <v>212</v>
      </c>
      <c r="K50" s="390"/>
      <c r="L50" s="390"/>
      <c r="M50" s="390"/>
      <c r="N50" s="330"/>
      <c r="P50" s="330"/>
      <c r="Q50" s="330"/>
      <c r="R50" s="330"/>
    </row>
    <row r="51" spans="1:18" s="112" customFormat="1">
      <c r="A51" s="155"/>
      <c r="B51" s="155"/>
      <c r="C51" s="320"/>
      <c r="D51" s="399"/>
      <c r="E51" s="399"/>
      <c r="F51" s="391"/>
      <c r="G51" s="391"/>
      <c r="H51" s="400" t="s">
        <v>410</v>
      </c>
      <c r="I51" s="400"/>
      <c r="J51" s="326"/>
      <c r="K51" s="329"/>
      <c r="L51" s="329"/>
      <c r="M51" s="47"/>
      <c r="N51" s="330"/>
      <c r="P51" s="330"/>
      <c r="Q51" s="330"/>
      <c r="R51" s="330"/>
    </row>
    <row r="52" spans="1:18" s="112" customFormat="1" ht="16.5" customHeight="1">
      <c r="A52" s="392" t="s">
        <v>0</v>
      </c>
      <c r="B52" s="392"/>
      <c r="C52" s="407" t="s">
        <v>222</v>
      </c>
      <c r="D52" s="407"/>
      <c r="E52" s="407"/>
      <c r="F52" s="326"/>
      <c r="G52" s="333"/>
      <c r="H52" s="394" t="s">
        <v>411</v>
      </c>
      <c r="I52" s="394"/>
      <c r="J52" s="332"/>
      <c r="K52" s="329"/>
      <c r="L52" s="329"/>
      <c r="M52" s="47"/>
      <c r="N52" s="330"/>
      <c r="P52" s="330"/>
      <c r="Q52" s="330"/>
      <c r="R52" s="330"/>
    </row>
    <row r="53" spans="1:18" s="112" customFormat="1">
      <c r="A53" s="330"/>
      <c r="B53" s="330"/>
      <c r="C53" s="408"/>
      <c r="D53" s="408"/>
      <c r="E53" s="408"/>
      <c r="F53" s="408"/>
      <c r="G53" s="408"/>
      <c r="H53" s="408"/>
      <c r="I53" s="54"/>
      <c r="J53" s="53"/>
      <c r="M53" s="330"/>
      <c r="N53" s="330"/>
      <c r="P53" s="330"/>
      <c r="Q53" s="330"/>
      <c r="R53" s="330"/>
    </row>
    <row r="54" spans="1:18" s="112" customFormat="1" ht="16.5" thickBot="1">
      <c r="A54" s="3"/>
      <c r="B54" s="3"/>
      <c r="C54" s="3"/>
      <c r="D54" s="2"/>
      <c r="E54" s="39"/>
      <c r="F54" s="331"/>
      <c r="G54" s="331"/>
      <c r="H54" s="331"/>
      <c r="I54" s="409"/>
      <c r="J54" s="409"/>
      <c r="M54" s="330"/>
      <c r="N54" s="330"/>
      <c r="P54" s="330"/>
      <c r="Q54" s="330"/>
      <c r="R54" s="330"/>
    </row>
    <row r="55" spans="1:18" s="112" customFormat="1">
      <c r="A55" s="330"/>
      <c r="B55" s="330"/>
      <c r="C55" s="330"/>
      <c r="D55" s="330"/>
      <c r="E55" s="90" t="s">
        <v>133</v>
      </c>
      <c r="F55" s="91" t="s">
        <v>135</v>
      </c>
      <c r="G55" s="91"/>
      <c r="H55" s="92"/>
      <c r="I55" s="330"/>
      <c r="J55" s="330"/>
      <c r="K55" s="330"/>
      <c r="L55" s="330"/>
      <c r="M55" s="330"/>
      <c r="N55" s="330"/>
      <c r="P55" s="330"/>
      <c r="Q55" s="330"/>
      <c r="R55" s="330"/>
    </row>
    <row r="56" spans="1:18" s="112" customFormat="1" ht="16.5" thickBot="1">
      <c r="A56" s="330"/>
      <c r="B56" s="330"/>
      <c r="C56" s="330"/>
      <c r="D56" s="330"/>
      <c r="E56" s="93" t="s">
        <v>134</v>
      </c>
      <c r="F56" s="94" t="s">
        <v>136</v>
      </c>
      <c r="G56" s="94"/>
      <c r="H56" s="95"/>
      <c r="I56" s="330"/>
      <c r="J56" s="330"/>
      <c r="K56" s="330"/>
      <c r="L56" s="330"/>
      <c r="M56" s="330"/>
      <c r="N56" s="330"/>
      <c r="P56" s="330"/>
      <c r="Q56" s="330"/>
      <c r="R56" s="330"/>
    </row>
    <row r="57" spans="1:18" s="112" customFormat="1">
      <c r="A57" s="330"/>
      <c r="B57" s="330"/>
      <c r="C57" s="330"/>
      <c r="D57" s="330"/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P57" s="330"/>
      <c r="Q57" s="330"/>
      <c r="R57" s="330"/>
    </row>
    <row r="58" spans="1:18" s="112" customFormat="1" ht="16.5" thickBot="1">
      <c r="A58" s="330"/>
      <c r="B58" s="330"/>
      <c r="C58" s="330"/>
      <c r="D58" s="85" t="s">
        <v>132</v>
      </c>
      <c r="E58" s="85" t="s">
        <v>19</v>
      </c>
      <c r="F58" s="85" t="s">
        <v>8</v>
      </c>
      <c r="G58" s="85" t="s">
        <v>7</v>
      </c>
      <c r="H58" s="85" t="s">
        <v>6</v>
      </c>
      <c r="I58" s="85" t="s">
        <v>98</v>
      </c>
      <c r="J58" s="330"/>
      <c r="K58" s="96" t="s">
        <v>302</v>
      </c>
      <c r="L58" s="96" t="s">
        <v>303</v>
      </c>
      <c r="M58" s="96"/>
      <c r="N58" s="330"/>
      <c r="P58" s="330"/>
      <c r="Q58" s="330"/>
      <c r="R58" s="330"/>
    </row>
    <row r="59" spans="1:18" s="112" customFormat="1">
      <c r="A59" s="330"/>
      <c r="B59" s="330"/>
      <c r="C59" s="330"/>
      <c r="D59" s="97" t="s">
        <v>86</v>
      </c>
      <c r="E59" s="98" t="str">
        <f>_xlfn.IFNA(VLOOKUP(MOD((($D$1-WEEKDAY($D$1,2)+1)-45523)/7+21,24),Shift!$A$2:$H$25,WEEKDAY($D$1,2)+1),VLOOKUP(24,Shift!$A$2:$H$25,WEEKDAY($D$1,2)+1))</f>
        <v>G1</v>
      </c>
      <c r="F59" s="98" t="str">
        <f>IF(OR($E59="L",$E59="L#"),0,"?")</f>
        <v>?</v>
      </c>
      <c r="G59" s="98" t="str">
        <f>IF(OR($E59="L",$E59="L#"),0,"?")</f>
        <v>?</v>
      </c>
      <c r="H59" s="98" t="str">
        <f>IF(OR($E59="L",$E59="L#"),0,"?")</f>
        <v>?</v>
      </c>
      <c r="I59" s="99">
        <f t="shared" ref="I59:I70" si="8">IF(OR($E59="L",$E59="L#"),0,SUM($F59:$H59))</f>
        <v>0</v>
      </c>
      <c r="J59" s="136" t="s">
        <v>86</v>
      </c>
      <c r="K59" s="112" t="str">
        <f>IF(AND($F59&gt;1,$F59&lt;&gt;"?"),$F59-1,"")</f>
        <v/>
      </c>
      <c r="L59" s="112" t="str">
        <f>IF(AND($G59&gt;1,$G59&lt;&gt;"?"),$G59-1,"")</f>
        <v/>
      </c>
      <c r="N59" s="330"/>
      <c r="P59" s="330"/>
      <c r="Q59" s="330"/>
      <c r="R59" s="330"/>
    </row>
    <row r="60" spans="1:18" s="112" customFormat="1">
      <c r="A60" s="330"/>
      <c r="B60" s="330"/>
      <c r="C60" s="330"/>
      <c r="D60" s="100" t="s">
        <v>85</v>
      </c>
      <c r="E60" s="101" t="str">
        <f>_xlfn.IFNA(VLOOKUP(MOD((($D$1-WEEKDAY($D$1,2)+1)-45523)/7+3,24),Shift!$A$2:$H$25,WEEKDAY($D$1,2)+1),VLOOKUP(24,Shift!$A$2:$H$25,WEEKDAY($D$1,2)+1))</f>
        <v>M1</v>
      </c>
      <c r="F60" s="101" t="str">
        <f t="shared" ref="F60:H70" si="9">IF(OR($E60="L",$E60="L#"),0,"?")</f>
        <v>?</v>
      </c>
      <c r="G60" s="101" t="str">
        <f t="shared" si="9"/>
        <v>?</v>
      </c>
      <c r="H60" s="101" t="str">
        <f t="shared" si="9"/>
        <v>?</v>
      </c>
      <c r="I60" s="102">
        <f t="shared" si="8"/>
        <v>0</v>
      </c>
      <c r="J60" s="137" t="s">
        <v>85</v>
      </c>
      <c r="K60" s="112" t="str">
        <f t="shared" ref="K60:K70" si="10">IF(AND($F60&gt;1,$F60&lt;&gt;"?"),$F60-1,"")</f>
        <v/>
      </c>
      <c r="L60" s="112" t="str">
        <f t="shared" ref="L60:L70" si="11">IF(AND($G60&gt;1,$G60&lt;&gt;"?"),$G60-1,"")</f>
        <v/>
      </c>
      <c r="N60" s="330"/>
      <c r="P60" s="330"/>
      <c r="Q60" s="330"/>
      <c r="R60" s="330"/>
    </row>
    <row r="61" spans="1:18" s="112" customFormat="1">
      <c r="A61" s="330"/>
      <c r="B61" s="330"/>
      <c r="C61" s="330"/>
      <c r="D61" s="100" t="s">
        <v>99</v>
      </c>
      <c r="E61" s="101" t="str">
        <f>_xlfn.IFNA(VLOOKUP(MOD((($D$1-WEEKDAY($D$1,2)+1)-45523)/7+9,24),Shift!$A$2:$H$25,WEEKDAY($D$1,2)+1),VLOOKUP(24,Shift!$A$2:$H$25,WEEKDAY($D$1,2)+1))</f>
        <v>M @</v>
      </c>
      <c r="F61" s="101" t="str">
        <f t="shared" si="9"/>
        <v>?</v>
      </c>
      <c r="G61" s="101" t="str">
        <f t="shared" si="9"/>
        <v>?</v>
      </c>
      <c r="H61" s="101" t="str">
        <f t="shared" si="9"/>
        <v>?</v>
      </c>
      <c r="I61" s="102">
        <f t="shared" si="8"/>
        <v>0</v>
      </c>
      <c r="J61" s="137" t="s">
        <v>99</v>
      </c>
      <c r="K61" s="112" t="str">
        <f t="shared" si="10"/>
        <v/>
      </c>
      <c r="L61" s="112" t="str">
        <f t="shared" si="11"/>
        <v/>
      </c>
      <c r="N61" s="330"/>
      <c r="P61" s="330"/>
      <c r="Q61" s="330"/>
      <c r="R61" s="330"/>
    </row>
    <row r="62" spans="1:18" ht="16.5" thickBot="1">
      <c r="D62" s="103" t="s">
        <v>100</v>
      </c>
      <c r="E62" s="104" t="str">
        <f>_xlfn.IFNA(VLOOKUP(MOD((($D$1-WEEKDAY($D$1,2)+1)-45523)/7+15,24),Shift!$A$2:$H$25,WEEKDAY($D$1,2)+1),VLOOKUP(24,Shift!$A$2:$H$25,WEEKDAY($D$1,2)+1))</f>
        <v>M</v>
      </c>
      <c r="F62" s="104" t="str">
        <f t="shared" si="9"/>
        <v>?</v>
      </c>
      <c r="G62" s="104" t="str">
        <f t="shared" si="9"/>
        <v>?</v>
      </c>
      <c r="H62" s="104" t="str">
        <f t="shared" si="9"/>
        <v>?</v>
      </c>
      <c r="I62" s="105">
        <f t="shared" si="8"/>
        <v>0</v>
      </c>
      <c r="J62" s="138" t="s">
        <v>100</v>
      </c>
      <c r="K62" s="112" t="str">
        <f t="shared" si="10"/>
        <v/>
      </c>
      <c r="L62" s="112" t="str">
        <f t="shared" si="11"/>
        <v/>
      </c>
      <c r="M62" s="112"/>
    </row>
    <row r="63" spans="1:18">
      <c r="D63" s="97" t="s">
        <v>101</v>
      </c>
      <c r="E63" s="98" t="str">
        <f>_xlfn.IFNA(VLOOKUP(MOD((($D$1-WEEKDAY($D$1,2)+1)-45523)/7+19,24),Shift!$A$2:$H$25,WEEKDAY($D$1,2)+1),VLOOKUP(24,Shift!$A$2:$H$25,WEEKDAY($D$1,2)+1))</f>
        <v>P1 @</v>
      </c>
      <c r="F63" s="98" t="str">
        <f t="shared" si="9"/>
        <v>?</v>
      </c>
      <c r="G63" s="98" t="str">
        <f t="shared" si="9"/>
        <v>?</v>
      </c>
      <c r="H63" s="98" t="str">
        <f t="shared" si="9"/>
        <v>?</v>
      </c>
      <c r="I63" s="99">
        <f t="shared" si="8"/>
        <v>0</v>
      </c>
      <c r="J63" s="136" t="s">
        <v>101</v>
      </c>
      <c r="K63" s="112" t="str">
        <f t="shared" si="10"/>
        <v/>
      </c>
      <c r="L63" s="112" t="str">
        <f t="shared" si="11"/>
        <v/>
      </c>
      <c r="M63" s="112"/>
    </row>
    <row r="64" spans="1:18">
      <c r="D64" s="100" t="s">
        <v>102</v>
      </c>
      <c r="E64" s="101" t="str">
        <f>_xlfn.IFNA(VLOOKUP(MOD((($D$1-WEEKDAY($D$1,2)+1)-45523)/7+1,24),Shift!$A$2:$H$25,WEEKDAY($D$1,2)+1),VLOOKUP(24,Shift!$A$2:$H$25,WEEKDAY($D$1,2)+1))</f>
        <v>P1</v>
      </c>
      <c r="F64" s="101" t="str">
        <f t="shared" si="9"/>
        <v>?</v>
      </c>
      <c r="G64" s="101" t="str">
        <f t="shared" si="9"/>
        <v>?</v>
      </c>
      <c r="H64" s="101" t="str">
        <f t="shared" si="9"/>
        <v>?</v>
      </c>
      <c r="I64" s="102">
        <f t="shared" si="8"/>
        <v>0</v>
      </c>
      <c r="J64" s="137" t="s">
        <v>102</v>
      </c>
      <c r="K64" s="112" t="str">
        <f t="shared" si="10"/>
        <v/>
      </c>
      <c r="L64" s="112" t="str">
        <f t="shared" si="11"/>
        <v/>
      </c>
      <c r="M64" s="112"/>
    </row>
    <row r="65" spans="4:13">
      <c r="D65" s="100" t="s">
        <v>103</v>
      </c>
      <c r="E65" s="101" t="str">
        <f>_xlfn.IFNA(VLOOKUP(MOD((($D$1-WEEKDAY($D$1,2)+1)-45523)/7+7,24),Shift!$A$2:$H$25,WEEKDAY($D$1,2)+1),VLOOKUP(24,Shift!$A$2:$H$25,WEEKDAY($D$1,2)+1))</f>
        <v>L</v>
      </c>
      <c r="F65" s="101">
        <f t="shared" si="9"/>
        <v>0</v>
      </c>
      <c r="G65" s="101">
        <f t="shared" si="9"/>
        <v>0</v>
      </c>
      <c r="H65" s="101">
        <f t="shared" si="9"/>
        <v>0</v>
      </c>
      <c r="I65" s="102">
        <f t="shared" si="8"/>
        <v>0</v>
      </c>
      <c r="J65" s="137" t="s">
        <v>103</v>
      </c>
      <c r="K65" s="112" t="str">
        <f t="shared" si="10"/>
        <v/>
      </c>
      <c r="L65" s="112" t="str">
        <f t="shared" si="11"/>
        <v/>
      </c>
      <c r="M65" s="112"/>
    </row>
    <row r="66" spans="4:13" ht="16.5" thickBot="1">
      <c r="D66" s="103" t="s">
        <v>104</v>
      </c>
      <c r="E66" s="104" t="str">
        <f>_xlfn.IFNA(VLOOKUP(MOD((($D$1-WEEKDAY($D$1,2)+1)-45523)/7+13,24),Shift!$A$2:$H$25,WEEKDAY($D$1,2)+1),VLOOKUP(24,Shift!$A$2:$H$25,WEEKDAY($D$1,2)+1))</f>
        <v>P4</v>
      </c>
      <c r="F66" s="104" t="str">
        <f t="shared" si="9"/>
        <v>?</v>
      </c>
      <c r="G66" s="104" t="str">
        <f t="shared" si="9"/>
        <v>?</v>
      </c>
      <c r="H66" s="104" t="str">
        <f t="shared" si="9"/>
        <v>?</v>
      </c>
      <c r="I66" s="105">
        <f t="shared" si="8"/>
        <v>0</v>
      </c>
      <c r="J66" s="138" t="s">
        <v>104</v>
      </c>
      <c r="K66" s="112" t="str">
        <f t="shared" si="10"/>
        <v/>
      </c>
      <c r="L66" s="112" t="str">
        <f t="shared" si="11"/>
        <v/>
      </c>
      <c r="M66" s="112"/>
    </row>
    <row r="67" spans="4:13">
      <c r="D67" s="97" t="s">
        <v>105</v>
      </c>
      <c r="E67" s="98" t="str">
        <f>_xlfn.IFNA(VLOOKUP(MOD((($D$1-WEEKDAY($D$1,2)+1)-45523)/7+17,24),Shift!$A$2:$H$25,WEEKDAY($D$1,2)+1),VLOOKUP(24,Shift!$A$2:$H$25,WEEKDAY($D$1,2)+1))</f>
        <v>L</v>
      </c>
      <c r="F67" s="98">
        <f t="shared" si="9"/>
        <v>0</v>
      </c>
      <c r="G67" s="98">
        <f t="shared" si="9"/>
        <v>0</v>
      </c>
      <c r="H67" s="98">
        <f t="shared" si="9"/>
        <v>0</v>
      </c>
      <c r="I67" s="99">
        <f t="shared" si="8"/>
        <v>0</v>
      </c>
      <c r="J67" s="136" t="s">
        <v>105</v>
      </c>
      <c r="K67" s="112" t="str">
        <f t="shared" si="10"/>
        <v/>
      </c>
      <c r="L67" s="112" t="str">
        <f t="shared" si="11"/>
        <v/>
      </c>
      <c r="M67" s="112"/>
    </row>
    <row r="68" spans="4:13">
      <c r="D68" s="100" t="s">
        <v>106</v>
      </c>
      <c r="E68" s="101" t="str">
        <f>_xlfn.IFNA(VLOOKUP(MOD((($D$1-WEEKDAY($D$1,2)+1)-45523)/7+23,24),Shift!$A$2:$H$25,WEEKDAY($D$1,2)+1),VLOOKUP(24,Shift!$A$2:$H$25,WEEKDAY($D$1,2)+1))</f>
        <v>A</v>
      </c>
      <c r="F68" s="101" t="str">
        <f t="shared" si="9"/>
        <v>?</v>
      </c>
      <c r="G68" s="101" t="str">
        <f t="shared" si="9"/>
        <v>?</v>
      </c>
      <c r="H68" s="101" t="str">
        <f t="shared" si="9"/>
        <v>?</v>
      </c>
      <c r="I68" s="102">
        <f t="shared" si="8"/>
        <v>0</v>
      </c>
      <c r="J68" s="137" t="s">
        <v>106</v>
      </c>
      <c r="K68" s="112" t="str">
        <f t="shared" si="10"/>
        <v/>
      </c>
      <c r="L68" s="112" t="str">
        <f t="shared" si="11"/>
        <v/>
      </c>
      <c r="M68" s="112"/>
    </row>
    <row r="69" spans="4:13">
      <c r="D69" s="100" t="s">
        <v>107</v>
      </c>
      <c r="E69" s="101" t="str">
        <f>_xlfn.IFNA(VLOOKUP(MOD((($D$1-WEEKDAY($D$1,2)+1)-45523)/7+5,24),Shift!$A$2:$H$25,WEEKDAY($D$1,2)+1),VLOOKUP(24,Shift!$A$2:$H$25,WEEKDAY($D$1,2)+1))</f>
        <v>L</v>
      </c>
      <c r="F69" s="101">
        <f t="shared" si="9"/>
        <v>0</v>
      </c>
      <c r="G69" s="101">
        <f t="shared" si="9"/>
        <v>0</v>
      </c>
      <c r="H69" s="101">
        <f t="shared" si="9"/>
        <v>0</v>
      </c>
      <c r="I69" s="102">
        <f t="shared" si="8"/>
        <v>0</v>
      </c>
      <c r="J69" s="137" t="s">
        <v>107</v>
      </c>
      <c r="K69" s="112" t="str">
        <f t="shared" si="10"/>
        <v/>
      </c>
      <c r="L69" s="112" t="str">
        <f t="shared" si="11"/>
        <v/>
      </c>
      <c r="M69" s="112"/>
    </row>
    <row r="70" spans="4:13" ht="16.5" thickBot="1">
      <c r="D70" s="103" t="s">
        <v>108</v>
      </c>
      <c r="E70" s="104" t="str">
        <f>_xlfn.IFNA(VLOOKUP(MOD((($D$1-WEEKDAY($D$1,2)+1)-45523)/7+11,24),Shift!$A$2:$H$25,WEEKDAY($D$1,2)+1),VLOOKUP(24,Shift!$A$2:$H$25,WEEKDAY($D$1,2)+1))</f>
        <v>L</v>
      </c>
      <c r="F70" s="104">
        <f t="shared" si="9"/>
        <v>0</v>
      </c>
      <c r="G70" s="104">
        <f t="shared" si="9"/>
        <v>0</v>
      </c>
      <c r="H70" s="104">
        <f t="shared" si="9"/>
        <v>0</v>
      </c>
      <c r="I70" s="105">
        <f t="shared" si="8"/>
        <v>0</v>
      </c>
      <c r="J70" s="138" t="s">
        <v>108</v>
      </c>
      <c r="K70" s="112" t="str">
        <f t="shared" si="10"/>
        <v/>
      </c>
      <c r="L70" s="112" t="str">
        <f t="shared" si="11"/>
        <v/>
      </c>
      <c r="M70" s="112"/>
    </row>
    <row r="71" spans="4:13">
      <c r="D71" s="144" t="s">
        <v>86</v>
      </c>
      <c r="E71" s="98" t="s">
        <v>127</v>
      </c>
      <c r="F71" s="98"/>
      <c r="G71" s="98"/>
      <c r="H71" s="98"/>
      <c r="I71" s="99">
        <f>IF(OR($E71="L",$E71="L#",$E71="?"),0,SUM($F71:$H71))</f>
        <v>0</v>
      </c>
      <c r="J71" s="330"/>
    </row>
    <row r="72" spans="4:13">
      <c r="D72" s="145" t="s">
        <v>137</v>
      </c>
      <c r="E72" s="101" t="s">
        <v>127</v>
      </c>
      <c r="F72" s="101"/>
      <c r="G72" s="101"/>
      <c r="H72" s="101"/>
      <c r="I72" s="102">
        <f>IF(OR($E72="L",$E72="L#",$E72="?"),0,SUM($F72:$H72))</f>
        <v>0</v>
      </c>
      <c r="J72" s="330"/>
    </row>
    <row r="73" spans="4:13">
      <c r="D73" s="145" t="s">
        <v>137</v>
      </c>
      <c r="E73" s="101" t="s">
        <v>127</v>
      </c>
      <c r="F73" s="101"/>
      <c r="G73" s="101"/>
      <c r="H73" s="101"/>
      <c r="I73" s="102">
        <f>IF(OR($E73="L",$E73="L#",$E73="?"),0,SUM($F73:$H73))</f>
        <v>0</v>
      </c>
      <c r="J73" s="330"/>
    </row>
    <row r="74" spans="4:13" ht="16.5" thickBot="1">
      <c r="D74" s="146" t="s">
        <v>137</v>
      </c>
      <c r="E74" s="104" t="s">
        <v>127</v>
      </c>
      <c r="F74" s="106"/>
      <c r="G74" s="106"/>
      <c r="H74" s="106"/>
      <c r="I74" s="105">
        <f>IF(OR($E74="L",$E74="L#",$E74="?"),0,SUM($F74:$H74))</f>
        <v>0</v>
      </c>
      <c r="J74" s="330"/>
    </row>
    <row r="75" spans="4:13">
      <c r="D75" s="330"/>
      <c r="E75" s="96" t="s">
        <v>98</v>
      </c>
      <c r="F75" s="96" t="str">
        <f>SUM($F$59:$F$74)&amp;IF(SUM($F$59:$H$74)&gt;$I$75,"?","")</f>
        <v>0</v>
      </c>
      <c r="G75" s="96" t="str">
        <f>SUM($G$59:$G$74)&amp;IF(SUM($F$59:$H$74)&gt;$I$75,"?","")</f>
        <v>0</v>
      </c>
      <c r="H75" s="96" t="str">
        <f>SUM($H$59:$H$74)&amp;IF(SUM($F$59:$H$74)&gt;$I$75,"?","")</f>
        <v>0</v>
      </c>
      <c r="I75" s="96">
        <f>SUM(I59:I74)</f>
        <v>0</v>
      </c>
      <c r="J75" s="330"/>
    </row>
    <row r="76" spans="4:13">
      <c r="D76" s="330"/>
      <c r="E76" s="330"/>
      <c r="F76" s="112" t="str">
        <f>IF(SUM($F$59:$F$74)&gt;0,IF(SUM($K$59:$K$70)&gt;0,SUM($F$59:$F$74)-SUM($K$59:$K$70)&amp;"+"&amp;SUM(K59:K70)&amp;"(Fam)",""),"")</f>
        <v/>
      </c>
      <c r="G76" s="112" t="str">
        <f>IF(SUM($G$59:$G$74)&gt;0,IF(SUM($L$59:$L$70)&gt;0,SUM($G$59:$G$74)-SUM($L$59:$L$70)&amp;"+"&amp;SUM(L59:L70)&amp;"(Fam)",""),"")</f>
        <v/>
      </c>
      <c r="H76" s="112"/>
      <c r="I76" s="330"/>
      <c r="J76" s="330"/>
    </row>
    <row r="78" spans="4:13">
      <c r="D78" s="410" t="s">
        <v>281</v>
      </c>
      <c r="E78" s="410"/>
      <c r="F78" s="410"/>
    </row>
    <row r="79" spans="4:13">
      <c r="D79" s="49" t="str">
        <f>IF(Flight!$A$68=0,"",Flight!$A$68)</f>
        <v/>
      </c>
      <c r="E79" s="163"/>
      <c r="F79" s="164" t="str">
        <f>IF(D79="","",VLOOKUP(D79,Flight!$A$68:$C$91,3,FALSE))</f>
        <v/>
      </c>
    </row>
    <row r="80" spans="4:13">
      <c r="D80" s="49" t="str">
        <f>IF(Flight!$A69=0,"",Flight!$A69)</f>
        <v/>
      </c>
      <c r="F80" s="164" t="str">
        <f>IF(D80="","",VLOOKUP(D80,Flight!$A$68:$C$91,3,FALSE))</f>
        <v/>
      </c>
    </row>
    <row r="81" spans="4:6">
      <c r="D81" s="49" t="str">
        <f>IF(Flight!$A71=0,"",Flight!$A71)</f>
        <v>3A031</v>
      </c>
      <c r="F81" s="164" t="str">
        <f>IF(D81="","",VLOOKUP(D81,Flight!$A$68:$C$91,3,FALSE))</f>
        <v>ZTI</v>
      </c>
    </row>
    <row r="82" spans="4:6">
      <c r="D82" s="49" t="str">
        <f>IF(Flight!$A72=0,"",Flight!$A72)</f>
        <v>3A003</v>
      </c>
      <c r="F82" s="164" t="str">
        <f>IF(D82="","",VLOOKUP(D82,Flight!$A$68:$C$91,3,FALSE))</f>
        <v>ZYK</v>
      </c>
    </row>
    <row r="83" spans="4:6">
      <c r="D83" s="49" t="str">
        <f>IF(Flight!$A73=0,"",Flight!$A73)</f>
        <v>3A005</v>
      </c>
      <c r="F83" s="164" t="str">
        <f>IF(D83="","",VLOOKUP(D83,Flight!$A$68:$C$91,3,FALSE))</f>
        <v>HKM</v>
      </c>
    </row>
    <row r="84" spans="4:6">
      <c r="D84" s="49" t="str">
        <f>IF(Flight!$A74=0,"",Flight!$A74)</f>
        <v>3A007</v>
      </c>
      <c r="F84" s="164" t="str">
        <f>IF(D84="","",VLOOKUP(D84,Flight!$A$68:$C$91,3,FALSE))</f>
        <v>ZYK</v>
      </c>
    </row>
    <row r="85" spans="4:6">
      <c r="D85" s="49" t="str">
        <f>IF(Flight!$A75=0,"",Flight!$A75)</f>
        <v>3A008</v>
      </c>
      <c r="F85" s="164" t="str">
        <f>IF(D85="","",VLOOKUP(D85,Flight!$A$68:$C$91,3,FALSE))</f>
        <v>ZYK</v>
      </c>
    </row>
    <row r="86" spans="4:6">
      <c r="D86" s="49" t="str">
        <f>IF(Flight!$A76=0,"",Flight!$A76)</f>
        <v>3A009</v>
      </c>
      <c r="F86" s="164" t="str">
        <f>IF(D86="","",VLOOKUP(D86,Flight!$A$68:$C$91,3,FALSE))</f>
        <v>ZYK</v>
      </c>
    </row>
    <row r="87" spans="4:6">
      <c r="D87" s="49" t="str">
        <f>IF(Flight!$A77=0,"",Flight!$A77)</f>
        <v>3A010</v>
      </c>
      <c r="F87" s="164" t="str">
        <f>IF(D87="","",VLOOKUP(D87,Flight!$A$68:$C$91,3,FALSE))</f>
        <v>ZYK</v>
      </c>
    </row>
    <row r="88" spans="4:6">
      <c r="D88" s="49" t="str">
        <f>IF(Flight!$A78=0,"",Flight!$A78)</f>
        <v/>
      </c>
      <c r="F88" s="164" t="str">
        <f>IF(D88="","",VLOOKUP(D88,Flight!$A$68:$C$91,3,FALSE))</f>
        <v/>
      </c>
    </row>
    <row r="89" spans="4:6">
      <c r="D89" s="49" t="str">
        <f>IF(Flight!$A80=0,"",Flight!$A80)</f>
        <v>8S7121</v>
      </c>
      <c r="F89" s="164" t="str">
        <f>IF(D89="","",VLOOKUP(D89,Flight!$A$68:$C$91,3,FALSE))</f>
        <v>HKM</v>
      </c>
    </row>
    <row r="90" spans="4:6">
      <c r="D90" s="49" t="str">
        <f>IF(Flight!$A81=0,"",Flight!$A81)</f>
        <v>8S7108</v>
      </c>
      <c r="F90" s="164" t="str">
        <f>IF(D90="","",VLOOKUP(D90,Flight!$A$68:$C$91,3,FALSE))</f>
        <v>ZYK</v>
      </c>
    </row>
    <row r="91" spans="4:6">
      <c r="D91" s="49" t="str">
        <f>IF(Flight!$A82=0,"",Flight!$A82)</f>
        <v>8S7111</v>
      </c>
      <c r="F91" s="164" t="str">
        <f>IF(D91="","",VLOOKUP(D91,Flight!$A$68:$C$91,3,FALSE))</f>
        <v>ZYK</v>
      </c>
    </row>
    <row r="92" spans="4:6">
      <c r="D92" s="49" t="str">
        <f>IF(Flight!$A83=0,"",Flight!$A83)</f>
        <v>8S7131</v>
      </c>
      <c r="F92" s="164" t="str">
        <f>IF(D92="","",VLOOKUP(D92,Flight!$A$68:$C$91,3,FALSE))</f>
        <v>?</v>
      </c>
    </row>
    <row r="93" spans="4:6">
      <c r="D93" s="49" t="str">
        <f>IF(Flight!$A84=0,"",Flight!$A84)</f>
        <v>8S7119</v>
      </c>
      <c r="F93" s="164" t="str">
        <f>IF(D93="","",VLOOKUP(D93,Flight!$A$68:$C$91,3,FALSE))</f>
        <v>HKM</v>
      </c>
    </row>
    <row r="94" spans="4:6">
      <c r="D94" s="49" t="str">
        <f>IF(Flight!$A85=0,"",Flight!$A85)</f>
        <v>8S7126</v>
      </c>
      <c r="F94" s="164" t="str">
        <f>IF(D94="","",VLOOKUP(D94,Flight!$A$68:$C$91,3,FALSE))</f>
        <v>HKM</v>
      </c>
    </row>
    <row r="95" spans="4:6">
      <c r="D95" s="49" t="str">
        <f>IF(Flight!$A86=0,"",Flight!$A86)</f>
        <v>8S7128</v>
      </c>
      <c r="F95" s="164" t="str">
        <f>IF(D95="","",VLOOKUP(D95,Flight!$A$68:$C$91,3,FALSE))</f>
        <v>HKM</v>
      </c>
    </row>
    <row r="96" spans="4:6">
      <c r="D96" s="49" t="str">
        <f>IF(Flight!$A87=0,"",Flight!$A87)</f>
        <v>3A8010</v>
      </c>
      <c r="F96" s="164" t="str">
        <f>IF(D96="","",VLOOKUP(D96,Flight!$A$68:$C$91,3,FALSE))</f>
        <v>HZI</v>
      </c>
    </row>
    <row r="97" spans="4:6">
      <c r="D97" s="49" t="str">
        <f>IF(Flight!$A88=0,"",Flight!$A88)</f>
        <v>3A8015</v>
      </c>
      <c r="F97" s="164" t="str">
        <f>IF(D97="","",VLOOKUP(D97,Flight!$A$68:$C$91,3,FALSE))</f>
        <v>?</v>
      </c>
    </row>
    <row r="98" spans="4:6">
      <c r="D98" s="49" t="str">
        <f>IF(Flight!$A89=0,"",Flight!$A89)</f>
        <v>3A8016</v>
      </c>
      <c r="F98" s="164" t="str">
        <f>IF(D98="","",VLOOKUP(D98,Flight!$A$68:$C$91,3,FALSE))</f>
        <v>HZI</v>
      </c>
    </row>
    <row r="99" spans="4:6">
      <c r="D99" s="49" t="str">
        <f>IF(Flight!$A91=0,"",Flight!$A91)</f>
        <v xml:space="preserve">Last </v>
      </c>
      <c r="F99" s="164" t="str">
        <f>IF(D99="","",VLOOKUP(D99,Flight!$A$68:$C$91,3,FALSE))</f>
        <v>↑</v>
      </c>
    </row>
    <row r="100" spans="4:6">
      <c r="D100" s="49" t="str">
        <f>IF(Flight!$A92=0,"",Flight!$A92)</f>
        <v/>
      </c>
      <c r="F100" s="164" t="str">
        <f>IF(D100="","",VLOOKUP(D100,Flight!$A$68:$C$91,3,FALSE))</f>
        <v/>
      </c>
    </row>
    <row r="101" spans="4:6">
      <c r="D101" s="186"/>
      <c r="F101" s="187"/>
    </row>
    <row r="102" spans="4:6">
      <c r="D102" s="406" t="str">
        <f>IF(Flight!$A$93=0,"",Flight!$A$93)</f>
        <v>Target Flight</v>
      </c>
      <c r="E102" s="406"/>
      <c r="F102" s="406"/>
    </row>
    <row r="103" spans="4:6">
      <c r="D103" s="27" t="s">
        <v>59</v>
      </c>
      <c r="E103" s="158"/>
      <c r="F103" s="10" t="s">
        <v>38</v>
      </c>
    </row>
    <row r="104" spans="4:6">
      <c r="D104" s="27" t="s">
        <v>89</v>
      </c>
      <c r="E104" s="158"/>
      <c r="F104" s="10" t="s">
        <v>38</v>
      </c>
    </row>
    <row r="105" spans="4:6">
      <c r="D105" s="27" t="s">
        <v>254</v>
      </c>
      <c r="E105" s="158"/>
      <c r="F105" s="10" t="s">
        <v>38</v>
      </c>
    </row>
    <row r="106" spans="4:6">
      <c r="D106" s="27" t="s">
        <v>57</v>
      </c>
      <c r="E106" s="158"/>
      <c r="F106" s="10" t="s">
        <v>58</v>
      </c>
    </row>
    <row r="107" spans="4:6">
      <c r="D107" s="27" t="s">
        <v>198</v>
      </c>
      <c r="E107" s="158"/>
      <c r="F107" s="10" t="s">
        <v>199</v>
      </c>
    </row>
    <row r="108" spans="4:6">
      <c r="D108" s="27" t="s">
        <v>55</v>
      </c>
      <c r="E108" s="158"/>
      <c r="F108" s="10" t="s">
        <v>54</v>
      </c>
    </row>
    <row r="109" spans="4:6">
      <c r="D109" s="27" t="s">
        <v>39</v>
      </c>
      <c r="E109" s="158"/>
      <c r="F109" s="10" t="s">
        <v>38</v>
      </c>
    </row>
    <row r="110" spans="4:6">
      <c r="D110" s="27" t="s">
        <v>200</v>
      </c>
      <c r="E110" s="158"/>
      <c r="F110" s="10" t="s">
        <v>54</v>
      </c>
    </row>
    <row r="111" spans="4:6">
      <c r="D111" s="27" t="s">
        <v>201</v>
      </c>
      <c r="E111" s="158"/>
      <c r="F111" s="10" t="s">
        <v>38</v>
      </c>
    </row>
    <row r="112" spans="4:6">
      <c r="D112" s="161"/>
      <c r="E112" s="158"/>
      <c r="F112" s="159"/>
    </row>
    <row r="113" spans="4:6">
      <c r="D113" s="161"/>
      <c r="E113" s="158"/>
      <c r="F113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4:E44"/>
    <mergeCell ref="G44:H44"/>
    <mergeCell ref="I44:J44"/>
    <mergeCell ref="K43:M43"/>
    <mergeCell ref="H6:H7"/>
    <mergeCell ref="I6:I7"/>
    <mergeCell ref="J6:J7"/>
    <mergeCell ref="K6:M6"/>
    <mergeCell ref="A40:F40"/>
    <mergeCell ref="I40:M41"/>
    <mergeCell ref="A41:H41"/>
    <mergeCell ref="A6:A7"/>
    <mergeCell ref="B6:C6"/>
    <mergeCell ref="D6:D7"/>
    <mergeCell ref="E6:E7"/>
    <mergeCell ref="F6:F7"/>
    <mergeCell ref="A42:H42"/>
    <mergeCell ref="A43:B43"/>
    <mergeCell ref="D43:E43"/>
    <mergeCell ref="G43:H43"/>
    <mergeCell ref="I43:J43"/>
    <mergeCell ref="K44:M44"/>
    <mergeCell ref="A49:B49"/>
    <mergeCell ref="C49:E49"/>
    <mergeCell ref="F49:I49"/>
    <mergeCell ref="K49:M49"/>
    <mergeCell ref="A46:B46"/>
    <mergeCell ref="C46:E46"/>
    <mergeCell ref="G46:I46"/>
    <mergeCell ref="K46:M46"/>
    <mergeCell ref="C47:E47"/>
    <mergeCell ref="G47:I47"/>
    <mergeCell ref="K47:M47"/>
    <mergeCell ref="D45:E45"/>
    <mergeCell ref="G45:H45"/>
    <mergeCell ref="I45:J45"/>
    <mergeCell ref="A44:B44"/>
    <mergeCell ref="D51:E51"/>
    <mergeCell ref="F51:G51"/>
    <mergeCell ref="H51:I51"/>
    <mergeCell ref="D48:I48"/>
    <mergeCell ref="K48:M48"/>
    <mergeCell ref="A50:B50"/>
    <mergeCell ref="C50:E50"/>
    <mergeCell ref="F50:G50"/>
    <mergeCell ref="H50:I50"/>
    <mergeCell ref="K50:M50"/>
    <mergeCell ref="D102:F102"/>
    <mergeCell ref="A52:B52"/>
    <mergeCell ref="C52:E52"/>
    <mergeCell ref="H52:I52"/>
    <mergeCell ref="C53:H53"/>
    <mergeCell ref="I54:J54"/>
    <mergeCell ref="D78:F78"/>
  </mergeCells>
  <phoneticPr fontId="2" type="noConversion"/>
  <conditionalFormatting sqref="H8:H39 E8:E39">
    <cfRule type="cellIs" dxfId="26" priority="3" operator="equal">
      <formula>""</formula>
    </cfRule>
  </conditionalFormatting>
  <conditionalFormatting sqref="F59:H76">
    <cfRule type="cellIs" dxfId="25" priority="2" operator="equal">
      <formula>"?"</formula>
    </cfRule>
  </conditionalFormatting>
  <conditionalFormatting sqref="D39:D996">
    <cfRule type="duplicateValues" dxfId="24" priority="4"/>
  </conditionalFormatting>
  <conditionalFormatting sqref="D8:D38">
    <cfRule type="duplicateValues" dxfId="23" priority="270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D44:E44</xm:sqref>
        </x14:dataValidation>
        <x14:dataValidation type="list" allowBlank="1" showInputMessage="1">
          <x14:formula1>
            <xm:f>Staff!$B$15:$B$39</xm:f>
          </x14:formula1>
          <xm:sqref>D43:E43</xm:sqref>
        </x14:dataValidation>
        <x14:dataValidation type="list" allowBlank="1" showInputMessage="1">
          <x14:formula1>
            <xm:f>Staff!$G$23:$G$52</xm:f>
          </x14:formula1>
          <xm:sqref>K46:M50</xm:sqref>
        </x14:dataValidation>
        <x14:dataValidation type="list" allowBlank="1" showInputMessage="1">
          <x14:formula1>
            <xm:f>Staff!$G$12:$G$52</xm:f>
          </x14:formula1>
          <xm:sqref>G46:I47</xm:sqref>
        </x14:dataValidation>
        <x14:dataValidation type="list" allowBlank="1" showInputMessage="1">
          <x14:formula1>
            <xm:f>Staff!$G$2:$G$9</xm:f>
          </x14:formula1>
          <xm:sqref>K43:M44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5"/>
  <sheetViews>
    <sheetView view="pageBreakPreview" topLeftCell="A3" zoomScale="90" zoomScaleNormal="100" zoomScaleSheetLayoutView="90" workbookViewId="0">
      <selection activeCell="D39" sqref="D39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45773</v>
      </c>
      <c r="E1" s="355"/>
      <c r="F1" s="333" t="s">
        <v>23</v>
      </c>
      <c r="G1" s="110">
        <f>D1</f>
        <v>45773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S8(0) </v>
      </c>
      <c r="C4" s="367"/>
      <c r="D4" s="366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S11(0)  &lt;S12(0)&gt;  </v>
      </c>
      <c r="E4" s="367"/>
      <c r="F4" s="366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>-</v>
      </c>
      <c r="G4" s="367"/>
      <c r="H4" s="366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S9(0) </v>
      </c>
      <c r="I4" s="367"/>
      <c r="J4" s="366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S6(0)  &lt;S7(0)&gt;  </v>
      </c>
      <c r="K4" s="367"/>
      <c r="L4" s="366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S5(0)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1" si="0">IF($E8&lt;&gt;"",IF($E8-715&lt;0,VLOOKUP($B$3,$E$61:$J$72,6,FALSE),IF(AND($E8-2130&gt;0,_xlfn.IFNA(MATCH($D8,$D$105:$D$115,0)&lt;20,"")=TRUE),VLOOKUP($L$3,$E$61:$J$72,6,FALSE),"-")),"")</f>
        <v>S8</v>
      </c>
      <c r="C8" s="9" t="str">
        <f t="shared" ref="C8:C41" si="1">IF($E8&lt;&gt;"",IF(ISNUMBER(SEARCH("Hall Operation",$K8)),"-",IF($E8-715&lt;0,VLOOKUP($B$3,$E$61:$J$72,6,FALSE),IF($E8-2129&gt;0,VLOOKUP($L$3,$E$61:$J$72,6,FALSE),""))),"")</f>
        <v>-</v>
      </c>
      <c r="D8" s="27" t="s">
        <v>66</v>
      </c>
      <c r="E8" s="172" t="str">
        <f>IF($D8&gt;0,VLOOKUP($D8,Flight!$A$1:$E$91,2,FALSE),"")</f>
        <v>0130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0" si="2">IF($D8=0,"",IF(OR(ISNUMBER(SEARCH("S",$B8)),_xlfn.IFNA(MATCH($D8,$D$105:$D$115,0)&lt;20,"")=TRUE),"&lt;   Hall Operation   &gt;",""))</f>
        <v>&lt;   Hall Operation   &gt;</v>
      </c>
      <c r="L8" s="166"/>
      <c r="M8" s="166"/>
      <c r="N8" s="173"/>
    </row>
    <row r="9" spans="1:16" ht="16.5" customHeight="1">
      <c r="A9" s="9">
        <f t="shared" ref="A9:A41" si="3">IF($A7="S/N",1,IF($F9="Wavied","-",IF($D9=0,"",ROW($A9)-ROW($A$7)-COUNTIF($A$7:$A$8,"@")-COUNTIF($A$7:$A$8,"-"))))</f>
        <v>2</v>
      </c>
      <c r="B9" s="9" t="str">
        <f t="shared" si="0"/>
        <v>S8</v>
      </c>
      <c r="C9" s="9" t="str">
        <f t="shared" si="1"/>
        <v>-</v>
      </c>
      <c r="D9" s="27" t="s">
        <v>367</v>
      </c>
      <c r="E9" s="172" t="str">
        <f>IF($D9&gt;0,VLOOKUP($D9,Flight!$A$1:$E$91,2,FALSE),"")</f>
        <v>0545</v>
      </c>
      <c r="F9" s="45"/>
      <c r="G9" s="43" t="str">
        <f t="shared" ref="G9:G41" si="4">IF(A9="@",IF(H9="ZYK","Berth 3",IF(H9="HKM","Bay 7","")),"")</f>
        <v/>
      </c>
      <c r="H9" s="44" t="str">
        <f>IF($D9&gt;0,VLOOKUP($D9,Flight!$A$1:$E$91,3,FALSE),"")</f>
        <v>CGK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</row>
    <row r="10" spans="1:16">
      <c r="A10" s="9">
        <f t="shared" si="3"/>
        <v>3</v>
      </c>
      <c r="B10" s="9" t="str">
        <f t="shared" si="0"/>
        <v>S8</v>
      </c>
      <c r="C10" s="9" t="str">
        <f t="shared" si="1"/>
        <v>-</v>
      </c>
      <c r="D10" s="27" t="s">
        <v>368</v>
      </c>
      <c r="E10" s="172" t="str">
        <f>IF($D10&gt;0,VLOOKUP($D10,Flight!$A$1:$E$91,2,FALSE),"")</f>
        <v>0555</v>
      </c>
      <c r="F10" s="45"/>
      <c r="G10" s="43" t="str">
        <f t="shared" si="4"/>
        <v/>
      </c>
      <c r="H10" s="44" t="str">
        <f>IF($D10&gt;0,VLOOKUP($D10,Flight!$A$1:$E$91,3,FALSE),"")</f>
        <v>BKK</v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 t="shared" si="3"/>
        <v>4</v>
      </c>
      <c r="B11" s="9" t="str">
        <f t="shared" si="0"/>
        <v>S8</v>
      </c>
      <c r="C11" s="9" t="str">
        <f t="shared" si="1"/>
        <v>-</v>
      </c>
      <c r="D11" s="213" t="s">
        <v>89</v>
      </c>
      <c r="E11" s="172" t="str">
        <f>IF($D11&gt;0,VLOOKUP($D11,Flight!$A$1:$E$91,2,FALSE),"")</f>
        <v>0615</v>
      </c>
      <c r="F11" s="43"/>
      <c r="G11" s="43" t="str">
        <f t="shared" si="4"/>
        <v/>
      </c>
      <c r="H11" s="44" t="str">
        <f>IF($D11&gt;0,VLOOKUP($D11,Flight!$A$1:$E$91,3,FALSE),"")</f>
        <v>DEL</v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si="3"/>
        <v>5</v>
      </c>
      <c r="B12" s="9" t="str">
        <f t="shared" si="0"/>
        <v>S8</v>
      </c>
      <c r="C12" s="9" t="str">
        <f t="shared" si="1"/>
        <v>-</v>
      </c>
      <c r="D12" s="213" t="s">
        <v>365</v>
      </c>
      <c r="E12" s="172" t="str">
        <f>IF($D12&gt;0,VLOOKUP($D12,Flight!$A$1:$E$91,2,FALSE),"")</f>
        <v>0640</v>
      </c>
      <c r="F12" s="45"/>
      <c r="G12" s="43" t="str">
        <f t="shared" si="4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si="3"/>
        <v>6</v>
      </c>
      <c r="B13" s="9" t="str">
        <f t="shared" si="0"/>
        <v>S8</v>
      </c>
      <c r="C13" s="9" t="str">
        <f t="shared" si="1"/>
        <v>-</v>
      </c>
      <c r="D13" s="213" t="s">
        <v>393</v>
      </c>
      <c r="E13" s="172" t="str">
        <f>IF($D13&gt;0,VLOOKUP($D13,Flight!$A$1:$E$91,2,FALSE),"")</f>
        <v>0700</v>
      </c>
      <c r="F13" s="46"/>
      <c r="G13" s="43" t="str">
        <f t="shared" si="4"/>
        <v/>
      </c>
      <c r="H13" s="44" t="str">
        <f>IF($D13&gt;0,VLOOKUP($D13,Flight!$A$1:$E$91,3,FALSE),"")</f>
        <v>BOM</v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  <c r="P13" s="87"/>
    </row>
    <row r="14" spans="1:16">
      <c r="A14" s="9">
        <f t="shared" si="3"/>
        <v>7</v>
      </c>
      <c r="B14" s="9" t="str">
        <f t="shared" si="0"/>
        <v>-</v>
      </c>
      <c r="C14" s="9" t="str">
        <f t="shared" si="1"/>
        <v>-</v>
      </c>
      <c r="D14" s="213" t="s">
        <v>369</v>
      </c>
      <c r="E14" s="172" t="str">
        <f>IF($D14&gt;0,VLOOKUP($D14,Flight!$A$1:$E$91,2,FALSE),"")</f>
        <v>0905</v>
      </c>
      <c r="F14" s="46"/>
      <c r="G14" s="43" t="str">
        <f t="shared" si="4"/>
        <v/>
      </c>
      <c r="H14" s="44" t="str">
        <f>IF($D14&gt;0,VLOOKUP($D14,Flight!$A$1:$E$91,3,FALSE),"")</f>
        <v>DEL</v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</row>
    <row r="15" spans="1:16">
      <c r="A15" s="9">
        <f t="shared" si="3"/>
        <v>8</v>
      </c>
      <c r="B15" s="9" t="str">
        <f t="shared" si="0"/>
        <v>-</v>
      </c>
      <c r="C15" s="9" t="str">
        <f t="shared" si="1"/>
        <v>-</v>
      </c>
      <c r="D15" s="213" t="s">
        <v>370</v>
      </c>
      <c r="E15" s="172" t="str">
        <f>IF($D15&gt;0,VLOOKUP($D15,Flight!$A$1:$E$91,2,FALSE),"")</f>
        <v>0935</v>
      </c>
      <c r="F15" s="46"/>
      <c r="G15" s="43" t="str">
        <f t="shared" si="4"/>
        <v/>
      </c>
      <c r="H15" s="44" t="str">
        <f>IF($D15&gt;0,VLOOKUP($D15,Flight!$A$1:$E$91,3,FALSE),"")</f>
        <v>BLR</v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  <c r="O15" s="114"/>
    </row>
    <row r="16" spans="1:16">
      <c r="A16" s="9">
        <f t="shared" si="3"/>
        <v>9</v>
      </c>
      <c r="B16" s="9" t="str">
        <f t="shared" si="0"/>
        <v>-</v>
      </c>
      <c r="C16" s="9" t="str">
        <f t="shared" si="1"/>
        <v>-</v>
      </c>
      <c r="D16" s="213" t="s">
        <v>198</v>
      </c>
      <c r="E16" s="172" t="str">
        <f>IF($D16&gt;0,VLOOKUP($D16,Flight!$A$1:$E$91,2,FALSE),"")</f>
        <v>0950</v>
      </c>
      <c r="F16" s="45"/>
      <c r="G16" s="43" t="str">
        <f t="shared" si="4"/>
        <v/>
      </c>
      <c r="H16" s="44" t="str">
        <f>IF($D16&gt;0,VLOOKUP($D16,Flight!$A$1:$E$91,3,FALSE),"")</f>
        <v>MAA</v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>&lt;   Hall Operation   &gt;</v>
      </c>
      <c r="L16" s="166"/>
      <c r="M16" s="166"/>
      <c r="O16" s="114"/>
    </row>
    <row r="17" spans="1:15" ht="16.5" customHeight="1">
      <c r="A17" s="9">
        <f t="shared" si="3"/>
        <v>10</v>
      </c>
      <c r="B17" s="9" t="str">
        <f t="shared" si="0"/>
        <v>-</v>
      </c>
      <c r="C17" s="9" t="str">
        <f t="shared" si="1"/>
        <v>-</v>
      </c>
      <c r="D17" s="213" t="s">
        <v>55</v>
      </c>
      <c r="E17" s="172" t="str">
        <f>IF($D17&gt;0,VLOOKUP($D17,Flight!$A$1:$E$91,2,FALSE),"")</f>
        <v>0955</v>
      </c>
      <c r="F17" s="45"/>
      <c r="G17" s="43" t="str">
        <f t="shared" si="4"/>
        <v/>
      </c>
      <c r="H17" s="44" t="str">
        <f>IF($D17&gt;0,VLOOKUP($D17,Flight!$A$1:$E$91,3,FALSE),"")</f>
        <v>BOM</v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>
      <c r="A18" s="9">
        <f t="shared" si="3"/>
        <v>11</v>
      </c>
      <c r="B18" s="9" t="str">
        <f t="shared" si="0"/>
        <v>-</v>
      </c>
      <c r="C18" s="9" t="str">
        <f t="shared" si="1"/>
        <v/>
      </c>
      <c r="D18" s="27" t="s">
        <v>372</v>
      </c>
      <c r="E18" s="172" t="str">
        <f>IF($D18&gt;0,VLOOKUP($D18,Flight!$A$1:$E$91,2,FALSE),"")</f>
        <v>1000</v>
      </c>
      <c r="F18" s="45"/>
      <c r="G18" s="43" t="str">
        <f t="shared" si="4"/>
        <v/>
      </c>
      <c r="H18" s="44" t="str">
        <f>IF($D18&gt;0,VLOOKUP($D18,Flight!$A$1:$E$91,3,FALSE),"")</f>
        <v>DMK</v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>
        <f t="shared" si="3"/>
        <v>12</v>
      </c>
      <c r="B19" s="9" t="str">
        <f t="shared" si="0"/>
        <v>-</v>
      </c>
      <c r="C19" s="9" t="str">
        <f t="shared" si="1"/>
        <v/>
      </c>
      <c r="D19" s="27" t="s">
        <v>373</v>
      </c>
      <c r="E19" s="172" t="str">
        <f>IF($D19&gt;0,VLOOKUP($D19,Flight!$A$1:$E$91,2,FALSE),"")</f>
        <v>1010</v>
      </c>
      <c r="F19" s="45"/>
      <c r="G19" s="43" t="str">
        <f t="shared" si="4"/>
        <v/>
      </c>
      <c r="H19" s="44" t="str">
        <f>IF($D19&gt;0,VLOOKUP($D19,Flight!$A$1:$E$91,3,FALSE),"")</f>
        <v>MNL</v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>
        <f t="shared" si="3"/>
        <v>13</v>
      </c>
      <c r="B20" s="9" t="str">
        <f t="shared" si="0"/>
        <v>-</v>
      </c>
      <c r="C20" s="9" t="str">
        <f t="shared" si="1"/>
        <v/>
      </c>
      <c r="D20" s="9" t="s">
        <v>374</v>
      </c>
      <c r="E20" s="172" t="str">
        <f>IF($D20&gt;0,VLOOKUP($D20,Flight!$A$1:$E$91,2,FALSE),"")</f>
        <v>1115</v>
      </c>
      <c r="F20" s="45"/>
      <c r="G20" s="43" t="str">
        <f t="shared" si="4"/>
        <v/>
      </c>
      <c r="H20" s="44" t="str">
        <f>IF($D20&gt;0,VLOOKUP($D20,Flight!$A$1:$E$91,3,FALSE),"")</f>
        <v>KUL</v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 ht="15.75" customHeight="1">
      <c r="A21" s="9">
        <f t="shared" si="3"/>
        <v>14</v>
      </c>
      <c r="B21" s="9" t="str">
        <f t="shared" si="0"/>
        <v>-</v>
      </c>
      <c r="C21" s="9" t="str">
        <f t="shared" si="1"/>
        <v/>
      </c>
      <c r="D21" s="9" t="s">
        <v>375</v>
      </c>
      <c r="E21" s="172" t="str">
        <f>IF($D21&gt;0,VLOOKUP($D21,Flight!$A$1:$E$91,2,FALSE),"")</f>
        <v>1145</v>
      </c>
      <c r="F21" s="44"/>
      <c r="G21" s="43" t="str">
        <f t="shared" si="4"/>
        <v/>
      </c>
      <c r="H21" s="44" t="str">
        <f>IF($D21&gt;0,VLOOKUP($D21,Flight!$A$1:$E$91,3,FALSE),"")</f>
        <v>BKK</v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>
        <f t="shared" si="3"/>
        <v>15</v>
      </c>
      <c r="B22" s="9" t="str">
        <f t="shared" si="0"/>
        <v>-</v>
      </c>
      <c r="C22" s="9" t="str">
        <f t="shared" si="1"/>
        <v/>
      </c>
      <c r="D22" s="9" t="s">
        <v>456</v>
      </c>
      <c r="E22" s="172">
        <v>1210</v>
      </c>
      <c r="F22" s="44"/>
      <c r="G22" s="43" t="str">
        <f t="shared" si="4"/>
        <v/>
      </c>
      <c r="H22" s="44" t="str">
        <f>IF($D22&gt;0,VLOOKUP($D22,Flight!$A$1:$E$91,3,FALSE),"")</f>
        <v>BKK</v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>
        <f t="shared" si="3"/>
        <v>16</v>
      </c>
      <c r="B23" s="9" t="str">
        <f t="shared" si="0"/>
        <v>-</v>
      </c>
      <c r="C23" s="9" t="str">
        <f t="shared" si="1"/>
        <v/>
      </c>
      <c r="D23" s="215" t="s">
        <v>376</v>
      </c>
      <c r="E23" s="172" t="str">
        <f>IF($D23&gt;0,VLOOKUP($D23,Flight!$A$1:$E$91,2,FALSE),"")</f>
        <v>1305</v>
      </c>
      <c r="F23" s="44"/>
      <c r="G23" s="43" t="str">
        <f t="shared" si="4"/>
        <v/>
      </c>
      <c r="H23" s="44" t="str">
        <f>IF($D23&gt;0,VLOOKUP($D23,Flight!$A$1:$E$91,3,FALSE),"")</f>
        <v>DMK</v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3"/>
        <v>17</v>
      </c>
      <c r="B24" s="9" t="str">
        <f t="shared" si="0"/>
        <v>-</v>
      </c>
      <c r="C24" s="9" t="str">
        <f t="shared" si="1"/>
        <v>-</v>
      </c>
      <c r="D24" s="213" t="s">
        <v>377</v>
      </c>
      <c r="E24" s="172" t="str">
        <f>IF($D24&gt;0,VLOOKUP($D24,Flight!$A$1:$E$91,2,FALSE),"")</f>
        <v>1310</v>
      </c>
      <c r="F24" s="45"/>
      <c r="G24" s="43" t="str">
        <f t="shared" si="4"/>
        <v/>
      </c>
      <c r="H24" s="44" t="str">
        <f>IF($D24&gt;0,VLOOKUP($D24,Flight!$A$1:$E$91,3,FALSE),"")</f>
        <v>DEL</v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>&lt;   Hall Operation   &gt;</v>
      </c>
      <c r="L24" s="166"/>
      <c r="M24" s="166"/>
      <c r="O24" s="114"/>
    </row>
    <row r="25" spans="1:15">
      <c r="A25" s="9">
        <f t="shared" si="3"/>
        <v>18</v>
      </c>
      <c r="B25" s="9" t="str">
        <f t="shared" si="0"/>
        <v>-</v>
      </c>
      <c r="C25" s="9" t="str">
        <f t="shared" si="1"/>
        <v/>
      </c>
      <c r="D25" s="27" t="s">
        <v>378</v>
      </c>
      <c r="E25" s="172" t="str">
        <f>IF($D25&gt;0,VLOOKUP($D25,Flight!$A$1:$E$91,2,FALSE),"")</f>
        <v>1415</v>
      </c>
      <c r="F25" s="45"/>
      <c r="G25" s="43" t="str">
        <f t="shared" si="4"/>
        <v/>
      </c>
      <c r="H25" s="44" t="str">
        <f>IF($D25&gt;0,VLOOKUP($D25,Flight!$A$1:$E$91,3,FALSE),"")</f>
        <v>KUL</v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3"/>
        <v>19</v>
      </c>
      <c r="B26" s="9" t="str">
        <f t="shared" si="0"/>
        <v>-</v>
      </c>
      <c r="C26" s="9" t="str">
        <f t="shared" si="1"/>
        <v/>
      </c>
      <c r="D26" s="27" t="s">
        <v>379</v>
      </c>
      <c r="E26" s="172" t="str">
        <f>IF($D26&gt;0,VLOOKUP($D26,Flight!$A$1:$E$91,2,FALSE),"")</f>
        <v>1420</v>
      </c>
      <c r="F26" s="44"/>
      <c r="G26" s="43" t="str">
        <f t="shared" si="4"/>
        <v/>
      </c>
      <c r="H26" s="44" t="str">
        <f>IF($D26&gt;0,VLOOKUP($D26,Flight!$A$1:$E$91,3,FALSE),"")</f>
        <v>BKK</v>
      </c>
      <c r="I26" s="44" t="str">
        <f>IF($D26&gt;0,IF(VLOOKUP($D26,Flight!$A$1:$E$91,4,FALSE)&gt;1,VLOOKUP($D26,Flight!$A$1:$E109,4,FALSE),""),"")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>
        <f t="shared" si="3"/>
        <v>20</v>
      </c>
      <c r="B27" s="9" t="str">
        <f t="shared" si="0"/>
        <v>-</v>
      </c>
      <c r="C27" s="9" t="str">
        <f t="shared" si="1"/>
        <v/>
      </c>
      <c r="D27" s="27" t="s">
        <v>380</v>
      </c>
      <c r="E27" s="172">
        <v>1455</v>
      </c>
      <c r="F27" s="45"/>
      <c r="G27" s="43" t="str">
        <f t="shared" si="4"/>
        <v/>
      </c>
      <c r="H27" s="44" t="str">
        <f>IF($D27&gt;0,VLOOKUP($D27,Flight!$A$1:$E$91,3,FALSE),"")</f>
        <v>ADD</v>
      </c>
      <c r="I27" s="44" t="str">
        <f>IF($D27&gt;0,IF(VLOOKUP($D27,Flight!$A$1:$E$91,4,FALSE)&gt;1,VLOOKUP($D27,Flight!$A$1:$E111,4,FALSE),""),"")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</row>
    <row r="28" spans="1:15">
      <c r="A28" s="9">
        <f t="shared" si="3"/>
        <v>21</v>
      </c>
      <c r="B28" s="9" t="str">
        <f t="shared" si="0"/>
        <v>-</v>
      </c>
      <c r="C28" s="9" t="str">
        <f t="shared" si="1"/>
        <v/>
      </c>
      <c r="D28" s="27" t="s">
        <v>381</v>
      </c>
      <c r="E28" s="172" t="str">
        <f>IF($D28&gt;0,VLOOKUP($D28,Flight!$A$1:$E$91,2,FALSE),"")</f>
        <v>1510</v>
      </c>
      <c r="F28" s="49"/>
      <c r="G28" s="43" t="str">
        <f t="shared" si="4"/>
        <v/>
      </c>
      <c r="H28" s="44" t="str">
        <f>IF($D28&gt;0,VLOOKUP($D28,Flight!$A$1:$E$91,3,FALSE),"")</f>
        <v>DOH</v>
      </c>
      <c r="I28" s="44" t="str">
        <f>IF($D28&gt;0,IF(VLOOKUP($D28,Flight!$A$1:$E$91,4,FALSE)&gt;1,VLOOKUP($D28,Flight!$A$1:$E112,4,FALSE),""),"")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</row>
    <row r="29" spans="1:15">
      <c r="A29" s="9">
        <f t="shared" si="3"/>
        <v>22</v>
      </c>
      <c r="B29" s="9" t="str">
        <f t="shared" si="0"/>
        <v>-</v>
      </c>
      <c r="C29" s="9" t="str">
        <f t="shared" si="1"/>
        <v/>
      </c>
      <c r="D29" s="27" t="s">
        <v>382</v>
      </c>
      <c r="E29" s="172" t="str">
        <f>IF($D29&gt;0,VLOOKUP($D29,Flight!$A$1:$E$91,2,FALSE),"")</f>
        <v>1715</v>
      </c>
      <c r="F29" s="45"/>
      <c r="G29" s="43" t="str">
        <f t="shared" si="4"/>
        <v/>
      </c>
      <c r="H29" s="44" t="str">
        <f>IF($D29&gt;0,VLOOKUP($D29,Flight!$A$1:$E$91,3,FALSE),"")</f>
        <v>IST</v>
      </c>
      <c r="I29" s="44" t="str">
        <f>IF($D29&gt;0,IF(VLOOKUP($D29,Flight!$A$1:$E$91,4,FALSE)&gt;1,VLOOKUP($D29,Flight!$A$1:$E113,4,FALSE),""),"")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3"/>
        <v>23</v>
      </c>
      <c r="B30" s="9" t="str">
        <f t="shared" si="0"/>
        <v>-</v>
      </c>
      <c r="C30" s="9" t="str">
        <f t="shared" si="1"/>
        <v/>
      </c>
      <c r="D30" s="27" t="s">
        <v>398</v>
      </c>
      <c r="E30" s="172" t="str">
        <f>IF($D30&gt;0,VLOOKUP($D30,Flight!$A$1:$E$91,2,FALSE),"")</f>
        <v>1720</v>
      </c>
      <c r="F30" s="45"/>
      <c r="G30" s="43" t="str">
        <f t="shared" si="4"/>
        <v/>
      </c>
      <c r="H30" s="44" t="str">
        <f>IF($D30&gt;0,VLOOKUP($D30,Flight!$A$1:$E$91,3,FALSE),"")</f>
        <v>MNL</v>
      </c>
      <c r="I30" s="44" t="str">
        <f>IF($D30&gt;0,IF(VLOOKUP($D30,Flight!$A$1:$E$91,4,FALSE)&gt;1,VLOOKUP($D30,Flight!$A$1:$E114,4,FALSE),""),"")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 s="349" customFormat="1">
      <c r="A31" s="9">
        <f t="shared" si="3"/>
        <v>24</v>
      </c>
      <c r="B31" s="9" t="str">
        <f t="shared" si="0"/>
        <v>-</v>
      </c>
      <c r="C31" s="9" t="str">
        <f t="shared" si="1"/>
        <v/>
      </c>
      <c r="D31" s="27" t="s">
        <v>1008</v>
      </c>
      <c r="E31" s="172" t="str">
        <f>IF($D31&gt;0,VLOOKUP($D31,Flight!$A$1:$E$91,2,FALSE),"")</f>
        <v>1745</v>
      </c>
      <c r="F31" s="45"/>
      <c r="G31" s="43" t="str">
        <f t="shared" ref="G31" si="5">IF(A31="@",IF(H31="ZYK","Berth 3",IF(H31="HKM","Bay 7","")),"")</f>
        <v/>
      </c>
      <c r="H31" s="44" t="str">
        <f>IF($D31&gt;0,VLOOKUP($D31,Flight!$A$1:$E$91,3,FALSE),"")</f>
        <v>BKK</v>
      </c>
      <c r="I31" s="44"/>
      <c r="J31" s="44"/>
      <c r="K31" s="166"/>
      <c r="L31" s="166"/>
      <c r="M31" s="166"/>
      <c r="O31" s="112"/>
    </row>
    <row r="32" spans="1:15">
      <c r="A32" s="9">
        <f>IF($A29="S/N",1,IF($F32="Wavied","-",IF($D32=0,"",ROW($A32)-ROW($A$7)-COUNTIF($A$7:$A$8,"@")-COUNTIF($A$7:$A$8,"-"))))</f>
        <v>25</v>
      </c>
      <c r="B32" s="9" t="str">
        <f t="shared" si="0"/>
        <v>-</v>
      </c>
      <c r="C32" s="9" t="str">
        <f t="shared" si="1"/>
        <v/>
      </c>
      <c r="D32" s="27" t="s">
        <v>383</v>
      </c>
      <c r="E32" s="172" t="str">
        <f>IF($D32&gt;0,VLOOKUP($D32,Flight!$A$1:$E$91,2,FALSE),"")</f>
        <v>1755</v>
      </c>
      <c r="F32" s="46"/>
      <c r="G32" s="43" t="str">
        <f t="shared" si="4"/>
        <v/>
      </c>
      <c r="H32" s="44" t="str">
        <f>IF($D32&gt;0,VLOOKUP($D32,Flight!$A$1:$E$91,3,FALSE),"")</f>
        <v>KUL</v>
      </c>
      <c r="I32" s="44" t="str">
        <f>IF($D32&gt;0,IF(VLOOKUP($D32,Flight!$A$1:$E$91,4,FALSE)&gt;1,VLOOKUP($D32,Flight!$A$1:$E115,4,FALSE),""),"")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ref="K32:K41" si="6">IF($D32=0,"",IF(OR(ISNUMBER(SEARCH("S",$B32)),_xlfn.IFNA(MATCH($D32,$D$105:$D$115,0)&lt;20,"")=TRUE),"&lt;   Hall Operation   &gt;",""))</f>
        <v/>
      </c>
      <c r="L32" s="166"/>
      <c r="M32" s="166"/>
    </row>
    <row r="33" spans="1:18">
      <c r="A33" s="9">
        <f>IF($A30="S/N",1,IF($F33="Wavied","-",IF($D33=0,"",ROW($A33)-ROW($A$7)-COUNTIF($A$7:$A$8,"@")-COUNTIF($A$7:$A$8,"-"))))</f>
        <v>26</v>
      </c>
      <c r="B33" s="9" t="str">
        <f t="shared" si="0"/>
        <v>-</v>
      </c>
      <c r="C33" s="9" t="str">
        <f t="shared" si="1"/>
        <v/>
      </c>
      <c r="D33" s="27" t="s">
        <v>384</v>
      </c>
      <c r="E33" s="172" t="str">
        <f>IF($D33&gt;0,VLOOKUP($D33,Flight!$A$1:$E$91,2,FALSE),"")</f>
        <v>1805</v>
      </c>
      <c r="F33" s="45"/>
      <c r="G33" s="43" t="str">
        <f t="shared" si="4"/>
        <v/>
      </c>
      <c r="H33" s="44" t="str">
        <f>IF($D33&gt;0,VLOOKUP($D33,Flight!$A$1:$E$91,3,FALSE),"")</f>
        <v>DXB</v>
      </c>
      <c r="I33" s="44" t="str">
        <f>IF($D33&gt;0,IF(VLOOKUP($D33,Flight!$A$1:$E$91,4,FALSE)&gt;1,VLOOKUP($D33,Flight!$A$1:$E116,4,FALSE),""),"")</f>
        <v>BKK</v>
      </c>
      <c r="J33" s="44" t="str">
        <f>IF($D33&gt;0,IF(VLOOKUP($D33,Flight!$A$1:$E$91,5,FALSE)&gt;1,VLOOKUP($D33,Flight!$A$1:$E$91,5,FALSE),""),"")</f>
        <v/>
      </c>
      <c r="K33" s="166" t="str">
        <f t="shared" si="6"/>
        <v/>
      </c>
      <c r="L33" s="166"/>
      <c r="M33" s="166"/>
    </row>
    <row r="34" spans="1:18">
      <c r="A34" s="9">
        <f t="shared" si="3"/>
        <v>27</v>
      </c>
      <c r="B34" s="9" t="str">
        <f t="shared" si="0"/>
        <v>-</v>
      </c>
      <c r="C34" s="9" t="str">
        <f t="shared" si="1"/>
        <v/>
      </c>
      <c r="D34" s="27" t="s">
        <v>49</v>
      </c>
      <c r="E34" s="172" t="str">
        <f>IF($D34&gt;0,VLOOKUP($D34,Flight!$A$1:$E$91,2,FALSE),"")</f>
        <v>1810</v>
      </c>
      <c r="F34" s="45"/>
      <c r="G34" s="43" t="str">
        <f t="shared" si="4"/>
        <v/>
      </c>
      <c r="H34" s="44" t="str">
        <f>IF($D34&gt;0,VLOOKUP($D34,Flight!$A$1:$E$91,3,FALSE),"")</f>
        <v>MNL</v>
      </c>
      <c r="I34" s="44" t="str">
        <f>IF($D34&gt;0,IF(VLOOKUP($D34,Flight!$A$1:$E$91,4,FALSE)&gt;1,VLOOKUP($D34,Flight!$A$1:$E117,4,FALSE),""),"")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6"/>
        <v/>
      </c>
      <c r="L34" s="166"/>
      <c r="M34" s="167"/>
      <c r="P34" s="84"/>
    </row>
    <row r="35" spans="1:18">
      <c r="A35" s="9">
        <f t="shared" si="3"/>
        <v>28</v>
      </c>
      <c r="B35" s="9" t="str">
        <f t="shared" si="0"/>
        <v>-</v>
      </c>
      <c r="C35" s="9" t="str">
        <f t="shared" si="1"/>
        <v/>
      </c>
      <c r="D35" s="27" t="s">
        <v>387</v>
      </c>
      <c r="E35" s="172" t="str">
        <f>IF($D35&gt;0,VLOOKUP($D35,Flight!$A$1:$E$91,2,FALSE),"")</f>
        <v>1920</v>
      </c>
      <c r="F35" s="45"/>
      <c r="G35" s="43" t="str">
        <f t="shared" si="4"/>
        <v/>
      </c>
      <c r="H35" s="44" t="str">
        <f>IF($D35&gt;0,VLOOKUP($D35,Flight!$A$1:$E$91,3,FALSE),"")</f>
        <v>DMK</v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O35" s="115"/>
      <c r="P35" s="87"/>
    </row>
    <row r="36" spans="1:18" ht="16.5">
      <c r="A36" s="9">
        <f t="shared" si="3"/>
        <v>29</v>
      </c>
      <c r="B36" s="9" t="str">
        <f t="shared" si="0"/>
        <v>-</v>
      </c>
      <c r="C36" s="9" t="str">
        <f t="shared" si="1"/>
        <v/>
      </c>
      <c r="D36" s="27" t="s">
        <v>388</v>
      </c>
      <c r="E36" s="172" t="str">
        <f>IF($D36&gt;0,VLOOKUP($D36,Flight!$A$1:$E$91,2,FALSE),"")</f>
        <v>1950</v>
      </c>
      <c r="F36" s="45"/>
      <c r="G36" s="43" t="str">
        <f t="shared" si="4"/>
        <v/>
      </c>
      <c r="H36" s="44" t="str">
        <f>IF($D36&gt;0,VLOOKUP($D36,Flight!$A$1:$E$91,3,FALSE),"")</f>
        <v>BKK</v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4"/>
      <c r="P36" s="88"/>
      <c r="Q36" s="4"/>
      <c r="R36" s="4"/>
    </row>
    <row r="37" spans="1:18">
      <c r="A37" s="9">
        <f t="shared" si="3"/>
        <v>30</v>
      </c>
      <c r="B37" s="9" t="str">
        <f t="shared" si="0"/>
        <v>-</v>
      </c>
      <c r="C37" s="9" t="str">
        <f t="shared" si="1"/>
        <v/>
      </c>
      <c r="D37" s="27" t="s">
        <v>64</v>
      </c>
      <c r="E37" s="172" t="str">
        <f>IF($D37&gt;0,VLOOKUP($D37,Flight!$A$1:$E$91,2,FALSE),"")</f>
        <v>2030</v>
      </c>
      <c r="F37" s="45"/>
      <c r="G37" s="43" t="str">
        <f t="shared" si="4"/>
        <v/>
      </c>
      <c r="H37" s="44" t="str">
        <f>IF($D37&gt;0,VLOOKUP($D37,Flight!$A$1:$E$91,3,FALSE),"")</f>
        <v>CGK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4"/>
      <c r="P37" s="4"/>
      <c r="Q37" s="4"/>
      <c r="R37" s="4"/>
    </row>
    <row r="38" spans="1:18" ht="16.5">
      <c r="A38" s="9">
        <f t="shared" si="3"/>
        <v>31</v>
      </c>
      <c r="B38" s="9" t="str">
        <f t="shared" si="0"/>
        <v>-</v>
      </c>
      <c r="C38" s="9" t="str">
        <f t="shared" si="1"/>
        <v/>
      </c>
      <c r="D38" s="27" t="s">
        <v>97</v>
      </c>
      <c r="E38" s="172">
        <v>2100</v>
      </c>
      <c r="F38" s="45"/>
      <c r="G38" s="43" t="str">
        <f t="shared" si="4"/>
        <v/>
      </c>
      <c r="H38" s="44" t="str">
        <f>IF($D38&gt;0,VLOOKUP($D38,Flight!$A$1:$E$91,3,FALSE),"")</f>
        <v>SIN</v>
      </c>
      <c r="I38" s="44" t="str">
        <f>IF($D38&gt;0,IF(VLOOKUP($D38,Flight!$A$1:$E$91,4,FALSE)&gt;1,VLOOKUP($D38,Flight!$A$1:$E121,4,FALSE),""),"")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6"/>
      <c r="O38" s="4"/>
      <c r="P38" s="89"/>
      <c r="Q38" s="4"/>
      <c r="R38" s="4"/>
    </row>
    <row r="39" spans="1:18" ht="16.5">
      <c r="A39" s="9">
        <f t="shared" si="3"/>
        <v>32</v>
      </c>
      <c r="B39" s="9" t="str">
        <f t="shared" si="0"/>
        <v>-</v>
      </c>
      <c r="C39" s="9" t="str">
        <f t="shared" si="1"/>
        <v>S5</v>
      </c>
      <c r="D39" s="27" t="s">
        <v>390</v>
      </c>
      <c r="E39" s="172" t="str">
        <f>IF($D39&gt;0,VLOOKUP($D39,Flight!$A$1:$E$91,2,FALSE),"")</f>
        <v>2155</v>
      </c>
      <c r="F39" s="45"/>
      <c r="G39" s="43" t="str">
        <f t="shared" si="4"/>
        <v/>
      </c>
      <c r="H39" s="44" t="str">
        <f>IF($D39&gt;0,VLOOKUP($D39,Flight!$A$1:$E$91,3,FALSE),"")</f>
        <v>DOH</v>
      </c>
      <c r="I39" s="44" t="str">
        <f>IF($D39&gt;0,IF(VLOOKUP($D39,Flight!$A$1:$E$91,4,FALSE)&gt;1,VLOOKUP($D39,Flight!$A$1:$E123,4,FALSE),""),"")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 t="str">
        <f t="shared" si="3"/>
        <v/>
      </c>
      <c r="B40" s="9" t="str">
        <f t="shared" si="0"/>
        <v/>
      </c>
      <c r="C40" s="9" t="str">
        <f t="shared" si="1"/>
        <v/>
      </c>
      <c r="D40" s="27"/>
      <c r="E40" s="172" t="str">
        <f>IF($D40&gt;0,VLOOKUP($D40,Flight!$A$1:$E$91,2,FALSE),"")</f>
        <v/>
      </c>
      <c r="F40" s="45"/>
      <c r="G40" s="43" t="str">
        <f t="shared" si="4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IF($D40&gt;0,IF(VLOOKUP($D40,Flight!$A$1:$E$91,4,FALSE)&gt;1,VLOOKUP($D40,Flight!$A$1:$E124,4,FALSE),""),"")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 ht="16.5">
      <c r="A41" s="9" t="str">
        <f t="shared" si="3"/>
        <v/>
      </c>
      <c r="B41" s="9" t="str">
        <f t="shared" si="0"/>
        <v/>
      </c>
      <c r="C41" s="9" t="str">
        <f t="shared" si="1"/>
        <v/>
      </c>
      <c r="D41" s="27"/>
      <c r="E41" s="172" t="str">
        <f>IF($D41&gt;0,VLOOKUP($D41,Flight!$A$1:$E$91,2,FALSE),"")</f>
        <v/>
      </c>
      <c r="F41" s="45"/>
      <c r="G41" s="43" t="str">
        <f t="shared" si="4"/>
        <v/>
      </c>
      <c r="H41" s="44" t="str">
        <f>IF($D41&gt;0,VLOOKUP($D41,Flight!$A$1:$E$91,3,FALSE),"")</f>
        <v/>
      </c>
      <c r="I41" s="44" t="str">
        <f>IF($D41&gt;0,IF(VLOOKUP($D41,Flight!$A$1:$E$91,4,FALSE)&gt;1,VLOOKUP($D41,Flight!$A$1:$E125,4,FALSE),""),"")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6"/>
        <v/>
      </c>
      <c r="L41" s="166"/>
      <c r="M41" s="166"/>
      <c r="O41" s="4"/>
      <c r="P41" s="89"/>
      <c r="Q41" s="4"/>
      <c r="R41" s="4"/>
    </row>
    <row r="42" spans="1:18">
      <c r="A42" s="376" t="s">
        <v>5</v>
      </c>
      <c r="B42" s="376"/>
      <c r="C42" s="376"/>
      <c r="D42" s="376"/>
      <c r="E42" s="376"/>
      <c r="F42" s="376"/>
      <c r="G42" s="50"/>
      <c r="H42" s="321" t="s">
        <v>40</v>
      </c>
      <c r="I42" s="377"/>
      <c r="J42" s="377"/>
      <c r="K42" s="377"/>
      <c r="L42" s="377"/>
      <c r="M42" s="377"/>
      <c r="N42" s="5"/>
    </row>
    <row r="43" spans="1:18">
      <c r="A43" s="379" t="s">
        <v>35</v>
      </c>
      <c r="B43" s="379"/>
      <c r="C43" s="379" t="s">
        <v>31</v>
      </c>
      <c r="D43" s="379"/>
      <c r="E43" s="379"/>
      <c r="F43" s="379"/>
      <c r="G43" s="379"/>
      <c r="H43" s="379"/>
      <c r="I43" s="378"/>
      <c r="J43" s="378"/>
      <c r="K43" s="378"/>
      <c r="L43" s="378"/>
      <c r="M43" s="378"/>
    </row>
    <row r="44" spans="1:18">
      <c r="A44" s="379"/>
      <c r="B44" s="379"/>
      <c r="C44" s="379"/>
      <c r="D44" s="379"/>
      <c r="E44" s="379"/>
      <c r="F44" s="379"/>
      <c r="G44" s="379"/>
      <c r="H44" s="379"/>
      <c r="I44" s="51"/>
      <c r="J44" s="51"/>
      <c r="K44" s="6"/>
      <c r="L44" s="6"/>
      <c r="M44" s="6"/>
    </row>
    <row r="45" spans="1:18">
      <c r="A45" s="389" t="s">
        <v>216</v>
      </c>
      <c r="B45" s="389"/>
      <c r="C45" s="323" t="str">
        <f>VLOOKUP($D$45,Staff!$B$2:$D$41,2,FALSE)</f>
        <v>CIA</v>
      </c>
      <c r="D45" s="375" t="str">
        <f>VLOOKUP(VLOOKUP($E$57,$E$61:$J$72,6,FALSE),Staff!$A$2:$D$13,2,FALSE)</f>
        <v>KY LAU</v>
      </c>
      <c r="E45" s="375"/>
      <c r="F45" s="325" t="s">
        <v>215</v>
      </c>
      <c r="G45" s="390" t="str">
        <f>VLOOKUP($D$45,Staff!$B$2:$D$39,3,FALSE)</f>
        <v>9861 1888</v>
      </c>
      <c r="H45" s="390"/>
      <c r="I45" s="391" t="s">
        <v>223</v>
      </c>
      <c r="J45" s="391"/>
      <c r="K45" s="375" t="str">
        <f>IF(COUNTIF($E$61:$E$64,$E$57)&gt;0,Staff!$G$2,"")&amp;IF(COUNTIF($E$65:$E$68,$E$57)&gt;0,Staff!$G$3,"")&amp;IF(COUNTIF($E$69:$E$72,$E$57)&gt;0,Staff!$G$4,"")</f>
        <v>WONG, TSZ MING</v>
      </c>
      <c r="L45" s="375"/>
      <c r="M45" s="375"/>
    </row>
    <row r="46" spans="1:18">
      <c r="A46" s="389" t="s">
        <v>217</v>
      </c>
      <c r="B46" s="389"/>
      <c r="C46" s="323" t="str">
        <f>VLOOKUP($D$46,Staff!$B$2:$D$41,2,FALSE)</f>
        <v>CIA</v>
      </c>
      <c r="D46" s="375" t="str">
        <f>VLOOKUP(VLOOKUP($E$58,$E$61:$J$72,6,FALSE),Staff!$A$2:$D$13,2,FALSE)</f>
        <v>YM KWOK</v>
      </c>
      <c r="E46" s="375"/>
      <c r="F46" s="325" t="s">
        <v>215</v>
      </c>
      <c r="G46" s="390" t="str">
        <f>VLOOKUP($D$46,Staff!$B$2:$D$39,3,FALSE)</f>
        <v>9786 1247</v>
      </c>
      <c r="H46" s="390"/>
      <c r="I46" s="391" t="s">
        <v>224</v>
      </c>
      <c r="J46" s="391"/>
      <c r="K46" s="375" t="str">
        <f>IF(COUNTIF($E$61:$E$64,$E$58)&gt;0,Staff!$G$2,"")&amp;IF(COUNTIF($E$65:$E$68,$E$58)&gt;0,Staff!$G$3,"")&amp;IF(COUNTIF($E$69:$E$72,$E$58)&gt;0,Staff!$G$4,"")</f>
        <v>HO, KING KAI</v>
      </c>
      <c r="L46" s="375"/>
      <c r="M46" s="375"/>
    </row>
    <row r="47" spans="1:18">
      <c r="A47" s="329"/>
      <c r="B47" s="329"/>
      <c r="C47" s="327"/>
      <c r="D47" s="395"/>
      <c r="E47" s="395"/>
      <c r="F47" s="324"/>
      <c r="G47" s="396"/>
      <c r="H47" s="396"/>
      <c r="I47" s="390"/>
      <c r="J47" s="390"/>
      <c r="K47" s="143"/>
      <c r="L47" s="143"/>
      <c r="M47" s="143"/>
    </row>
    <row r="48" spans="1:18">
      <c r="A48" s="397" t="s">
        <v>4</v>
      </c>
      <c r="B48" s="397"/>
      <c r="C48" s="396" t="s">
        <v>218</v>
      </c>
      <c r="D48" s="396"/>
      <c r="E48" s="396"/>
      <c r="F48" s="154" t="s">
        <v>213</v>
      </c>
      <c r="G48" s="398" t="str">
        <f>IF(COUNTIF($E$61:$E$64,$E$57)&gt;0,Staff!$G$14,"")&amp;IF(COUNTIF($E$65:$E$68,$E$57)&gt;0,Staff!$G$13,"")&amp;IF(COUNTIF($E$69:$E$72,$E$57)&gt;0,Staff!$G$12,"")</f>
        <v>CHONG, MAN LOK</v>
      </c>
      <c r="H48" s="398"/>
      <c r="I48" s="398"/>
      <c r="J48" s="333" t="s">
        <v>209</v>
      </c>
      <c r="K48" s="390" t="str">
        <f>VLOOKUP(VLOOKUP($B$3,$E$61:$J$72,6,FALSE),Staff!$F$22:$G$47,2,FALSE)</f>
        <v>LAUW, NAM FAI</v>
      </c>
      <c r="L48" s="390"/>
      <c r="M48" s="390"/>
      <c r="N48" s="12"/>
    </row>
    <row r="49" spans="1:13">
      <c r="A49" s="155"/>
      <c r="B49" s="155"/>
      <c r="C49" s="396" t="s">
        <v>219</v>
      </c>
      <c r="D49" s="396"/>
      <c r="E49" s="396"/>
      <c r="F49" s="154" t="s">
        <v>214</v>
      </c>
      <c r="G49" s="375" t="str">
        <f>IF(COUNTIF($E$61:$E$64,$E$58)&gt;0,Staff!$G$14,"")&amp;IF(COUNTIF($E$65:$E$68,$E$58)&gt;0,Staff!$G$13,"")&amp;IF(COUNTIF($E$69:$E$72,$E$58)&gt;0,Staff!$G$12,"")</f>
        <v>CHIU, OI YU (F)</v>
      </c>
      <c r="H49" s="375"/>
      <c r="I49" s="375"/>
      <c r="J49" s="333" t="s">
        <v>208</v>
      </c>
      <c r="K49" s="390"/>
      <c r="L49" s="390"/>
      <c r="M49" s="390"/>
    </row>
    <row r="50" spans="1:13">
      <c r="A50" s="320"/>
      <c r="B50" s="320"/>
      <c r="C50" s="327"/>
      <c r="D50" s="401"/>
      <c r="E50" s="401"/>
      <c r="F50" s="401"/>
      <c r="G50" s="401"/>
      <c r="H50" s="401"/>
      <c r="I50" s="401"/>
      <c r="J50" s="333" t="s">
        <v>210</v>
      </c>
      <c r="K50" s="390"/>
      <c r="L50" s="390"/>
      <c r="M50" s="390"/>
    </row>
    <row r="51" spans="1:13">
      <c r="A51" s="392" t="s">
        <v>3</v>
      </c>
      <c r="B51" s="393"/>
      <c r="C51" s="394" t="s">
        <v>220</v>
      </c>
      <c r="D51" s="394"/>
      <c r="E51" s="394"/>
      <c r="F51" s="397" t="s">
        <v>408</v>
      </c>
      <c r="G51" s="397"/>
      <c r="H51" s="397"/>
      <c r="I51" s="397"/>
      <c r="J51" s="333" t="s">
        <v>211</v>
      </c>
      <c r="K51" s="390"/>
      <c r="L51" s="390"/>
      <c r="M51" s="390"/>
    </row>
    <row r="52" spans="1:13">
      <c r="A52" s="393" t="s">
        <v>2</v>
      </c>
      <c r="B52" s="393"/>
      <c r="C52" s="411" t="s">
        <v>221</v>
      </c>
      <c r="D52" s="411"/>
      <c r="E52" s="411"/>
      <c r="F52" s="412" t="s">
        <v>1</v>
      </c>
      <c r="G52" s="412"/>
      <c r="H52" s="400" t="s">
        <v>409</v>
      </c>
      <c r="I52" s="400"/>
      <c r="J52" s="333" t="s">
        <v>212</v>
      </c>
      <c r="K52" s="390"/>
      <c r="L52" s="390"/>
      <c r="M52" s="390"/>
    </row>
    <row r="53" spans="1:13">
      <c r="A53" s="155"/>
      <c r="B53" s="155"/>
      <c r="C53" s="320"/>
      <c r="D53" s="399"/>
      <c r="E53" s="399"/>
      <c r="F53" s="391"/>
      <c r="G53" s="391"/>
      <c r="H53" s="400" t="s">
        <v>410</v>
      </c>
      <c r="I53" s="400"/>
      <c r="J53" s="326"/>
      <c r="K53" s="329"/>
      <c r="L53" s="329"/>
      <c r="M53" s="47"/>
    </row>
    <row r="54" spans="1:13" ht="16.5" customHeight="1">
      <c r="A54" s="392" t="s">
        <v>0</v>
      </c>
      <c r="B54" s="392"/>
      <c r="C54" s="407" t="s">
        <v>222</v>
      </c>
      <c r="D54" s="407"/>
      <c r="E54" s="407"/>
      <c r="F54" s="326"/>
      <c r="G54" s="333"/>
      <c r="H54" s="394" t="s">
        <v>411</v>
      </c>
      <c r="I54" s="394"/>
      <c r="J54" s="332"/>
      <c r="K54" s="329"/>
      <c r="L54" s="329"/>
      <c r="M54" s="47"/>
    </row>
    <row r="55" spans="1:13">
      <c r="C55" s="408"/>
      <c r="D55" s="408"/>
      <c r="E55" s="408"/>
      <c r="F55" s="408"/>
      <c r="G55" s="408"/>
      <c r="H55" s="408"/>
      <c r="J55" s="53"/>
      <c r="K55" s="112"/>
      <c r="L55" s="112"/>
    </row>
    <row r="56" spans="1:13" ht="16.5" thickBot="1">
      <c r="A56" s="3"/>
      <c r="B56" s="3"/>
      <c r="C56" s="3"/>
      <c r="D56" s="2"/>
      <c r="E56" s="39"/>
      <c r="F56" s="331"/>
      <c r="G56" s="331"/>
      <c r="I56" s="409"/>
      <c r="J56" s="409"/>
      <c r="K56" s="112"/>
      <c r="L56" s="112"/>
    </row>
    <row r="57" spans="1:13">
      <c r="D57" s="330"/>
      <c r="E57" s="90" t="s">
        <v>133</v>
      </c>
      <c r="F57" s="91" t="s">
        <v>135</v>
      </c>
      <c r="G57" s="91"/>
      <c r="H57" s="92"/>
      <c r="I57" s="330"/>
      <c r="J57" s="330"/>
    </row>
    <row r="58" spans="1:13" ht="16.5" thickBot="1">
      <c r="D58" s="330"/>
      <c r="E58" s="93" t="s">
        <v>134</v>
      </c>
      <c r="F58" s="94" t="s">
        <v>136</v>
      </c>
      <c r="G58" s="94"/>
      <c r="H58" s="95"/>
      <c r="I58" s="330"/>
      <c r="J58" s="330"/>
    </row>
    <row r="59" spans="1:13">
      <c r="D59" s="330"/>
      <c r="E59" s="330"/>
      <c r="F59" s="330"/>
      <c r="G59" s="330"/>
      <c r="H59" s="330"/>
      <c r="I59" s="330"/>
      <c r="J59" s="330"/>
    </row>
    <row r="60" spans="1:13" ht="16.5" thickBot="1">
      <c r="D60" s="85" t="s">
        <v>132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98</v>
      </c>
      <c r="J60" s="330"/>
      <c r="K60" s="96" t="s">
        <v>302</v>
      </c>
      <c r="L60" s="96" t="s">
        <v>303</v>
      </c>
      <c r="M60" s="96"/>
    </row>
    <row r="61" spans="1:13">
      <c r="D61" s="97" t="s">
        <v>86</v>
      </c>
      <c r="E61" s="98" t="str">
        <f>_xlfn.IFNA(VLOOKUP(MOD((($D$1-WEEKDAY($D$1,2)+1)-45523)/7+21,24),Shift!$A$2:$H$25,WEEKDAY($D$1,2)+1),VLOOKUP(24,Shift!$A$2:$H$25,WEEKDAY($D$1,2)+1))</f>
        <v>L</v>
      </c>
      <c r="F61" s="98">
        <f>IF(OR($E61="L",$E61="L#"),0,"?")</f>
        <v>0</v>
      </c>
      <c r="G61" s="98">
        <f>IF(OR($E61="L",$E61="L#"),0,"?")</f>
        <v>0</v>
      </c>
      <c r="H61" s="98">
        <f>IF(OR($E61="L",$E61="L#"),0,"?")</f>
        <v>0</v>
      </c>
      <c r="I61" s="99">
        <f t="shared" ref="I61:I72" si="7">IF(OR($E61="L",$E61="L#"),0,SUM($F61:$H61))</f>
        <v>0</v>
      </c>
      <c r="J61" s="136" t="s">
        <v>86</v>
      </c>
      <c r="K61" s="112" t="str">
        <f>IF(AND($F61&gt;1,$F61&lt;&gt;"?"),$F61-1,"")</f>
        <v/>
      </c>
      <c r="L61" s="112" t="str">
        <f>IF(AND($G61&gt;1,$G61&lt;&gt;"?"),$G61-1,"")</f>
        <v/>
      </c>
      <c r="M61" s="112"/>
    </row>
    <row r="62" spans="1:13">
      <c r="D62" s="100" t="s">
        <v>85</v>
      </c>
      <c r="E62" s="101" t="str">
        <f>_xlfn.IFNA(VLOOKUP(MOD((($D$1-WEEKDAY($D$1,2)+1)-45523)/7+3,24),Shift!$A$2:$H$25,WEEKDAY($D$1,2)+1),VLOOKUP(24,Shift!$A$2:$H$25,WEEKDAY($D$1,2)+1))</f>
        <v>L</v>
      </c>
      <c r="F62" s="101">
        <f t="shared" ref="F62:H72" si="8">IF(OR($E62="L",$E62="L#"),0,"?")</f>
        <v>0</v>
      </c>
      <c r="G62" s="101">
        <f t="shared" si="8"/>
        <v>0</v>
      </c>
      <c r="H62" s="101">
        <f t="shared" si="8"/>
        <v>0</v>
      </c>
      <c r="I62" s="102">
        <f t="shared" si="7"/>
        <v>0</v>
      </c>
      <c r="J62" s="137" t="s">
        <v>85</v>
      </c>
      <c r="K62" s="112" t="str">
        <f t="shared" ref="K62:K72" si="9">IF(AND($F62&gt;1,$F62&lt;&gt;"?"),$F62-1,"")</f>
        <v/>
      </c>
      <c r="L62" s="112" t="str">
        <f t="shared" ref="L62:L72" si="10">IF(AND($G62&gt;1,$G62&lt;&gt;"?"),$G62-1,"")</f>
        <v/>
      </c>
      <c r="M62" s="112"/>
    </row>
    <row r="63" spans="1:13">
      <c r="D63" s="100" t="s">
        <v>99</v>
      </c>
      <c r="E63" s="101" t="str">
        <f>_xlfn.IFNA(VLOOKUP(MOD((($D$1-WEEKDAY($D$1,2)+1)-45523)/7+9,24),Shift!$A$2:$H$25,WEEKDAY($D$1,2)+1),VLOOKUP(24,Shift!$A$2:$H$25,WEEKDAY($D$1,2)+1))</f>
        <v>L</v>
      </c>
      <c r="F63" s="101">
        <f t="shared" si="8"/>
        <v>0</v>
      </c>
      <c r="G63" s="101">
        <f t="shared" si="8"/>
        <v>0</v>
      </c>
      <c r="H63" s="101">
        <f t="shared" si="8"/>
        <v>0</v>
      </c>
      <c r="I63" s="102">
        <f t="shared" si="7"/>
        <v>0</v>
      </c>
      <c r="J63" s="137" t="s">
        <v>99</v>
      </c>
      <c r="K63" s="112" t="str">
        <f t="shared" si="9"/>
        <v/>
      </c>
      <c r="L63" s="112" t="str">
        <f t="shared" si="10"/>
        <v/>
      </c>
      <c r="M63" s="112"/>
    </row>
    <row r="64" spans="1:13" ht="16.5" thickBot="1">
      <c r="D64" s="103" t="s">
        <v>100</v>
      </c>
      <c r="E64" s="104" t="str">
        <f>_xlfn.IFNA(VLOOKUP(MOD((($D$1-WEEKDAY($D$1,2)+1)-45523)/7+15,24),Shift!$A$2:$H$25,WEEKDAY($D$1,2)+1),VLOOKUP(24,Shift!$A$2:$H$25,WEEKDAY($D$1,2)+1))</f>
        <v>L</v>
      </c>
      <c r="F64" s="104">
        <f t="shared" si="8"/>
        <v>0</v>
      </c>
      <c r="G64" s="104">
        <f t="shared" si="8"/>
        <v>0</v>
      </c>
      <c r="H64" s="104">
        <f t="shared" si="8"/>
        <v>0</v>
      </c>
      <c r="I64" s="105">
        <f t="shared" si="7"/>
        <v>0</v>
      </c>
      <c r="J64" s="138" t="s">
        <v>100</v>
      </c>
      <c r="K64" s="112" t="str">
        <f t="shared" si="9"/>
        <v/>
      </c>
      <c r="L64" s="112" t="str">
        <f t="shared" si="10"/>
        <v/>
      </c>
      <c r="M64" s="112"/>
    </row>
    <row r="65" spans="4:13">
      <c r="D65" s="97" t="s">
        <v>101</v>
      </c>
      <c r="E65" s="98" t="str">
        <f>_xlfn.IFNA(VLOOKUP(MOD((($D$1-WEEKDAY($D$1,2)+1)-45523)/7+19,24),Shift!$A$2:$H$25,WEEKDAY($D$1,2)+1),VLOOKUP(24,Shift!$A$2:$H$25,WEEKDAY($D$1,2)+1))</f>
        <v>P4</v>
      </c>
      <c r="F65" s="98" t="str">
        <f t="shared" si="8"/>
        <v>?</v>
      </c>
      <c r="G65" s="98" t="str">
        <f t="shared" si="8"/>
        <v>?</v>
      </c>
      <c r="H65" s="98" t="str">
        <f t="shared" si="8"/>
        <v>?</v>
      </c>
      <c r="I65" s="99">
        <f t="shared" si="7"/>
        <v>0</v>
      </c>
      <c r="J65" s="136" t="s">
        <v>101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100" t="s">
        <v>102</v>
      </c>
      <c r="E66" s="101" t="str">
        <f>_xlfn.IFNA(VLOOKUP(MOD((($D$1-WEEKDAY($D$1,2)+1)-45523)/7+1,24),Shift!$A$2:$H$25,WEEKDAY($D$1,2)+1),VLOOKUP(24,Shift!$A$2:$H$25,WEEKDAY($D$1,2)+1))</f>
        <v>P1</v>
      </c>
      <c r="F66" s="101" t="str">
        <f t="shared" si="8"/>
        <v>?</v>
      </c>
      <c r="G66" s="101" t="str">
        <f t="shared" si="8"/>
        <v>?</v>
      </c>
      <c r="H66" s="101" t="str">
        <f t="shared" si="8"/>
        <v>?</v>
      </c>
      <c r="I66" s="102">
        <f t="shared" si="7"/>
        <v>0</v>
      </c>
      <c r="J66" s="137" t="s">
        <v>102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103</v>
      </c>
      <c r="E67" s="101" t="str">
        <f>_xlfn.IFNA(VLOOKUP(MOD((($D$1-WEEKDAY($D$1,2)+1)-45523)/7+7,24),Shift!$A$2:$H$25,WEEKDAY($D$1,2)+1),VLOOKUP(24,Shift!$A$2:$H$25,WEEKDAY($D$1,2)+1))</f>
        <v>P1 @</v>
      </c>
      <c r="F67" s="101" t="str">
        <f t="shared" si="8"/>
        <v>?</v>
      </c>
      <c r="G67" s="101" t="str">
        <f t="shared" si="8"/>
        <v>?</v>
      </c>
      <c r="H67" s="101" t="str">
        <f t="shared" si="8"/>
        <v>?</v>
      </c>
      <c r="I67" s="102">
        <f t="shared" si="7"/>
        <v>0</v>
      </c>
      <c r="J67" s="137" t="s">
        <v>103</v>
      </c>
      <c r="K67" s="112" t="str">
        <f t="shared" si="9"/>
        <v/>
      </c>
      <c r="L67" s="112" t="str">
        <f t="shared" si="10"/>
        <v/>
      </c>
      <c r="M67" s="112"/>
    </row>
    <row r="68" spans="4:13" ht="16.5" thickBot="1">
      <c r="D68" s="103" t="s">
        <v>104</v>
      </c>
      <c r="E68" s="104" t="str">
        <f>_xlfn.IFNA(VLOOKUP(MOD((($D$1-WEEKDAY($D$1,2)+1)-45523)/7+13,24),Shift!$A$2:$H$25,WEEKDAY($D$1,2)+1),VLOOKUP(24,Shift!$A$2:$H$25,WEEKDAY($D$1,2)+1))</f>
        <v>A</v>
      </c>
      <c r="F68" s="104" t="str">
        <f t="shared" si="8"/>
        <v>?</v>
      </c>
      <c r="G68" s="104" t="str">
        <f t="shared" si="8"/>
        <v>?</v>
      </c>
      <c r="H68" s="104" t="str">
        <f t="shared" si="8"/>
        <v>?</v>
      </c>
      <c r="I68" s="105">
        <f t="shared" si="7"/>
        <v>0</v>
      </c>
      <c r="J68" s="138" t="s">
        <v>104</v>
      </c>
      <c r="K68" s="112" t="str">
        <f t="shared" si="9"/>
        <v/>
      </c>
      <c r="L68" s="112" t="str">
        <f t="shared" si="10"/>
        <v/>
      </c>
      <c r="M68" s="112"/>
    </row>
    <row r="69" spans="4:13">
      <c r="D69" s="97" t="s">
        <v>105</v>
      </c>
      <c r="E69" s="98" t="str">
        <f>_xlfn.IFNA(VLOOKUP(MOD((($D$1-WEEKDAY($D$1,2)+1)-45523)/7+17,24),Shift!$A$2:$H$25,WEEKDAY($D$1,2)+1),VLOOKUP(24,Shift!$A$2:$H$25,WEEKDAY($D$1,2)+1))</f>
        <v>G1</v>
      </c>
      <c r="F69" s="98" t="str">
        <f t="shared" si="8"/>
        <v>?</v>
      </c>
      <c r="G69" s="98" t="str">
        <f t="shared" si="8"/>
        <v>?</v>
      </c>
      <c r="H69" s="98" t="str">
        <f t="shared" si="8"/>
        <v>?</v>
      </c>
      <c r="I69" s="99">
        <f t="shared" si="7"/>
        <v>0</v>
      </c>
      <c r="J69" s="136" t="s">
        <v>105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100" t="s">
        <v>106</v>
      </c>
      <c r="E70" s="101" t="str">
        <f>_xlfn.IFNA(VLOOKUP(MOD((($D$1-WEEKDAY($D$1,2)+1)-45523)/7+23,24),Shift!$A$2:$H$25,WEEKDAY($D$1,2)+1),VLOOKUP(24,Shift!$A$2:$H$25,WEEKDAY($D$1,2)+1))</f>
        <v>L</v>
      </c>
      <c r="F70" s="101">
        <f t="shared" si="8"/>
        <v>0</v>
      </c>
      <c r="G70" s="101">
        <f t="shared" si="8"/>
        <v>0</v>
      </c>
      <c r="H70" s="101">
        <f t="shared" si="8"/>
        <v>0</v>
      </c>
      <c r="I70" s="102">
        <f t="shared" si="7"/>
        <v>0</v>
      </c>
      <c r="J70" s="137" t="s">
        <v>106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107</v>
      </c>
      <c r="E71" s="101" t="str">
        <f>_xlfn.IFNA(VLOOKUP(MOD((($D$1-WEEKDAY($D$1,2)+1)-45523)/7+5,24),Shift!$A$2:$H$25,WEEKDAY($D$1,2)+1),VLOOKUP(24,Shift!$A$2:$H$25,WEEKDAY($D$1,2)+1))</f>
        <v>M</v>
      </c>
      <c r="F71" s="101" t="str">
        <f t="shared" si="8"/>
        <v>?</v>
      </c>
      <c r="G71" s="101" t="str">
        <f t="shared" si="8"/>
        <v>?</v>
      </c>
      <c r="H71" s="101" t="str">
        <f t="shared" si="8"/>
        <v>?</v>
      </c>
      <c r="I71" s="102">
        <f t="shared" si="7"/>
        <v>0</v>
      </c>
      <c r="J71" s="137" t="s">
        <v>107</v>
      </c>
      <c r="K71" s="112" t="str">
        <f t="shared" si="9"/>
        <v/>
      </c>
      <c r="L71" s="112" t="str">
        <f t="shared" si="10"/>
        <v/>
      </c>
      <c r="M71" s="112"/>
    </row>
    <row r="72" spans="4:13" ht="16.5" thickBot="1">
      <c r="D72" s="103" t="s">
        <v>108</v>
      </c>
      <c r="E72" s="104" t="str">
        <f>_xlfn.IFNA(VLOOKUP(MOD((($D$1-WEEKDAY($D$1,2)+1)-45523)/7+11,24),Shift!$A$2:$H$25,WEEKDAY($D$1,2)+1),VLOOKUP(24,Shift!$A$2:$H$25,WEEKDAY($D$1,2)+1))</f>
        <v>M @</v>
      </c>
      <c r="F72" s="104" t="str">
        <f t="shared" si="8"/>
        <v>?</v>
      </c>
      <c r="G72" s="104" t="str">
        <f t="shared" si="8"/>
        <v>?</v>
      </c>
      <c r="H72" s="104" t="str">
        <f t="shared" si="8"/>
        <v>?</v>
      </c>
      <c r="I72" s="105">
        <f t="shared" si="7"/>
        <v>0</v>
      </c>
      <c r="J72" s="138" t="s">
        <v>108</v>
      </c>
      <c r="K72" s="112" t="str">
        <f t="shared" si="9"/>
        <v/>
      </c>
      <c r="L72" s="112" t="str">
        <f t="shared" si="10"/>
        <v/>
      </c>
      <c r="M72" s="112"/>
    </row>
    <row r="73" spans="4:13">
      <c r="D73" s="144" t="s">
        <v>86</v>
      </c>
      <c r="E73" s="98" t="s">
        <v>127</v>
      </c>
      <c r="F73" s="98"/>
      <c r="G73" s="98"/>
      <c r="H73" s="98"/>
      <c r="I73" s="99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330"/>
    </row>
    <row r="76" spans="4:13" ht="16.5" thickBot="1">
      <c r="D76" s="146" t="s">
        <v>137</v>
      </c>
      <c r="E76" s="104" t="s">
        <v>127</v>
      </c>
      <c r="F76" s="106"/>
      <c r="G76" s="106"/>
      <c r="H76" s="106"/>
      <c r="I76" s="105">
        <f>IF(OR($E76="L",$E76="L#",$E76="?"),0,SUM($F76:$H76))</f>
        <v>0</v>
      </c>
      <c r="J76" s="330"/>
    </row>
    <row r="77" spans="4:13">
      <c r="D77" s="330"/>
      <c r="E77" s="96" t="s">
        <v>98</v>
      </c>
      <c r="F77" s="96" t="str">
        <f>SUM($F$61:$F$76)&amp;IF(SUM($F$61:$H$76)&gt;$I$77,"?","")</f>
        <v>0</v>
      </c>
      <c r="G77" s="96" t="str">
        <f>SUM($G$61:$G$76)&amp;IF(SUM($F$61:$H$76)&gt;$I$77,"?","")</f>
        <v>0</v>
      </c>
      <c r="H77" s="96" t="str">
        <f>SUM($H$61:$H$76)&amp;IF(SUM($F$61:$H$76)&gt;$I$77,"?","")</f>
        <v>0</v>
      </c>
      <c r="I77" s="96">
        <f>SUM(I61:I76)</f>
        <v>0</v>
      </c>
      <c r="J77" s="330"/>
    </row>
    <row r="78" spans="4:13">
      <c r="D78" s="330"/>
      <c r="E78" s="330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330"/>
      <c r="J78" s="330"/>
    </row>
    <row r="80" spans="4:13">
      <c r="D80" s="410" t="s">
        <v>281</v>
      </c>
      <c r="E80" s="410"/>
      <c r="F80" s="410"/>
    </row>
    <row r="81" spans="4:6">
      <c r="D81" s="49" t="str">
        <f>IF(Flight!$A$68=0,"",Flight!$A$68)</f>
        <v/>
      </c>
      <c r="E81" s="163"/>
      <c r="F81" s="164" t="str">
        <f>IF(D81="","",VLOOKUP(D81,Flight!$A$68:$C$91,3,FALSE))</f>
        <v/>
      </c>
    </row>
    <row r="82" spans="4:6">
      <c r="D82" s="49" t="str">
        <f>IF(Flight!$A69=0,"",Flight!$A69)</f>
        <v/>
      </c>
      <c r="F82" s="164" t="str">
        <f>IF(D82="","",VLOOKUP(D82,Flight!$A$68:$C$91,3,FALSE))</f>
        <v/>
      </c>
    </row>
    <row r="83" spans="4:6">
      <c r="D83" s="49" t="str">
        <f>IF(Flight!$A71=0,"",Flight!$A71)</f>
        <v>3A031</v>
      </c>
      <c r="F83" s="164" t="str">
        <f>IF(D83="","",VLOOKUP(D83,Flight!$A$68:$C$91,3,FALSE))</f>
        <v>ZTI</v>
      </c>
    </row>
    <row r="84" spans="4:6">
      <c r="D84" s="49" t="str">
        <f>IF(Flight!$A72=0,"",Flight!$A72)</f>
        <v>3A003</v>
      </c>
      <c r="F84" s="164" t="str">
        <f>IF(D84="","",VLOOKUP(D84,Flight!$A$68:$C$91,3,FALSE))</f>
        <v>ZYK</v>
      </c>
    </row>
    <row r="85" spans="4:6">
      <c r="D85" s="49" t="str">
        <f>IF(Flight!$A73=0,"",Flight!$A73)</f>
        <v>3A005</v>
      </c>
      <c r="F85" s="164" t="str">
        <f>IF(D85="","",VLOOKUP(D85,Flight!$A$68:$C$91,3,FALSE))</f>
        <v>HKM</v>
      </c>
    </row>
    <row r="86" spans="4:6">
      <c r="D86" s="49" t="str">
        <f>IF(Flight!$A74=0,"",Flight!$A74)</f>
        <v>3A007</v>
      </c>
      <c r="F86" s="164" t="str">
        <f>IF(D86="","",VLOOKUP(D86,Flight!$A$68:$C$91,3,FALSE))</f>
        <v>ZYK</v>
      </c>
    </row>
    <row r="87" spans="4:6">
      <c r="D87" s="49" t="str">
        <f>IF(Flight!$A75=0,"",Flight!$A75)</f>
        <v>3A008</v>
      </c>
      <c r="F87" s="164" t="str">
        <f>IF(D87="","",VLOOKUP(D87,Flight!$A$68:$C$91,3,FALSE))</f>
        <v>ZYK</v>
      </c>
    </row>
    <row r="88" spans="4:6">
      <c r="D88" s="49" t="str">
        <f>IF(Flight!$A76=0,"",Flight!$A76)</f>
        <v>3A009</v>
      </c>
      <c r="F88" s="164" t="str">
        <f>IF(D88="","",VLOOKUP(D88,Flight!$A$68:$C$91,3,FALSE))</f>
        <v>ZYK</v>
      </c>
    </row>
    <row r="89" spans="4:6">
      <c r="D89" s="49" t="str">
        <f>IF(Flight!$A77=0,"",Flight!$A77)</f>
        <v>3A010</v>
      </c>
      <c r="F89" s="164" t="str">
        <f>IF(D89="","",VLOOKUP(D89,Flight!$A$68:$C$91,3,FALSE))</f>
        <v>ZYK</v>
      </c>
    </row>
    <row r="90" spans="4:6">
      <c r="D90" s="49" t="str">
        <f>IF(Flight!$A78=0,"",Flight!$A78)</f>
        <v/>
      </c>
      <c r="F90" s="164" t="str">
        <f>IF(D90="","",VLOOKUP(D90,Flight!$A$68:$C$91,3,FALSE))</f>
        <v/>
      </c>
    </row>
    <row r="91" spans="4:6">
      <c r="D91" s="49" t="str">
        <f>IF(Flight!$A80=0,"",Flight!$A80)</f>
        <v>8S7121</v>
      </c>
      <c r="F91" s="164" t="str">
        <f>IF(D91="","",VLOOKUP(D91,Flight!$A$68:$C$91,3,FALSE))</f>
        <v>HKM</v>
      </c>
    </row>
    <row r="92" spans="4:6">
      <c r="D92" s="49" t="str">
        <f>IF(Flight!$A81=0,"",Flight!$A81)</f>
        <v>8S7108</v>
      </c>
      <c r="F92" s="164" t="str">
        <f>IF(D92="","",VLOOKUP(D92,Flight!$A$68:$C$91,3,FALSE))</f>
        <v>ZYK</v>
      </c>
    </row>
    <row r="93" spans="4:6">
      <c r="D93" s="49" t="str">
        <f>IF(Flight!$A82=0,"",Flight!$A82)</f>
        <v>8S7111</v>
      </c>
      <c r="F93" s="164" t="str">
        <f>IF(D93="","",VLOOKUP(D93,Flight!$A$68:$C$91,3,FALSE))</f>
        <v>ZYK</v>
      </c>
    </row>
    <row r="94" spans="4:6">
      <c r="D94" s="49" t="str">
        <f>IF(Flight!$A83=0,"",Flight!$A83)</f>
        <v>8S7131</v>
      </c>
      <c r="F94" s="164" t="str">
        <f>IF(D94="","",VLOOKUP(D94,Flight!$A$68:$C$91,3,FALSE))</f>
        <v>?</v>
      </c>
    </row>
    <row r="95" spans="4:6">
      <c r="D95" s="49" t="str">
        <f>IF(Flight!$A84=0,"",Flight!$A84)</f>
        <v>8S7119</v>
      </c>
      <c r="F95" s="164" t="str">
        <f>IF(D95="","",VLOOKUP(D95,Flight!$A$68:$C$91,3,FALSE))</f>
        <v>HKM</v>
      </c>
    </row>
    <row r="96" spans="4:6">
      <c r="D96" s="49" t="str">
        <f>IF(Flight!$A85=0,"",Flight!$A85)</f>
        <v>8S7126</v>
      </c>
      <c r="F96" s="164" t="str">
        <f>IF(D96="","",VLOOKUP(D96,Flight!$A$68:$C$91,3,FALSE))</f>
        <v>HKM</v>
      </c>
    </row>
    <row r="97" spans="4:6">
      <c r="D97" s="49" t="str">
        <f>IF(Flight!$A86=0,"",Flight!$A86)</f>
        <v>8S7128</v>
      </c>
      <c r="F97" s="164" t="str">
        <f>IF(D97="","",VLOOKUP(D97,Flight!$A$68:$C$91,3,FALSE))</f>
        <v>HKM</v>
      </c>
    </row>
    <row r="98" spans="4:6">
      <c r="D98" s="49" t="str">
        <f>IF(Flight!$A87=0,"",Flight!$A87)</f>
        <v>3A8010</v>
      </c>
      <c r="F98" s="164" t="str">
        <f>IF(D98="","",VLOOKUP(D98,Flight!$A$68:$C$91,3,FALSE))</f>
        <v>HZI</v>
      </c>
    </row>
    <row r="99" spans="4:6">
      <c r="D99" s="49" t="str">
        <f>IF(Flight!$A88=0,"",Flight!$A88)</f>
        <v>3A8015</v>
      </c>
      <c r="F99" s="164" t="str">
        <f>IF(D99="","",VLOOKUP(D99,Flight!$A$68:$C$91,3,FALSE))</f>
        <v>?</v>
      </c>
    </row>
    <row r="100" spans="4:6">
      <c r="D100" s="49" t="str">
        <f>IF(Flight!$A89=0,"",Flight!$A89)</f>
        <v>3A8016</v>
      </c>
      <c r="F100" s="164" t="str">
        <f>IF(D100="","",VLOOKUP(D100,Flight!$A$68:$C$91,3,FALSE))</f>
        <v>HZI</v>
      </c>
    </row>
    <row r="101" spans="4:6">
      <c r="D101" s="49" t="str">
        <f>IF(Flight!$A91=0,"",Flight!$A91)</f>
        <v xml:space="preserve">Last </v>
      </c>
      <c r="F101" s="164" t="str">
        <f>IF(D101="","",VLOOKUP(D101,Flight!$A$68:$C$91,3,FALSE))</f>
        <v>↑</v>
      </c>
    </row>
    <row r="102" spans="4:6">
      <c r="D102" s="49" t="str">
        <f>IF(Flight!$A92=0,"",Flight!$A92)</f>
        <v/>
      </c>
      <c r="F102" s="164" t="str">
        <f>IF(D102="","",VLOOKUP(D102,Flight!$A$68:$C$91,3,FALSE))</f>
        <v/>
      </c>
    </row>
    <row r="103" spans="4:6">
      <c r="D103" s="186"/>
      <c r="F103" s="187"/>
    </row>
    <row r="104" spans="4:6">
      <c r="D104" s="406" t="str">
        <f>IF(Flight!$A$93=0,"",Flight!$A$93)</f>
        <v>Target Flight</v>
      </c>
      <c r="E104" s="406"/>
      <c r="F104" s="406"/>
    </row>
    <row r="105" spans="4:6">
      <c r="D105" s="27" t="s">
        <v>59</v>
      </c>
      <c r="E105" s="158"/>
      <c r="F105" s="10" t="s">
        <v>38</v>
      </c>
    </row>
    <row r="106" spans="4:6">
      <c r="D106" s="27" t="s">
        <v>89</v>
      </c>
      <c r="E106" s="158"/>
      <c r="F106" s="10" t="s">
        <v>38</v>
      </c>
    </row>
    <row r="107" spans="4:6">
      <c r="D107" s="27" t="s">
        <v>254</v>
      </c>
      <c r="E107" s="158"/>
      <c r="F107" s="10" t="s">
        <v>38</v>
      </c>
    </row>
    <row r="108" spans="4:6">
      <c r="D108" s="27" t="s">
        <v>57</v>
      </c>
      <c r="E108" s="158"/>
      <c r="F108" s="10" t="s">
        <v>58</v>
      </c>
    </row>
    <row r="109" spans="4:6">
      <c r="D109" s="27" t="s">
        <v>198</v>
      </c>
      <c r="E109" s="158"/>
      <c r="F109" s="10" t="s">
        <v>199</v>
      </c>
    </row>
    <row r="110" spans="4:6">
      <c r="D110" s="27" t="s">
        <v>55</v>
      </c>
      <c r="E110" s="158"/>
      <c r="F110" s="10" t="s">
        <v>54</v>
      </c>
    </row>
    <row r="111" spans="4:6">
      <c r="D111" s="27" t="s">
        <v>39</v>
      </c>
      <c r="E111" s="158"/>
      <c r="F111" s="10" t="s">
        <v>38</v>
      </c>
    </row>
    <row r="112" spans="4:6">
      <c r="D112" s="27" t="s">
        <v>200</v>
      </c>
      <c r="E112" s="158"/>
      <c r="F112" s="10" t="s">
        <v>54</v>
      </c>
    </row>
    <row r="113" spans="4:6">
      <c r="D113" s="27" t="s">
        <v>201</v>
      </c>
      <c r="E113" s="158"/>
      <c r="F113" s="10" t="s">
        <v>38</v>
      </c>
    </row>
    <row r="114" spans="4:6">
      <c r="D114" s="161"/>
      <c r="E114" s="158"/>
      <c r="F114" s="159"/>
    </row>
    <row r="115" spans="4:6">
      <c r="D115" s="161"/>
      <c r="E115" s="158"/>
      <c r="F115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6:E46"/>
    <mergeCell ref="G46:H46"/>
    <mergeCell ref="I46:J46"/>
    <mergeCell ref="K45:M45"/>
    <mergeCell ref="H6:H7"/>
    <mergeCell ref="I6:I7"/>
    <mergeCell ref="J6:J7"/>
    <mergeCell ref="K6:M6"/>
    <mergeCell ref="A42:F42"/>
    <mergeCell ref="I42:M43"/>
    <mergeCell ref="A43:H43"/>
    <mergeCell ref="A6:A7"/>
    <mergeCell ref="B6:C6"/>
    <mergeCell ref="D6:D7"/>
    <mergeCell ref="E6:E7"/>
    <mergeCell ref="F6:F7"/>
    <mergeCell ref="A44:H44"/>
    <mergeCell ref="A45:B45"/>
    <mergeCell ref="D45:E45"/>
    <mergeCell ref="G45:H45"/>
    <mergeCell ref="I45:J45"/>
    <mergeCell ref="K46:M46"/>
    <mergeCell ref="A51:B51"/>
    <mergeCell ref="C51:E51"/>
    <mergeCell ref="F51:I51"/>
    <mergeCell ref="K51:M51"/>
    <mergeCell ref="A48:B48"/>
    <mergeCell ref="C48:E48"/>
    <mergeCell ref="G48:I48"/>
    <mergeCell ref="K48:M48"/>
    <mergeCell ref="C49:E49"/>
    <mergeCell ref="G49:I49"/>
    <mergeCell ref="K49:M49"/>
    <mergeCell ref="D47:E47"/>
    <mergeCell ref="G47:H47"/>
    <mergeCell ref="I47:J47"/>
    <mergeCell ref="A46:B46"/>
    <mergeCell ref="D53:E53"/>
    <mergeCell ref="F53:G53"/>
    <mergeCell ref="H53:I53"/>
    <mergeCell ref="D50:I50"/>
    <mergeCell ref="K50:M50"/>
    <mergeCell ref="A52:B52"/>
    <mergeCell ref="C52:E52"/>
    <mergeCell ref="F52:G52"/>
    <mergeCell ref="H52:I52"/>
    <mergeCell ref="K52:M52"/>
    <mergeCell ref="D104:F104"/>
    <mergeCell ref="A54:B54"/>
    <mergeCell ref="C54:E54"/>
    <mergeCell ref="H54:I54"/>
    <mergeCell ref="C55:H55"/>
    <mergeCell ref="I56:J56"/>
    <mergeCell ref="D80:F80"/>
  </mergeCells>
  <phoneticPr fontId="2" type="noConversion"/>
  <conditionalFormatting sqref="H8:H41 E8:E41">
    <cfRule type="cellIs" dxfId="22" priority="4" operator="equal">
      <formula>""</formula>
    </cfRule>
  </conditionalFormatting>
  <conditionalFormatting sqref="F61:H78">
    <cfRule type="cellIs" dxfId="21" priority="3" operator="equal">
      <formula>"?"</formula>
    </cfRule>
  </conditionalFormatting>
  <conditionalFormatting sqref="D41:D998">
    <cfRule type="duplicateValues" dxfId="20" priority="2"/>
  </conditionalFormatting>
  <conditionalFormatting sqref="D8:D40">
    <cfRule type="duplicateValues" dxfId="19" priority="280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D46:E46</xm:sqref>
        </x14:dataValidation>
        <x14:dataValidation type="list" allowBlank="1" showInputMessage="1">
          <x14:formula1>
            <xm:f>Staff!$B$15:$B$39</xm:f>
          </x14:formula1>
          <xm:sqref>D45:E45</xm:sqref>
        </x14:dataValidation>
        <x14:dataValidation type="list" allowBlank="1" showInputMessage="1">
          <x14:formula1>
            <xm:f>Staff!$G$23:$G$52</xm:f>
          </x14:formula1>
          <xm:sqref>K48:M52</xm:sqref>
        </x14:dataValidation>
        <x14:dataValidation type="list" allowBlank="1" showInputMessage="1">
          <x14:formula1>
            <xm:f>Staff!$G$12:$G$52</xm:f>
          </x14:formula1>
          <xm:sqref>G48:I49</xm:sqref>
        </x14:dataValidation>
        <x14:dataValidation type="list" allowBlank="1" showInputMessage="1">
          <x14:formula1>
            <xm:f>Staff!$G$2:$G$9</xm:f>
          </x14:formula1>
          <xm:sqref>K45:M46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5"/>
  <sheetViews>
    <sheetView view="pageBreakPreview" topLeftCell="A6" zoomScale="90" zoomScaleNormal="100" zoomScaleSheetLayoutView="90" workbookViewId="0">
      <selection activeCell="C20" sqref="C20"/>
    </sheetView>
  </sheetViews>
  <sheetFormatPr defaultRowHeight="15.75"/>
  <cols>
    <col min="1" max="1" width="9.125" style="330" customWidth="1"/>
    <col min="2" max="2" width="10.25" style="330" customWidth="1"/>
    <col min="3" max="3" width="9.75" style="330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331" customWidth="1"/>
    <col min="9" max="9" width="9" style="54" customWidth="1"/>
    <col min="10" max="10" width="9.125" style="54" customWidth="1"/>
    <col min="11" max="13" width="9.125" style="330" customWidth="1"/>
    <col min="14" max="14" width="9" style="330"/>
    <col min="15" max="15" width="10.75" style="112" bestFit="1" customWidth="1"/>
    <col min="16" max="16" width="12.25" style="330" bestFit="1" customWidth="1"/>
    <col min="17" max="16384" width="9" style="330"/>
  </cols>
  <sheetData>
    <row r="1" spans="1:16">
      <c r="A1" s="320"/>
      <c r="B1" s="320"/>
      <c r="C1" s="108" t="s">
        <v>20</v>
      </c>
      <c r="D1" s="355">
        <v>45774</v>
      </c>
      <c r="E1" s="355"/>
      <c r="F1" s="333" t="s">
        <v>23</v>
      </c>
      <c r="G1" s="110">
        <f>D1</f>
        <v>45774</v>
      </c>
      <c r="H1" s="328" t="s">
        <v>24</v>
      </c>
      <c r="I1" s="324"/>
      <c r="J1" s="324"/>
      <c r="K1" s="320"/>
      <c r="L1" s="320"/>
      <c r="M1" s="47"/>
    </row>
    <row r="2" spans="1:16" ht="17.25" customHeight="1" thickBot="1">
      <c r="A2" s="320"/>
      <c r="B2" s="320"/>
      <c r="C2" s="320"/>
      <c r="D2" s="356"/>
      <c r="E2" s="356"/>
      <c r="F2" s="324"/>
      <c r="G2" s="357"/>
      <c r="H2" s="357"/>
      <c r="I2" s="357"/>
      <c r="J2" s="324"/>
      <c r="K2" s="320"/>
      <c r="L2" s="320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S5(0) </v>
      </c>
      <c r="C4" s="367"/>
      <c r="D4" s="366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 &lt;S9(0)&gt;  S12(0) </v>
      </c>
      <c r="E4" s="367"/>
      <c r="F4" s="366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>-</v>
      </c>
      <c r="G4" s="367"/>
      <c r="H4" s="366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S11(0) </v>
      </c>
      <c r="I4" s="367"/>
      <c r="J4" s="366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S1(0) S2(0)  &lt;S4(0)&gt;  </v>
      </c>
      <c r="K4" s="367"/>
      <c r="L4" s="366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S3(0)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322" t="s">
        <v>52</v>
      </c>
      <c r="C7" s="322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41" si="0">IF($E8&lt;&gt;"",IF($E8-715&lt;0,VLOOKUP($B$3,$E$61:$J$72,6,FALSE),IF(AND($E8-2130&gt;0,_xlfn.IFNA(MATCH($D8,$D$105:$D$115,0)&lt;20,"")=TRUE),VLOOKUP($L$3,$E$61:$J$72,6,FALSE),"-")),"")</f>
        <v>S5</v>
      </c>
      <c r="C8" s="9" t="str">
        <f t="shared" ref="C8:C41" si="1">IF($E8&lt;&gt;"",IF(ISNUMBER(SEARCH("Hall Operation",$K8)),"-",IF($E8-715&lt;0,VLOOKUP($B$3,$E$61:$J$72,6,FALSE),IF($E8-2129&gt;0,VLOOKUP($L$3,$E$61:$J$72,6,FALSE),""))),"")</f>
        <v>-</v>
      </c>
      <c r="D8" s="165" t="s">
        <v>1011</v>
      </c>
      <c r="E8" s="172" t="s">
        <v>1012</v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>BKK</v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2" si="2">IF($D8=0,"",IF(OR(ISNUMBER(SEARCH("S",$B8)),_xlfn.IFNA(MATCH($D8,$D$105:$D$115,0)&lt;20,"")=TRUE),"&lt;   Hall Operation   &gt;",""))</f>
        <v>&lt;   Hall Operation   &gt;</v>
      </c>
      <c r="L8" s="166"/>
      <c r="M8" s="166"/>
      <c r="N8" s="173"/>
    </row>
    <row r="9" spans="1:16" s="349" customFormat="1" ht="16.5" customHeight="1">
      <c r="A9" s="9">
        <f>IF($A7="S/N",1,IF($F9="Wavied","-",IF($D9=0,"",ROW($A9)-ROW($A$7)-COUNTIF($A$7:$A$8,"@")-COUNTIF($A$7:$A$8,"-"))))</f>
        <v>2</v>
      </c>
      <c r="B9" s="9" t="str">
        <f t="shared" si="0"/>
        <v>S5</v>
      </c>
      <c r="C9" s="9" t="str">
        <f t="shared" si="1"/>
        <v>-</v>
      </c>
      <c r="D9" s="165" t="s">
        <v>1010</v>
      </c>
      <c r="E9" s="172" t="str">
        <f>IF($D9&gt;0,VLOOKUP($D9,Flight!$A$1:$E$91,2,FALSE),"")</f>
        <v>0130</v>
      </c>
      <c r="F9" s="43"/>
      <c r="G9" s="43" t="str">
        <f>IF(A9="@",IF(H9="ZYK","Berth 3",IF(H9="HKM","Bay 7","")),"")</f>
        <v/>
      </c>
      <c r="H9" s="44" t="str">
        <f>IF($D9&gt;0,VLOOKUP($D9,Flight!$A$1:$E$91,3,FALSE),"")</f>
        <v>BKK</v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>&lt;   Hall Operation   &gt;</v>
      </c>
      <c r="L9" s="166"/>
      <c r="M9" s="166"/>
      <c r="N9" s="173"/>
      <c r="O9" s="112"/>
    </row>
    <row r="10" spans="1:16" ht="16.5" customHeight="1">
      <c r="A10" s="9">
        <f>IF($A7="S/N",1,IF($F10="Wavied","-",IF($D10=0,"",ROW($A10)-ROW($A$7)-COUNTIF($A$7:$A$8,"@")-COUNTIF($A$7:$A$8,"-"))))</f>
        <v>3</v>
      </c>
      <c r="B10" s="9" t="str">
        <f t="shared" si="0"/>
        <v>S5</v>
      </c>
      <c r="C10" s="9" t="str">
        <f t="shared" si="1"/>
        <v>-</v>
      </c>
      <c r="D10" s="27" t="s">
        <v>367</v>
      </c>
      <c r="E10" s="172" t="str">
        <f>IF($D10&gt;0,VLOOKUP($D10,Flight!$A$1:$E$91,2,FALSE),"")</f>
        <v>0545</v>
      </c>
      <c r="F10" s="45"/>
      <c r="G10" s="43" t="str">
        <f t="shared" ref="G10:G41" si="3">IF(A10="@",IF(H10="ZYK","Berth 3",IF(H10="HKM","Bay 7","")),"")</f>
        <v/>
      </c>
      <c r="H10" s="44" t="str">
        <f>IF($D10&gt;0,VLOOKUP($D10,Flight!$A$1:$E$91,3,FALSE),"")</f>
        <v>CGK</v>
      </c>
      <c r="I10" s="44" t="str">
        <f>IF($D10&gt;0,IF(VLOOKUP($D10,Flight!$A$1:$E$91,4,FALSE)&gt;1,VLOOKUP($D10,Flight!$A$1:$E92,4,FALSE),""),"")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>&lt;   Hall Operation   &gt;</v>
      </c>
      <c r="L10" s="166"/>
      <c r="M10" s="166"/>
    </row>
    <row r="11" spans="1:16">
      <c r="A11" s="9">
        <f>IF($A8="S/N",1,IF($F11="Wavied","-",IF($D11=0,"",ROW($A11)-ROW($A$7)-COUNTIF($A$7:$A$8,"@")-COUNTIF($A$7:$A$8,"-"))))</f>
        <v>4</v>
      </c>
      <c r="B11" s="9" t="str">
        <f t="shared" si="0"/>
        <v>S5</v>
      </c>
      <c r="C11" s="9" t="str">
        <f t="shared" si="1"/>
        <v>-</v>
      </c>
      <c r="D11" s="27" t="s">
        <v>368</v>
      </c>
      <c r="E11" s="172" t="str">
        <f>IF($D11&gt;0,VLOOKUP($D11,Flight!$A$1:$E$91,2,FALSE),"")</f>
        <v>0555</v>
      </c>
      <c r="F11" s="45"/>
      <c r="G11" s="43" t="str">
        <f t="shared" si="3"/>
        <v/>
      </c>
      <c r="H11" s="44" t="str">
        <f>IF($D11&gt;0,VLOOKUP($D11,Flight!$A$1:$E$91,3,FALSE),"")</f>
        <v>BKK</v>
      </c>
      <c r="I11" s="44" t="str">
        <f>IF($D11&gt;0,IF(VLOOKUP($D11,Flight!$A$1:$E$91,4,FALSE)&gt;1,VLOOKUP($D11,Flight!$A$1:$E93,4,FALSE),""),"")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>&lt;   Hall Operation   &gt;</v>
      </c>
      <c r="L11" s="166"/>
      <c r="M11" s="166"/>
    </row>
    <row r="12" spans="1:16">
      <c r="A12" s="9">
        <f t="shared" ref="A12:A41" si="4">IF($A10="S/N",1,IF($F12="Wavied","-",IF($D12=0,"",ROW($A12)-ROW($A$7)-COUNTIF($A$7:$A$8,"@")-COUNTIF($A$7:$A$8,"-"))))</f>
        <v>5</v>
      </c>
      <c r="B12" s="9" t="str">
        <f t="shared" si="0"/>
        <v>S5</v>
      </c>
      <c r="C12" s="9" t="str">
        <f t="shared" si="1"/>
        <v>-</v>
      </c>
      <c r="D12" s="27" t="s">
        <v>899</v>
      </c>
      <c r="E12" s="172" t="str">
        <f>IF($D12&gt;0,VLOOKUP($D12,Flight!$A$1:$E$91,2,FALSE),"")</f>
        <v>0615</v>
      </c>
      <c r="F12" s="43"/>
      <c r="G12" s="43" t="str">
        <f t="shared" si="3"/>
        <v/>
      </c>
      <c r="H12" s="44" t="str">
        <f>IF($D12&gt;0,VLOOKUP($D12,Flight!$A$1:$E$91,3,FALSE),"")</f>
        <v>DEL</v>
      </c>
      <c r="I12" s="44" t="str">
        <f>IF($D12&gt;0,IF(VLOOKUP($D12,Flight!$A$1:$E$91,4,FALSE)&gt;1,VLOOKUP($D12,Flight!$A$1:$E94,4,FALSE),""),"")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>&lt;   Hall Operation   &gt;</v>
      </c>
      <c r="L12" s="166"/>
      <c r="M12" s="166"/>
    </row>
    <row r="13" spans="1:16">
      <c r="A13" s="9">
        <f t="shared" si="4"/>
        <v>6</v>
      </c>
      <c r="B13" s="9" t="str">
        <f t="shared" si="0"/>
        <v>S5</v>
      </c>
      <c r="C13" s="9" t="str">
        <f t="shared" si="1"/>
        <v>-</v>
      </c>
      <c r="D13" s="27" t="s">
        <v>365</v>
      </c>
      <c r="E13" s="172" t="str">
        <f>IF($D13&gt;0,VLOOKUP($D13,Flight!$A$1:$E$91,2,FALSE),"")</f>
        <v>0640</v>
      </c>
      <c r="F13" s="45"/>
      <c r="G13" s="43" t="str">
        <f t="shared" si="3"/>
        <v/>
      </c>
      <c r="H13" s="44" t="str">
        <f>IF($D13&gt;0,VLOOKUP($D13,Flight!$A$1:$E$91,3,FALSE),"")</f>
        <v>DEL</v>
      </c>
      <c r="I13" s="44" t="str">
        <f>IF($D13&gt;0,IF(VLOOKUP($D13,Flight!$A$1:$E$91,4,FALSE)&gt;1,VLOOKUP($D13,Flight!$A$1:$E95,4,FALSE),""),"")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>&lt;   Hall Operation   &gt;</v>
      </c>
      <c r="L13" s="166"/>
      <c r="M13" s="166"/>
    </row>
    <row r="14" spans="1:16">
      <c r="A14" s="9">
        <f t="shared" si="4"/>
        <v>7</v>
      </c>
      <c r="B14" s="9" t="str">
        <f t="shared" si="0"/>
        <v>S5</v>
      </c>
      <c r="C14" s="9" t="str">
        <f t="shared" si="1"/>
        <v>-</v>
      </c>
      <c r="D14" s="27" t="s">
        <v>393</v>
      </c>
      <c r="E14" s="172" t="str">
        <f>IF($D14&gt;0,VLOOKUP($D14,Flight!$A$1:$E$91,2,FALSE),"")</f>
        <v>0700</v>
      </c>
      <c r="F14" s="46"/>
      <c r="G14" s="43" t="str">
        <f t="shared" si="3"/>
        <v/>
      </c>
      <c r="H14" s="44" t="str">
        <f>IF($D14&gt;0,VLOOKUP($D14,Flight!$A$1:$E$91,3,FALSE),"")</f>
        <v>BOM</v>
      </c>
      <c r="I14" s="44" t="str">
        <f>IF($D14&gt;0,IF(VLOOKUP($D14,Flight!$A$1:$E$91,4,FALSE)&gt;1,VLOOKUP($D14,Flight!$A$1:$E96,4,FALSE),""),"")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>&lt;   Hall Operation   &gt;</v>
      </c>
      <c r="L14" s="166"/>
      <c r="M14" s="166"/>
      <c r="P14" s="87"/>
    </row>
    <row r="15" spans="1:16">
      <c r="A15" s="9">
        <f t="shared" si="4"/>
        <v>8</v>
      </c>
      <c r="B15" s="9" t="str">
        <f t="shared" si="0"/>
        <v>-</v>
      </c>
      <c r="C15" s="9" t="str">
        <f t="shared" si="1"/>
        <v>-</v>
      </c>
      <c r="D15" s="27" t="s">
        <v>369</v>
      </c>
      <c r="E15" s="172" t="str">
        <f>IF($D15&gt;0,VLOOKUP($D15,Flight!$A$1:$E$91,2,FALSE),"")</f>
        <v>0905</v>
      </c>
      <c r="F15" s="46"/>
      <c r="G15" s="43" t="str">
        <f t="shared" si="3"/>
        <v/>
      </c>
      <c r="H15" s="44" t="str">
        <f>IF($D15&gt;0,VLOOKUP($D15,Flight!$A$1:$E$91,3,FALSE),"")</f>
        <v>DEL</v>
      </c>
      <c r="I15" s="44" t="str">
        <f>IF($D15&gt;0,IF(VLOOKUP($D15,Flight!$A$1:$E$91,4,FALSE)&gt;1,VLOOKUP($D15,Flight!$A$1:$E97,4,FALSE),""),"")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>&lt;   Hall Operation   &gt;</v>
      </c>
      <c r="L15" s="166"/>
      <c r="M15" s="166"/>
    </row>
    <row r="16" spans="1:16">
      <c r="A16" s="9">
        <f t="shared" si="4"/>
        <v>9</v>
      </c>
      <c r="B16" s="9" t="str">
        <f t="shared" si="0"/>
        <v>-</v>
      </c>
      <c r="C16" s="9" t="str">
        <f t="shared" si="1"/>
        <v/>
      </c>
      <c r="D16" s="213" t="s">
        <v>902</v>
      </c>
      <c r="E16" s="172" t="str">
        <f>IF($D16&gt;0,VLOOKUP($D16,Flight!$A$1:$E$91,2,FALSE),"")</f>
        <v>0930</v>
      </c>
      <c r="F16" s="46"/>
      <c r="G16" s="43" t="str">
        <f t="shared" si="3"/>
        <v/>
      </c>
      <c r="H16" s="44" t="str">
        <f>IF($D16&gt;0,VLOOKUP($D16,Flight!$A$1:$E$91,3,FALSE),"")</f>
        <v>HYD</v>
      </c>
      <c r="I16" s="44" t="str">
        <f>IF($D16&gt;0,IF(VLOOKUP($D16,Flight!$A$1:$E$91,4,FALSE)&gt;1,VLOOKUP($D16,Flight!$A$1:$E98,4,FALSE),""),"")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/>
      </c>
      <c r="L16" s="166"/>
      <c r="M16" s="166"/>
      <c r="O16" s="114"/>
    </row>
    <row r="17" spans="1:15">
      <c r="A17" s="9">
        <f t="shared" si="4"/>
        <v>10</v>
      </c>
      <c r="B17" s="9" t="str">
        <f t="shared" si="0"/>
        <v>-</v>
      </c>
      <c r="C17" s="9" t="str">
        <f t="shared" si="1"/>
        <v>-</v>
      </c>
      <c r="D17" s="27" t="s">
        <v>370</v>
      </c>
      <c r="E17" s="172" t="str">
        <f>IF($D17&gt;0,VLOOKUP($D17,Flight!$A$1:$E$91,2,FALSE),"")</f>
        <v>0935</v>
      </c>
      <c r="F17" s="45"/>
      <c r="G17" s="43" t="str">
        <f t="shared" si="3"/>
        <v/>
      </c>
      <c r="H17" s="44" t="str">
        <f>IF($D17&gt;0,VLOOKUP($D17,Flight!$A$1:$E$91,3,FALSE),"")</f>
        <v>BLR</v>
      </c>
      <c r="I17" s="44" t="str">
        <f>IF($D17&gt;0,IF(VLOOKUP($D17,Flight!$A$1:$E$91,4,FALSE)&gt;1,VLOOKUP($D17,Flight!$A$1:$E99,4,FALSE),""),"")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>&lt;   Hall Operation   &gt;</v>
      </c>
      <c r="L17" s="166"/>
      <c r="M17" s="166"/>
      <c r="O17" s="114"/>
    </row>
    <row r="18" spans="1:15" ht="16.5" customHeight="1">
      <c r="A18" s="9">
        <f t="shared" si="4"/>
        <v>11</v>
      </c>
      <c r="B18" s="9" t="str">
        <f t="shared" si="0"/>
        <v>-</v>
      </c>
      <c r="C18" s="9" t="str">
        <f t="shared" si="1"/>
        <v>-</v>
      </c>
      <c r="D18" s="27" t="s">
        <v>394</v>
      </c>
      <c r="E18" s="172" t="str">
        <f>IF($D18&gt;0,VLOOKUP($D18,Flight!$A$1:$E$91,2,FALSE),"")</f>
        <v>0950</v>
      </c>
      <c r="F18" s="45"/>
      <c r="G18" s="43" t="str">
        <f t="shared" si="3"/>
        <v/>
      </c>
      <c r="H18" s="44" t="str">
        <f>IF($D18&gt;0,VLOOKUP($D18,Flight!$A$1:$E$91,3,FALSE),"")</f>
        <v>MAA</v>
      </c>
      <c r="I18" s="44" t="str">
        <f>IF($D18&gt;0,IF(VLOOKUP($D18,Flight!$A$1:$E$91,4,FALSE)&gt;1,VLOOKUP($D18,Flight!$A$1:$E100,4,FALSE),""),"")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>&lt;   Hall Operation   &gt;</v>
      </c>
      <c r="L18" s="166"/>
      <c r="M18" s="166"/>
      <c r="O18" s="114"/>
    </row>
    <row r="19" spans="1:15">
      <c r="A19" s="9">
        <f t="shared" si="4"/>
        <v>12</v>
      </c>
      <c r="B19" s="9" t="str">
        <f t="shared" si="0"/>
        <v>-</v>
      </c>
      <c r="C19" s="9" t="str">
        <f t="shared" si="1"/>
        <v>-</v>
      </c>
      <c r="D19" s="27" t="s">
        <v>371</v>
      </c>
      <c r="E19" s="172" t="str">
        <f>IF($D19&gt;0,VLOOKUP($D19,Flight!$A$1:$E$91,2,FALSE),"")</f>
        <v>0955</v>
      </c>
      <c r="F19" s="45"/>
      <c r="G19" s="43" t="str">
        <f t="shared" si="3"/>
        <v/>
      </c>
      <c r="H19" s="44" t="str">
        <f>IF($D19&gt;0,VLOOKUP($D19,Flight!$A$1:$E$91,3,FALSE),"")</f>
        <v>BOM</v>
      </c>
      <c r="I19" s="44" t="str">
        <f>IF($D19&gt;0,IF(VLOOKUP($D19,Flight!$A$1:$E$91,4,FALSE)&gt;1,VLOOKUP($D19,Flight!$A$1:$E101,4,FALSE),""),"")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>&lt;   Hall Operation   &gt;</v>
      </c>
      <c r="L19" s="166"/>
      <c r="M19" s="166"/>
      <c r="O19" s="114"/>
    </row>
    <row r="20" spans="1:15">
      <c r="A20" s="9">
        <f t="shared" si="4"/>
        <v>13</v>
      </c>
      <c r="B20" s="9" t="str">
        <f t="shared" si="0"/>
        <v>-</v>
      </c>
      <c r="C20" s="9" t="str">
        <f t="shared" si="1"/>
        <v/>
      </c>
      <c r="D20" s="27" t="s">
        <v>372</v>
      </c>
      <c r="E20" s="172" t="str">
        <f>IF($D20&gt;0,VLOOKUP($D20,Flight!$A$1:$E$91,2,FALSE),"")</f>
        <v>1000</v>
      </c>
      <c r="F20" s="45"/>
      <c r="G20" s="43" t="str">
        <f t="shared" si="3"/>
        <v/>
      </c>
      <c r="H20" s="44" t="str">
        <f>IF($D20&gt;0,VLOOKUP($D20,Flight!$A$1:$E$91,3,FALSE),"")</f>
        <v>DMK</v>
      </c>
      <c r="I20" s="44" t="str">
        <f>IF($D20&gt;0,IF(VLOOKUP($D20,Flight!$A$1:$E$91,4,FALSE)&gt;1,VLOOKUP($D20,Flight!$A$1:$E102,4,FALSE),""),"")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>
      <c r="A21" s="9">
        <f t="shared" si="4"/>
        <v>14</v>
      </c>
      <c r="B21" s="9" t="str">
        <f t="shared" si="0"/>
        <v>-</v>
      </c>
      <c r="C21" s="9" t="str">
        <f t="shared" si="1"/>
        <v/>
      </c>
      <c r="D21" s="27" t="s">
        <v>373</v>
      </c>
      <c r="E21" s="172" t="str">
        <f>IF($D21&gt;0,VLOOKUP($D21,Flight!$A$1:$E$91,2,FALSE),"")</f>
        <v>1010</v>
      </c>
      <c r="F21" s="45"/>
      <c r="G21" s="43" t="str">
        <f t="shared" si="3"/>
        <v/>
      </c>
      <c r="H21" s="44" t="str">
        <f>IF($D21&gt;0,VLOOKUP($D21,Flight!$A$1:$E$91,3,FALSE),"")</f>
        <v>MNL</v>
      </c>
      <c r="I21" s="44" t="str">
        <f>IF($D21&gt;0,IF(VLOOKUP($D21,Flight!$A$1:$E$91,4,FALSE)&gt;1,VLOOKUP($D21,Flight!$A$1:$E103,4,FALSE),""),"")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 ht="15.75" customHeight="1">
      <c r="A22" s="9">
        <f t="shared" si="4"/>
        <v>15</v>
      </c>
      <c r="B22" s="9" t="str">
        <f t="shared" si="0"/>
        <v>-</v>
      </c>
      <c r="C22" s="9" t="str">
        <f t="shared" si="1"/>
        <v/>
      </c>
      <c r="D22" s="9" t="s">
        <v>374</v>
      </c>
      <c r="E22" s="172" t="str">
        <f>IF($D22&gt;0,VLOOKUP($D22,Flight!$A$1:$E$91,2,FALSE),"")</f>
        <v>1115</v>
      </c>
      <c r="F22" s="44"/>
      <c r="G22" s="43" t="str">
        <f t="shared" si="3"/>
        <v/>
      </c>
      <c r="H22" s="44" t="str">
        <f>IF($D22&gt;0,VLOOKUP($D22,Flight!$A$1:$E$91,3,FALSE),"")</f>
        <v>KUL</v>
      </c>
      <c r="I22" s="44" t="str">
        <f>IF($D22&gt;0,IF(VLOOKUP($D22,Flight!$A$1:$E$91,4,FALSE)&gt;1,VLOOKUP($D22,Flight!$A$1:$E104,4,FALSE),""),"")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>
        <f t="shared" si="4"/>
        <v>16</v>
      </c>
      <c r="B23" s="9" t="str">
        <f t="shared" si="0"/>
        <v>-</v>
      </c>
      <c r="C23" s="9" t="str">
        <f t="shared" si="1"/>
        <v/>
      </c>
      <c r="D23" s="9" t="s">
        <v>375</v>
      </c>
      <c r="E23" s="172" t="str">
        <f>IF($D23&gt;0,VLOOKUP($D23,Flight!$A$1:$E$91,2,FALSE),"")</f>
        <v>1145</v>
      </c>
      <c r="F23" s="44"/>
      <c r="G23" s="43" t="str">
        <f t="shared" si="3"/>
        <v/>
      </c>
      <c r="H23" s="44" t="str">
        <f>IF($D23&gt;0,VLOOKUP($D23,Flight!$A$1:$E$91,3,FALSE),"")</f>
        <v>BKK</v>
      </c>
      <c r="I23" s="44" t="str">
        <f>IF($D23&gt;0,IF(VLOOKUP($D23,Flight!$A$1:$E$91,4,FALSE)&gt;1,VLOOKUP($D23,Flight!$A$1:$E105,4,FALSE),""),"")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>
        <f t="shared" si="4"/>
        <v>17</v>
      </c>
      <c r="B24" s="9" t="str">
        <f t="shared" si="0"/>
        <v>-</v>
      </c>
      <c r="C24" s="9" t="str">
        <f t="shared" si="1"/>
        <v/>
      </c>
      <c r="D24" s="9" t="s">
        <v>900</v>
      </c>
      <c r="E24" s="172" t="str">
        <f>IF($D24&gt;0,VLOOKUP($D24,Flight!$A$1:$E$91,2,FALSE),"")</f>
        <v>1210</v>
      </c>
      <c r="F24" s="44"/>
      <c r="G24" s="43" t="str">
        <f t="shared" si="3"/>
        <v/>
      </c>
      <c r="H24" s="44" t="str">
        <f>IF($D24&gt;0,VLOOKUP($D24,Flight!$A$1:$E$91,3,FALSE),"")</f>
        <v>BKK</v>
      </c>
      <c r="I24" s="44" t="str">
        <f>IF($D24&gt;0,IF(VLOOKUP($D24,Flight!$A$1:$E$91,4,FALSE)&gt;1,VLOOKUP($D24,Flight!$A$1:$E106,4,FALSE),""),"")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>
        <f t="shared" si="4"/>
        <v>18</v>
      </c>
      <c r="B25" s="9" t="str">
        <f t="shared" si="0"/>
        <v>-</v>
      </c>
      <c r="C25" s="9" t="str">
        <f t="shared" si="1"/>
        <v/>
      </c>
      <c r="D25" s="27" t="s">
        <v>376</v>
      </c>
      <c r="E25" s="172" t="str">
        <f>IF($D25&gt;0,VLOOKUP($D25,Flight!$A$1:$E$91,2,FALSE),"")</f>
        <v>1305</v>
      </c>
      <c r="F25" s="45"/>
      <c r="G25" s="43" t="str">
        <f t="shared" si="3"/>
        <v/>
      </c>
      <c r="H25" s="44" t="str">
        <f>IF($D25&gt;0,VLOOKUP($D25,Flight!$A$1:$E$91,3,FALSE),"")</f>
        <v>DMK</v>
      </c>
      <c r="I25" s="44" t="str">
        <f>IF($D25&gt;0,IF(VLOOKUP($D25,Flight!$A$1:$E$91,4,FALSE)&gt;1,VLOOKUP($D25,Flight!$A$1:$E107,4,FALSE),""),"")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>
        <f t="shared" si="4"/>
        <v>19</v>
      </c>
      <c r="B26" s="9" t="str">
        <f t="shared" si="0"/>
        <v>-</v>
      </c>
      <c r="C26" s="9" t="str">
        <f t="shared" si="1"/>
        <v>-</v>
      </c>
      <c r="D26" s="27" t="s">
        <v>377</v>
      </c>
      <c r="E26" s="172" t="str">
        <f>IF($D26&gt;0,VLOOKUP($D26,Flight!$A$1:$E$91,2,FALSE),"")</f>
        <v>1310</v>
      </c>
      <c r="F26" s="45"/>
      <c r="G26" s="43" t="str">
        <f t="shared" si="3"/>
        <v/>
      </c>
      <c r="H26" s="44" t="str">
        <f>IF($D26&gt;0,VLOOKUP($D26,Flight!$A$1:$E$91,3,FALSE),"")</f>
        <v>DEL</v>
      </c>
      <c r="I26" s="44" t="str">
        <f>IF($D26&gt;0,IF(VLOOKUP($D26,Flight!$A$1:$E$91,4,FALSE)&gt;1,VLOOKUP($D26,Flight!$A$1:$E108,4,FALSE),""),"")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>&lt;   Hall Operation   &gt;</v>
      </c>
      <c r="L26" s="166"/>
      <c r="M26" s="166"/>
      <c r="O26" s="114"/>
    </row>
    <row r="27" spans="1:15">
      <c r="A27" s="9">
        <f t="shared" si="4"/>
        <v>20</v>
      </c>
      <c r="B27" s="9" t="str">
        <f t="shared" si="0"/>
        <v>-</v>
      </c>
      <c r="C27" s="9" t="str">
        <f t="shared" si="1"/>
        <v/>
      </c>
      <c r="D27" s="27" t="s">
        <v>378</v>
      </c>
      <c r="E27" s="172" t="str">
        <f>IF($D27&gt;0,VLOOKUP($D27,Flight!$A$1:$E$91,2,FALSE),"")</f>
        <v>1415</v>
      </c>
      <c r="F27" s="44"/>
      <c r="G27" s="43" t="str">
        <f t="shared" si="3"/>
        <v/>
      </c>
      <c r="H27" s="44" t="str">
        <f>IF($D27&gt;0,VLOOKUP($D27,Flight!$A$1:$E$91,3,FALSE),"")</f>
        <v>KUL</v>
      </c>
      <c r="I27" s="44" t="str">
        <f>IF($D27&gt;0,IF(VLOOKUP($D27,Flight!$A$1:$E$91,4,FALSE)&gt;1,VLOOKUP($D27,Flight!$A$1:$E109,4,FALSE),""),"")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>
        <f t="shared" si="4"/>
        <v>21</v>
      </c>
      <c r="B28" s="9" t="str">
        <f t="shared" si="0"/>
        <v>-</v>
      </c>
      <c r="C28" s="9" t="str">
        <f t="shared" si="1"/>
        <v/>
      </c>
      <c r="D28" s="27" t="s">
        <v>379</v>
      </c>
      <c r="E28" s="172" t="str">
        <f>IF($D28&gt;0,VLOOKUP($D28,Flight!$A$1:$E$91,2,FALSE),"")</f>
        <v>1420</v>
      </c>
      <c r="F28" s="45"/>
      <c r="G28" s="43" t="str">
        <f t="shared" si="3"/>
        <v/>
      </c>
      <c r="H28" s="44" t="str">
        <f>IF($D28&gt;0,VLOOKUP($D28,Flight!$A$1:$E$91,3,FALSE),"")</f>
        <v>BKK</v>
      </c>
      <c r="I28" s="44" t="str">
        <f>IF($D28&gt;0,IF(VLOOKUP($D28,Flight!$A$1:$E$91,4,FALSE)&gt;1,VLOOKUP($D28,Flight!$A$1:$E110,4,FALSE),""),"")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  <c r="O28" s="114"/>
    </row>
    <row r="29" spans="1:15">
      <c r="A29" s="9">
        <f t="shared" si="4"/>
        <v>22</v>
      </c>
      <c r="B29" s="9" t="str">
        <f t="shared" si="0"/>
        <v>-</v>
      </c>
      <c r="C29" s="9" t="str">
        <f t="shared" si="1"/>
        <v/>
      </c>
      <c r="D29" s="27" t="s">
        <v>380</v>
      </c>
      <c r="E29" s="172" t="str">
        <f>IF($D29&gt;0,VLOOKUP($D29,Flight!$A$1:$E$91,2,FALSE),"")</f>
        <v>1455</v>
      </c>
      <c r="F29" s="49"/>
      <c r="G29" s="43" t="str">
        <f t="shared" si="3"/>
        <v/>
      </c>
      <c r="H29" s="44" t="str">
        <f>IF($D29&gt;0,VLOOKUP($D29,Flight!$A$1:$E$91,3,FALSE),"")</f>
        <v>ADD</v>
      </c>
      <c r="I29" s="44" t="str">
        <f>IF($D29&gt;0,IF(VLOOKUP($D29,Flight!$A$1:$E$91,4,FALSE)&gt;1,VLOOKUP($D29,Flight!$A$1:$E112,4,FALSE),""),"")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>
        <f t="shared" si="4"/>
        <v>23</v>
      </c>
      <c r="B30" s="9" t="str">
        <f t="shared" si="0"/>
        <v>-</v>
      </c>
      <c r="C30" s="9" t="str">
        <f t="shared" si="1"/>
        <v/>
      </c>
      <c r="D30" s="27" t="s">
        <v>381</v>
      </c>
      <c r="E30" s="172" t="str">
        <f>IF($D30&gt;0,VLOOKUP($D30,Flight!$A$1:$E$91,2,FALSE),"")</f>
        <v>1510</v>
      </c>
      <c r="F30" s="45"/>
      <c r="G30" s="43" t="str">
        <f t="shared" si="3"/>
        <v/>
      </c>
      <c r="H30" s="44" t="str">
        <f>IF($D30&gt;0,VLOOKUP($D30,Flight!$A$1:$E$91,3,FALSE),"")</f>
        <v>DOH</v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>
      <c r="A31" s="9">
        <f t="shared" si="4"/>
        <v>24</v>
      </c>
      <c r="B31" s="9" t="str">
        <f t="shared" si="0"/>
        <v>-</v>
      </c>
      <c r="C31" s="9" t="str">
        <f t="shared" si="1"/>
        <v/>
      </c>
      <c r="D31" s="27" t="s">
        <v>382</v>
      </c>
      <c r="E31" s="172" t="str">
        <f>IF($D31&gt;0,VLOOKUP($D31,Flight!$A$1:$E$91,2,FALSE),"")</f>
        <v>1715</v>
      </c>
      <c r="F31" s="45"/>
      <c r="G31" s="43" t="str">
        <f t="shared" si="3"/>
        <v/>
      </c>
      <c r="H31" s="44" t="str">
        <f>IF($D31&gt;0,VLOOKUP($D31,Flight!$A$1:$E$91,3,FALSE),"")</f>
        <v>IST</v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2"/>
        <v/>
      </c>
      <c r="L31" s="166"/>
      <c r="M31" s="166"/>
    </row>
    <row r="32" spans="1:15">
      <c r="A32" s="9">
        <f t="shared" si="4"/>
        <v>25</v>
      </c>
      <c r="B32" s="9" t="str">
        <f t="shared" si="0"/>
        <v>-</v>
      </c>
      <c r="C32" s="9" t="str">
        <f t="shared" si="1"/>
        <v/>
      </c>
      <c r="D32" s="27" t="s">
        <v>391</v>
      </c>
      <c r="E32" s="172" t="str">
        <f>IF($D32&gt;0,VLOOKUP($D32,Flight!$A$1:$E$91,2,FALSE),"")</f>
        <v>1720</v>
      </c>
      <c r="F32" s="46"/>
      <c r="G32" s="43" t="str">
        <f t="shared" si="3"/>
        <v/>
      </c>
      <c r="H32" s="44" t="str">
        <f>IF($D32&gt;0,VLOOKUP($D32,Flight!$A$1:$E$91,3,FALSE),"")</f>
        <v>MNL</v>
      </c>
      <c r="I32" s="44" t="str">
        <f>IF($D32&gt;0,IF(VLOOKUP($D32,Flight!$A$1:$E$91,4,FALSE)&gt;1,VLOOKUP($D32,Flight!$A$1:$E115,4,FALSE),""),"")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2"/>
        <v/>
      </c>
      <c r="L32" s="166"/>
      <c r="M32" s="166"/>
    </row>
    <row r="33" spans="1:18" s="349" customFormat="1">
      <c r="A33" s="9">
        <f t="shared" si="4"/>
        <v>26</v>
      </c>
      <c r="B33" s="9" t="str">
        <f t="shared" si="0"/>
        <v>-</v>
      </c>
      <c r="C33" s="9" t="str">
        <f t="shared" si="1"/>
        <v/>
      </c>
      <c r="D33" s="27" t="s">
        <v>1006</v>
      </c>
      <c r="E33" s="172" t="str">
        <f>IF($D33&gt;0,VLOOKUP($D33,Flight!$A$1:$E$91,2,FALSE),"")</f>
        <v>1745</v>
      </c>
      <c r="F33" s="46"/>
      <c r="G33" s="43" t="str">
        <f t="shared" ref="G33" si="5">IF(A33="@",IF(H33="ZYK","Berth 3",IF(H33="HKM","Bay 7","")),"")</f>
        <v/>
      </c>
      <c r="H33" s="44" t="str">
        <f>IF($D33&gt;0,VLOOKUP($D33,Flight!$A$1:$E$91,3,FALSE),"")</f>
        <v>BKK</v>
      </c>
      <c r="I33" s="44"/>
      <c r="J33" s="44"/>
      <c r="K33" s="166"/>
      <c r="L33" s="166"/>
      <c r="M33" s="166"/>
      <c r="O33" s="112"/>
    </row>
    <row r="34" spans="1:18">
      <c r="A34" s="9">
        <f t="shared" si="4"/>
        <v>27</v>
      </c>
      <c r="B34" s="9" t="str">
        <f t="shared" si="0"/>
        <v>-</v>
      </c>
      <c r="C34" s="9" t="str">
        <f t="shared" si="1"/>
        <v/>
      </c>
      <c r="D34" s="27" t="s">
        <v>383</v>
      </c>
      <c r="E34" s="172" t="str">
        <f>IF($D34&gt;0,VLOOKUP($D34,Flight!$A$1:$E$91,2,FALSE),"")</f>
        <v>1755</v>
      </c>
      <c r="F34" s="45"/>
      <c r="G34" s="43" t="str">
        <f t="shared" si="3"/>
        <v/>
      </c>
      <c r="H34" s="44" t="str">
        <f>IF($D34&gt;0,VLOOKUP($D34,Flight!$A$1:$E$91,3,FALSE),"")</f>
        <v>KUL</v>
      </c>
      <c r="I34" s="44" t="str">
        <f>IF($D34&gt;0,IF(VLOOKUP($D34,Flight!$A$1:$E$91,4,FALSE)&gt;1,VLOOKUP($D34,Flight!$A$1:$E116,4,FALSE),""),"")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ref="K34:K41" si="6">IF($D34=0,"",IF(OR(ISNUMBER(SEARCH("S",$B34)),_xlfn.IFNA(MATCH($D34,$D$105:$D$115,0)&lt;20,"")=TRUE),"&lt;   Hall Operation   &gt;",""))</f>
        <v/>
      </c>
      <c r="L34" s="166"/>
      <c r="M34" s="166"/>
    </row>
    <row r="35" spans="1:18">
      <c r="A35" s="9">
        <f t="shared" si="4"/>
        <v>28</v>
      </c>
      <c r="B35" s="9" t="str">
        <f t="shared" si="0"/>
        <v>-</v>
      </c>
      <c r="C35" s="9" t="str">
        <f t="shared" si="1"/>
        <v/>
      </c>
      <c r="D35" s="27" t="s">
        <v>384</v>
      </c>
      <c r="E35" s="172" t="str">
        <f>IF($D35&gt;0,VLOOKUP($D35,Flight!$A$1:$E$91,2,FALSE),"")</f>
        <v>1805</v>
      </c>
      <c r="F35" s="45"/>
      <c r="G35" s="43" t="str">
        <f t="shared" si="3"/>
        <v/>
      </c>
      <c r="H35" s="44" t="str">
        <f>IF($D35&gt;0,VLOOKUP($D35,Flight!$A$1:$E$91,3,FALSE),"")</f>
        <v>DXB</v>
      </c>
      <c r="I35" s="44" t="str">
        <f>IF($D35&gt;0,IF(VLOOKUP($D35,Flight!$A$1:$E$91,4,FALSE)&gt;1,VLOOKUP($D35,Flight!$A$1:$E117,4,FALSE),""),"")</f>
        <v>BKK</v>
      </c>
      <c r="J35" s="44" t="str">
        <f>IF($D35&gt;0,IF(VLOOKUP($D35,Flight!$A$1:$E$91,5,FALSE)&gt;1,VLOOKUP($D35,Flight!$A$1:$E$91,5,FALSE),""),"")</f>
        <v/>
      </c>
      <c r="K35" s="166" t="str">
        <f t="shared" si="6"/>
        <v/>
      </c>
      <c r="L35" s="166"/>
      <c r="M35" s="167"/>
      <c r="P35" s="84"/>
    </row>
    <row r="36" spans="1:18">
      <c r="A36" s="9">
        <f t="shared" si="4"/>
        <v>29</v>
      </c>
      <c r="B36" s="9" t="str">
        <f t="shared" si="0"/>
        <v>-</v>
      </c>
      <c r="C36" s="9" t="str">
        <f t="shared" si="1"/>
        <v/>
      </c>
      <c r="D36" s="27" t="s">
        <v>385</v>
      </c>
      <c r="E36" s="172" t="str">
        <f>IF($D36&gt;0,VLOOKUP($D36,Flight!$A$1:$E$91,2,FALSE),"")</f>
        <v>1810</v>
      </c>
      <c r="F36" s="45"/>
      <c r="G36" s="43" t="str">
        <f t="shared" si="3"/>
        <v/>
      </c>
      <c r="H36" s="44" t="str">
        <f>IF($D36&gt;0,VLOOKUP($D36,Flight!$A$1:$E$91,3,FALSE),"")</f>
        <v>MNL</v>
      </c>
      <c r="I36" s="44" t="str">
        <f>IF($D36&gt;0,IF(VLOOKUP($D36,Flight!$A$1:$E$91,4,FALSE)&gt;1,VLOOKUP($D36,Flight!$A$1:$E118,4,FALSE),""),"")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6"/>
        <v/>
      </c>
      <c r="L36" s="166"/>
      <c r="M36" s="167"/>
      <c r="O36" s="115"/>
      <c r="P36" s="87"/>
    </row>
    <row r="37" spans="1:18">
      <c r="A37" s="9">
        <f t="shared" si="4"/>
        <v>30</v>
      </c>
      <c r="B37" s="9" t="str">
        <f t="shared" si="0"/>
        <v>-</v>
      </c>
      <c r="C37" s="9" t="str">
        <f t="shared" si="1"/>
        <v/>
      </c>
      <c r="D37" s="27" t="s">
        <v>387</v>
      </c>
      <c r="E37" s="172" t="str">
        <f>IF($D37&gt;0,VLOOKUP($D37,Flight!$A$1:$E$91,2,FALSE),"")</f>
        <v>1920</v>
      </c>
      <c r="F37" s="45"/>
      <c r="G37" s="43" t="str">
        <f t="shared" si="3"/>
        <v/>
      </c>
      <c r="H37" s="44" t="str">
        <f>IF($D37&gt;0,VLOOKUP($D37,Flight!$A$1:$E$91,3,FALSE),"")</f>
        <v>DMK</v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6"/>
        <v/>
      </c>
      <c r="L37" s="166"/>
      <c r="M37" s="167"/>
      <c r="O37" s="4"/>
      <c r="P37" s="4"/>
      <c r="Q37" s="4"/>
      <c r="R37" s="4"/>
    </row>
    <row r="38" spans="1:18" ht="16.5">
      <c r="A38" s="9">
        <f t="shared" si="4"/>
        <v>31</v>
      </c>
      <c r="B38" s="9" t="str">
        <f t="shared" si="0"/>
        <v>-</v>
      </c>
      <c r="C38" s="9" t="str">
        <f t="shared" si="1"/>
        <v/>
      </c>
      <c r="D38" s="27" t="s">
        <v>388</v>
      </c>
      <c r="E38" s="172" t="str">
        <f>IF($D38&gt;0,VLOOKUP($D38,Flight!$A$1:$E$91,2,FALSE),"")</f>
        <v>1950</v>
      </c>
      <c r="F38" s="45"/>
      <c r="G38" s="43" t="str">
        <f t="shared" si="3"/>
        <v/>
      </c>
      <c r="H38" s="44" t="str">
        <f>IF($D38&gt;0,VLOOKUP($D38,Flight!$A$1:$E$91,3,FALSE),"")</f>
        <v>BKK</v>
      </c>
      <c r="I38" s="44" t="str">
        <f>IF($D38&gt;0,IF(VLOOKUP($D38,Flight!$A$1:$E$91,4,FALSE)&gt;1,VLOOKUP($D38,Flight!$A$1:$E121,4,FALSE),""),"")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6"/>
        <v/>
      </c>
      <c r="L38" s="166"/>
      <c r="M38" s="166"/>
      <c r="O38" s="4"/>
      <c r="P38" s="89"/>
      <c r="Q38" s="4"/>
      <c r="R38" s="4"/>
    </row>
    <row r="39" spans="1:18" ht="16.5">
      <c r="A39" s="9">
        <f t="shared" si="4"/>
        <v>32</v>
      </c>
      <c r="B39" s="9" t="str">
        <f t="shared" si="0"/>
        <v>-</v>
      </c>
      <c r="C39" s="9" t="str">
        <f t="shared" si="1"/>
        <v/>
      </c>
      <c r="D39" s="27" t="s">
        <v>389</v>
      </c>
      <c r="E39" s="172" t="str">
        <f>IF($D39&gt;0,VLOOKUP($D39,Flight!$A$1:$E$91,2,FALSE),"")</f>
        <v>2030</v>
      </c>
      <c r="F39" s="45"/>
      <c r="G39" s="43" t="str">
        <f t="shared" si="3"/>
        <v/>
      </c>
      <c r="H39" s="44" t="str">
        <f>IF($D39&gt;0,VLOOKUP($D39,Flight!$A$1:$E$91,3,FALSE),"")</f>
        <v>CGK</v>
      </c>
      <c r="I39" s="44" t="str">
        <f>IF($D39&gt;0,IF(VLOOKUP($D39,Flight!$A$1:$E$91,4,FALSE)&gt;1,VLOOKUP($D39,Flight!$A$1:$E122,4,FALSE),""),"")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si="6"/>
        <v/>
      </c>
      <c r="L39" s="166"/>
      <c r="M39" s="166"/>
      <c r="O39" s="4"/>
      <c r="P39" s="89"/>
      <c r="Q39" s="4"/>
      <c r="R39" s="4"/>
    </row>
    <row r="40" spans="1:18" ht="16.5">
      <c r="A40" s="9">
        <f t="shared" si="4"/>
        <v>33</v>
      </c>
      <c r="B40" s="9" t="str">
        <f t="shared" si="0"/>
        <v>-</v>
      </c>
      <c r="C40" s="9" t="str">
        <f t="shared" si="1"/>
        <v>S3</v>
      </c>
      <c r="D40" s="27" t="s">
        <v>390</v>
      </c>
      <c r="E40" s="172" t="str">
        <f>IF($D40&gt;0,VLOOKUP($D40,Flight!$A$1:$E$91,2,FALSE),"")</f>
        <v>2155</v>
      </c>
      <c r="F40" s="45"/>
      <c r="G40" s="43" t="str">
        <f t="shared" si="3"/>
        <v/>
      </c>
      <c r="H40" s="44" t="str">
        <f>IF($D40&gt;0,VLOOKUP($D40,Flight!$A$1:$E$91,3,FALSE),"")</f>
        <v>DOH</v>
      </c>
      <c r="I40" s="44" t="str">
        <f>IF($D40&gt;0,IF(VLOOKUP($D40,Flight!$A$1:$E$91,4,FALSE)&gt;1,VLOOKUP($D40,Flight!$A$1:$E124,4,FALSE),""),"")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6"/>
        <v/>
      </c>
      <c r="L40" s="166"/>
      <c r="M40" s="166"/>
      <c r="O40" s="4"/>
      <c r="P40" s="89"/>
      <c r="Q40" s="4"/>
      <c r="R40" s="4"/>
    </row>
    <row r="41" spans="1:18" ht="16.5">
      <c r="A41" s="9">
        <f t="shared" si="4"/>
        <v>34</v>
      </c>
      <c r="B41" s="9" t="str">
        <f t="shared" si="0"/>
        <v>-</v>
      </c>
      <c r="C41" s="9" t="str">
        <f t="shared" si="1"/>
        <v>S3</v>
      </c>
      <c r="D41" s="27" t="s">
        <v>392</v>
      </c>
      <c r="E41" s="172" t="str">
        <f>IF($D41&gt;0,VLOOKUP($D41,Flight!$A$1:$E$91,2,FALSE),"")</f>
        <v>2320</v>
      </c>
      <c r="F41" s="45"/>
      <c r="G41" s="43" t="str">
        <f t="shared" si="3"/>
        <v/>
      </c>
      <c r="H41" s="44" t="str">
        <f>IF($D41&gt;0,VLOOKUP($D41,Flight!$A$1:$E$91,3,FALSE),"")</f>
        <v>BKK</v>
      </c>
      <c r="I41" s="44" t="str">
        <f>IF($D41&gt;0,IF(VLOOKUP($D41,Flight!$A$1:$E$91,4,FALSE)&gt;1,VLOOKUP($D41,Flight!$A$1:$E125,4,FALSE),""),"")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6"/>
        <v/>
      </c>
      <c r="L41" s="166"/>
      <c r="M41" s="166"/>
      <c r="O41" s="4"/>
      <c r="P41" s="89"/>
      <c r="Q41" s="4"/>
      <c r="R41" s="4"/>
    </row>
    <row r="42" spans="1:18">
      <c r="A42" s="376" t="s">
        <v>5</v>
      </c>
      <c r="B42" s="376"/>
      <c r="C42" s="376"/>
      <c r="D42" s="376"/>
      <c r="E42" s="376"/>
      <c r="F42" s="376"/>
      <c r="G42" s="50"/>
      <c r="H42" s="321" t="s">
        <v>40</v>
      </c>
      <c r="I42" s="377"/>
      <c r="J42" s="377"/>
      <c r="K42" s="377"/>
      <c r="L42" s="377"/>
      <c r="M42" s="377"/>
      <c r="N42" s="5"/>
    </row>
    <row r="43" spans="1:18">
      <c r="A43" s="379" t="s">
        <v>35</v>
      </c>
      <c r="B43" s="379"/>
      <c r="C43" s="379" t="s">
        <v>31</v>
      </c>
      <c r="D43" s="379"/>
      <c r="E43" s="379"/>
      <c r="F43" s="379"/>
      <c r="G43" s="379"/>
      <c r="H43" s="379"/>
      <c r="I43" s="378"/>
      <c r="J43" s="378"/>
      <c r="K43" s="378"/>
      <c r="L43" s="378"/>
      <c r="M43" s="378"/>
    </row>
    <row r="44" spans="1:18">
      <c r="A44" s="379"/>
      <c r="B44" s="379"/>
      <c r="C44" s="379"/>
      <c r="D44" s="379"/>
      <c r="E44" s="379"/>
      <c r="F44" s="379"/>
      <c r="G44" s="379"/>
      <c r="H44" s="379"/>
      <c r="I44" s="51"/>
      <c r="J44" s="51"/>
      <c r="K44" s="6"/>
      <c r="L44" s="6"/>
      <c r="M44" s="6"/>
    </row>
    <row r="45" spans="1:18">
      <c r="A45" s="389" t="s">
        <v>216</v>
      </c>
      <c r="B45" s="389"/>
      <c r="C45" s="323" t="str">
        <f>VLOOKUP($D$45,Staff!$B$2:$D$41,2,FALSE)</f>
        <v>CIA</v>
      </c>
      <c r="D45" s="375" t="str">
        <f>VLOOKUP(VLOOKUP($E$57,$E$61:$J$72,6,FALSE),Staff!$A$2:$D$13,2,FALSE)</f>
        <v>HF WAN</v>
      </c>
      <c r="E45" s="375"/>
      <c r="F45" s="325" t="s">
        <v>215</v>
      </c>
      <c r="G45" s="390" t="str">
        <f>VLOOKUP($D$45,Staff!$B$2:$D$39,3,FALSE)</f>
        <v>9523 5380</v>
      </c>
      <c r="H45" s="390"/>
      <c r="I45" s="391" t="s">
        <v>223</v>
      </c>
      <c r="J45" s="391"/>
      <c r="K45" s="375" t="str">
        <f>IF(COUNTIF($E$61:$E$64,$E$57)&gt;0,Staff!$G$2,"")&amp;IF(COUNTIF($E$65:$E$68,$E$57)&gt;0,Staff!$G$3,"")&amp;IF(COUNTIF($E$69:$E$72,$E$57)&gt;0,Staff!$G$4,"")</f>
        <v>WONG, TSZ MING</v>
      </c>
      <c r="L45" s="375"/>
      <c r="M45" s="375"/>
    </row>
    <row r="46" spans="1:18">
      <c r="A46" s="389" t="s">
        <v>217</v>
      </c>
      <c r="B46" s="389"/>
      <c r="C46" s="323" t="str">
        <f>VLOOKUP($D$46,Staff!$B$2:$D$41,2,FALSE)</f>
        <v>CIA</v>
      </c>
      <c r="D46" s="375" t="str">
        <f>VLOOKUP(VLOOKUP($E$58,$E$61:$J$72,6,FALSE),Staff!$A$2:$D$13,2,FALSE)</f>
        <v>HY CHOY</v>
      </c>
      <c r="E46" s="375"/>
      <c r="F46" s="325" t="s">
        <v>215</v>
      </c>
      <c r="G46" s="390" t="str">
        <f>VLOOKUP($D$46,Staff!$B$2:$D$39,3,FALSE)</f>
        <v>6155 6957</v>
      </c>
      <c r="H46" s="390"/>
      <c r="I46" s="391" t="s">
        <v>224</v>
      </c>
      <c r="J46" s="391"/>
      <c r="K46" s="375" t="str">
        <f>IF(COUNTIF($E$61:$E$64,$E$58)&gt;0,Staff!$G$2,"")&amp;IF(COUNTIF($E$65:$E$68,$E$58)&gt;0,Staff!$G$3,"")&amp;IF(COUNTIF($E$69:$E$72,$E$58)&gt;0,Staff!$G$4,"")</f>
        <v>LIU, WAI FUN (F)</v>
      </c>
      <c r="L46" s="375"/>
      <c r="M46" s="375"/>
    </row>
    <row r="47" spans="1:18">
      <c r="A47" s="329"/>
      <c r="B47" s="329"/>
      <c r="C47" s="327"/>
      <c r="D47" s="395"/>
      <c r="E47" s="395"/>
      <c r="F47" s="324"/>
      <c r="G47" s="396"/>
      <c r="H47" s="396"/>
      <c r="I47" s="390"/>
      <c r="J47" s="390"/>
      <c r="K47" s="143"/>
      <c r="L47" s="143"/>
      <c r="M47" s="143"/>
    </row>
    <row r="48" spans="1:18">
      <c r="A48" s="397" t="s">
        <v>4</v>
      </c>
      <c r="B48" s="397"/>
      <c r="C48" s="396" t="s">
        <v>218</v>
      </c>
      <c r="D48" s="396"/>
      <c r="E48" s="396"/>
      <c r="F48" s="154" t="s">
        <v>213</v>
      </c>
      <c r="G48" s="398" t="str">
        <f>IF(COUNTIF($E$61:$E$64,$E$57)&gt;0,Staff!$G$14,"")&amp;IF(COUNTIF($E$65:$E$68,$E$57)&gt;0,Staff!$G$13,"")&amp;IF(COUNTIF($E$69:$E$72,$E$57)&gt;0,Staff!$G$12,"")</f>
        <v>CHONG, MAN LOK</v>
      </c>
      <c r="H48" s="398"/>
      <c r="I48" s="398"/>
      <c r="J48" s="333" t="s">
        <v>209</v>
      </c>
      <c r="K48" s="390" t="str">
        <f>VLOOKUP(VLOOKUP($B$3,$E$61:$J$72,6,FALSE),Staff!$F$22:$G$47,2,FALSE)</f>
        <v>AU, NELSON</v>
      </c>
      <c r="L48" s="390"/>
      <c r="M48" s="390"/>
      <c r="N48" s="12"/>
    </row>
    <row r="49" spans="1:13">
      <c r="A49" s="155"/>
      <c r="B49" s="155"/>
      <c r="C49" s="396" t="s">
        <v>219</v>
      </c>
      <c r="D49" s="396"/>
      <c r="E49" s="396"/>
      <c r="F49" s="154" t="s">
        <v>214</v>
      </c>
      <c r="G49" s="375" t="str">
        <f>IF(COUNTIF($E$61:$E$64,$E$58)&gt;0,Staff!$G$14,"")&amp;IF(COUNTIF($E$65:$E$68,$E$58)&gt;0,Staff!$G$13,"")&amp;IF(COUNTIF($E$69:$E$72,$E$58)&gt;0,Staff!$G$12,"")</f>
        <v>HO, KWOK WUN D</v>
      </c>
      <c r="H49" s="375"/>
      <c r="I49" s="375"/>
      <c r="J49" s="333" t="s">
        <v>208</v>
      </c>
      <c r="K49" s="390"/>
      <c r="L49" s="390"/>
      <c r="M49" s="390"/>
    </row>
    <row r="50" spans="1:13">
      <c r="A50" s="320"/>
      <c r="B50" s="320"/>
      <c r="C50" s="327"/>
      <c r="D50" s="401"/>
      <c r="E50" s="401"/>
      <c r="F50" s="401"/>
      <c r="G50" s="401"/>
      <c r="H50" s="401"/>
      <c r="I50" s="401"/>
      <c r="J50" s="333" t="s">
        <v>210</v>
      </c>
      <c r="K50" s="390"/>
      <c r="L50" s="390"/>
      <c r="M50" s="390"/>
    </row>
    <row r="51" spans="1:13">
      <c r="A51" s="392" t="s">
        <v>3</v>
      </c>
      <c r="B51" s="393"/>
      <c r="C51" s="394" t="s">
        <v>220</v>
      </c>
      <c r="D51" s="394"/>
      <c r="E51" s="394"/>
      <c r="F51" s="397" t="s">
        <v>408</v>
      </c>
      <c r="G51" s="397"/>
      <c r="H51" s="397"/>
      <c r="I51" s="397"/>
      <c r="J51" s="333" t="s">
        <v>211</v>
      </c>
      <c r="K51" s="390"/>
      <c r="L51" s="390"/>
      <c r="M51" s="390"/>
    </row>
    <row r="52" spans="1:13">
      <c r="A52" s="393" t="s">
        <v>2</v>
      </c>
      <c r="B52" s="393"/>
      <c r="C52" s="411" t="s">
        <v>221</v>
      </c>
      <c r="D52" s="411"/>
      <c r="E52" s="411"/>
      <c r="F52" s="412" t="s">
        <v>1</v>
      </c>
      <c r="G52" s="412"/>
      <c r="H52" s="400" t="s">
        <v>409</v>
      </c>
      <c r="I52" s="400"/>
      <c r="J52" s="333" t="s">
        <v>212</v>
      </c>
      <c r="K52" s="390"/>
      <c r="L52" s="390"/>
      <c r="M52" s="390"/>
    </row>
    <row r="53" spans="1:13">
      <c r="A53" s="155"/>
      <c r="B53" s="155"/>
      <c r="C53" s="320"/>
      <c r="D53" s="399"/>
      <c r="E53" s="399"/>
      <c r="F53" s="391"/>
      <c r="G53" s="391"/>
      <c r="H53" s="400" t="s">
        <v>410</v>
      </c>
      <c r="I53" s="400"/>
      <c r="J53" s="326"/>
      <c r="K53" s="329"/>
      <c r="L53" s="329"/>
      <c r="M53" s="47"/>
    </row>
    <row r="54" spans="1:13" ht="16.5" customHeight="1">
      <c r="A54" s="392" t="s">
        <v>0</v>
      </c>
      <c r="B54" s="392"/>
      <c r="C54" s="407" t="s">
        <v>222</v>
      </c>
      <c r="D54" s="407"/>
      <c r="E54" s="407"/>
      <c r="F54" s="326"/>
      <c r="G54" s="333"/>
      <c r="H54" s="394" t="s">
        <v>411</v>
      </c>
      <c r="I54" s="394"/>
      <c r="J54" s="332"/>
      <c r="K54" s="329"/>
      <c r="L54" s="329"/>
      <c r="M54" s="47"/>
    </row>
    <row r="55" spans="1:13">
      <c r="C55" s="408"/>
      <c r="D55" s="408"/>
      <c r="E55" s="408"/>
      <c r="F55" s="408"/>
      <c r="G55" s="408"/>
      <c r="H55" s="408"/>
      <c r="J55" s="53"/>
      <c r="K55" s="112"/>
      <c r="L55" s="112"/>
    </row>
    <row r="56" spans="1:13" ht="16.5" thickBot="1">
      <c r="A56" s="3"/>
      <c r="B56" s="3"/>
      <c r="C56" s="3"/>
      <c r="D56" s="2"/>
      <c r="E56" s="39"/>
      <c r="F56" s="331"/>
      <c r="G56" s="331"/>
      <c r="I56" s="409"/>
      <c r="J56" s="409"/>
      <c r="K56" s="112"/>
      <c r="L56" s="112"/>
    </row>
    <row r="57" spans="1:13">
      <c r="D57" s="330"/>
      <c r="E57" s="90" t="s">
        <v>133</v>
      </c>
      <c r="F57" s="91" t="s">
        <v>135</v>
      </c>
      <c r="G57" s="91"/>
      <c r="H57" s="92"/>
      <c r="I57" s="330"/>
      <c r="J57" s="330"/>
    </row>
    <row r="58" spans="1:13" ht="16.5" thickBot="1">
      <c r="D58" s="330"/>
      <c r="E58" s="93" t="s">
        <v>134</v>
      </c>
      <c r="F58" s="94" t="s">
        <v>136</v>
      </c>
      <c r="G58" s="94"/>
      <c r="H58" s="95"/>
      <c r="I58" s="330"/>
      <c r="J58" s="330"/>
    </row>
    <row r="59" spans="1:13">
      <c r="D59" s="330"/>
      <c r="E59" s="330"/>
      <c r="F59" s="330"/>
      <c r="G59" s="330"/>
      <c r="H59" s="330"/>
      <c r="I59" s="330"/>
      <c r="J59" s="330"/>
    </row>
    <row r="60" spans="1:13" ht="16.5" thickBot="1">
      <c r="D60" s="85" t="s">
        <v>132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98</v>
      </c>
      <c r="J60" s="330"/>
      <c r="K60" s="96" t="s">
        <v>302</v>
      </c>
      <c r="L60" s="96" t="s">
        <v>303</v>
      </c>
      <c r="M60" s="96"/>
    </row>
    <row r="61" spans="1:13">
      <c r="D61" s="97" t="s">
        <v>86</v>
      </c>
      <c r="E61" s="98" t="str">
        <f>_xlfn.IFNA(VLOOKUP(MOD((($D$1-WEEKDAY($D$1,2)+1)-45523)/7+21,24),Shift!$A$2:$H$25,WEEKDAY($D$1,2)+1),VLOOKUP(24,Shift!$A$2:$H$25,WEEKDAY($D$1,2)+1))</f>
        <v>P1</v>
      </c>
      <c r="F61" s="98" t="str">
        <f>IF(OR($E61="L",$E61="L#"),0,"?")</f>
        <v>?</v>
      </c>
      <c r="G61" s="98" t="str">
        <f>IF(OR($E61="L",$E61="L#"),0,"?")</f>
        <v>?</v>
      </c>
      <c r="H61" s="98" t="str">
        <f>IF(OR($E61="L",$E61="L#"),0,"?")</f>
        <v>?</v>
      </c>
      <c r="I61" s="99">
        <f t="shared" ref="I61:I72" si="7">IF(OR($E61="L",$E61="L#"),0,SUM($F61:$H61))</f>
        <v>0</v>
      </c>
      <c r="J61" s="136" t="s">
        <v>86</v>
      </c>
      <c r="K61" s="112" t="str">
        <f>IF(AND($F61&gt;1,$F61&lt;&gt;"?"),$F61-1,"")</f>
        <v/>
      </c>
      <c r="L61" s="112" t="str">
        <f>IF(AND($G61&gt;1,$G61&lt;&gt;"?"),$G61-1,"")</f>
        <v/>
      </c>
      <c r="M61" s="112"/>
    </row>
    <row r="62" spans="1:13">
      <c r="D62" s="100" t="s">
        <v>85</v>
      </c>
      <c r="E62" s="101" t="str">
        <f>_xlfn.IFNA(VLOOKUP(MOD((($D$1-WEEKDAY($D$1,2)+1)-45523)/7+3,24),Shift!$A$2:$H$25,WEEKDAY($D$1,2)+1),VLOOKUP(24,Shift!$A$2:$H$25,WEEKDAY($D$1,2)+1))</f>
        <v>P1</v>
      </c>
      <c r="F62" s="101" t="str">
        <f t="shared" ref="F62:H72" si="8">IF(OR($E62="L",$E62="L#"),0,"?")</f>
        <v>?</v>
      </c>
      <c r="G62" s="101" t="str">
        <f t="shared" si="8"/>
        <v>?</v>
      </c>
      <c r="H62" s="101" t="str">
        <f t="shared" si="8"/>
        <v>?</v>
      </c>
      <c r="I62" s="102">
        <f t="shared" si="7"/>
        <v>0</v>
      </c>
      <c r="J62" s="137" t="s">
        <v>85</v>
      </c>
      <c r="K62" s="112" t="str">
        <f t="shared" ref="K62:K72" si="9">IF(AND($F62&gt;1,$F62&lt;&gt;"?"),$F62-1,"")</f>
        <v/>
      </c>
      <c r="L62" s="112" t="str">
        <f t="shared" ref="L62:L72" si="10">IF(AND($G62&gt;1,$G62&lt;&gt;"?"),$G62-1,"")</f>
        <v/>
      </c>
      <c r="M62" s="112"/>
    </row>
    <row r="63" spans="1:13">
      <c r="D63" s="100" t="s">
        <v>99</v>
      </c>
      <c r="E63" s="101" t="str">
        <f>_xlfn.IFNA(VLOOKUP(MOD((($D$1-WEEKDAY($D$1,2)+1)-45523)/7+9,24),Shift!$A$2:$H$25,WEEKDAY($D$1,2)+1),VLOOKUP(24,Shift!$A$2:$H$25,WEEKDAY($D$1,2)+1))</f>
        <v>P4</v>
      </c>
      <c r="F63" s="101" t="str">
        <f t="shared" si="8"/>
        <v>?</v>
      </c>
      <c r="G63" s="101" t="str">
        <f t="shared" si="8"/>
        <v>?</v>
      </c>
      <c r="H63" s="101" t="str">
        <f t="shared" si="8"/>
        <v>?</v>
      </c>
      <c r="I63" s="102">
        <f t="shared" si="7"/>
        <v>0</v>
      </c>
      <c r="J63" s="137" t="s">
        <v>99</v>
      </c>
      <c r="K63" s="112" t="str">
        <f t="shared" si="9"/>
        <v/>
      </c>
      <c r="L63" s="112" t="str">
        <f t="shared" si="10"/>
        <v/>
      </c>
      <c r="M63" s="112"/>
    </row>
    <row r="64" spans="1:13" ht="16.5" thickBot="1">
      <c r="D64" s="103" t="s">
        <v>100</v>
      </c>
      <c r="E64" s="104" t="str">
        <f>_xlfn.IFNA(VLOOKUP(MOD((($D$1-WEEKDAY($D$1,2)+1)-45523)/7+15,24),Shift!$A$2:$H$25,WEEKDAY($D$1,2)+1),VLOOKUP(24,Shift!$A$2:$H$25,WEEKDAY($D$1,2)+1))</f>
        <v>P1 @</v>
      </c>
      <c r="F64" s="104" t="str">
        <f t="shared" si="8"/>
        <v>?</v>
      </c>
      <c r="G64" s="104" t="str">
        <f t="shared" si="8"/>
        <v>?</v>
      </c>
      <c r="H64" s="104" t="str">
        <f t="shared" si="8"/>
        <v>?</v>
      </c>
      <c r="I64" s="105">
        <f t="shared" si="7"/>
        <v>0</v>
      </c>
      <c r="J64" s="138" t="s">
        <v>100</v>
      </c>
      <c r="K64" s="112" t="str">
        <f t="shared" si="9"/>
        <v/>
      </c>
      <c r="L64" s="112" t="str">
        <f t="shared" si="10"/>
        <v/>
      </c>
      <c r="M64" s="112"/>
    </row>
    <row r="65" spans="4:13">
      <c r="D65" s="97" t="s">
        <v>101</v>
      </c>
      <c r="E65" s="98" t="str">
        <f>_xlfn.IFNA(VLOOKUP(MOD((($D$1-WEEKDAY($D$1,2)+1)-45523)/7+19,24),Shift!$A$2:$H$25,WEEKDAY($D$1,2)+1),VLOOKUP(24,Shift!$A$2:$H$25,WEEKDAY($D$1,2)+1))</f>
        <v>A</v>
      </c>
      <c r="F65" s="98" t="str">
        <f t="shared" si="8"/>
        <v>?</v>
      </c>
      <c r="G65" s="98" t="str">
        <f t="shared" si="8"/>
        <v>?</v>
      </c>
      <c r="H65" s="98" t="str">
        <f t="shared" si="8"/>
        <v>?</v>
      </c>
      <c r="I65" s="99">
        <f t="shared" si="7"/>
        <v>0</v>
      </c>
      <c r="J65" s="136" t="s">
        <v>101</v>
      </c>
      <c r="K65" s="112" t="str">
        <f t="shared" si="9"/>
        <v/>
      </c>
      <c r="L65" s="112" t="str">
        <f t="shared" si="10"/>
        <v/>
      </c>
      <c r="M65" s="112"/>
    </row>
    <row r="66" spans="4:13">
      <c r="D66" s="100" t="s">
        <v>102</v>
      </c>
      <c r="E66" s="101" t="str">
        <f>_xlfn.IFNA(VLOOKUP(MOD((($D$1-WEEKDAY($D$1,2)+1)-45523)/7+1,24),Shift!$A$2:$H$25,WEEKDAY($D$1,2)+1),VLOOKUP(24,Shift!$A$2:$H$25,WEEKDAY($D$1,2)+1))</f>
        <v>L</v>
      </c>
      <c r="F66" s="101">
        <f t="shared" si="8"/>
        <v>0</v>
      </c>
      <c r="G66" s="101">
        <f t="shared" si="8"/>
        <v>0</v>
      </c>
      <c r="H66" s="101">
        <f t="shared" si="8"/>
        <v>0</v>
      </c>
      <c r="I66" s="102">
        <f t="shared" si="7"/>
        <v>0</v>
      </c>
      <c r="J66" s="137" t="s">
        <v>102</v>
      </c>
      <c r="K66" s="112" t="str">
        <f t="shared" si="9"/>
        <v/>
      </c>
      <c r="L66" s="112" t="str">
        <f t="shared" si="10"/>
        <v/>
      </c>
      <c r="M66" s="112"/>
    </row>
    <row r="67" spans="4:13">
      <c r="D67" s="100" t="s">
        <v>103</v>
      </c>
      <c r="E67" s="101" t="str">
        <f>_xlfn.IFNA(VLOOKUP(MOD((($D$1-WEEKDAY($D$1,2)+1)-45523)/7+7,24),Shift!$A$2:$H$25,WEEKDAY($D$1,2)+1),VLOOKUP(24,Shift!$A$2:$H$25,WEEKDAY($D$1,2)+1))</f>
        <v>L#</v>
      </c>
      <c r="F67" s="101">
        <f t="shared" si="8"/>
        <v>0</v>
      </c>
      <c r="G67" s="101">
        <f t="shared" si="8"/>
        <v>0</v>
      </c>
      <c r="H67" s="101">
        <f t="shared" si="8"/>
        <v>0</v>
      </c>
      <c r="I67" s="102">
        <f t="shared" si="7"/>
        <v>0</v>
      </c>
      <c r="J67" s="137" t="s">
        <v>103</v>
      </c>
      <c r="K67" s="112" t="str">
        <f t="shared" si="9"/>
        <v/>
      </c>
      <c r="L67" s="112" t="str">
        <f t="shared" si="10"/>
        <v/>
      </c>
      <c r="M67" s="112"/>
    </row>
    <row r="68" spans="4:13" ht="16.5" thickBot="1">
      <c r="D68" s="103" t="s">
        <v>104</v>
      </c>
      <c r="E68" s="104" t="str">
        <f>_xlfn.IFNA(VLOOKUP(MOD((($D$1-WEEKDAY($D$1,2)+1)-45523)/7+13,24),Shift!$A$2:$H$25,WEEKDAY($D$1,2)+1),VLOOKUP(24,Shift!$A$2:$H$25,WEEKDAY($D$1,2)+1))</f>
        <v>L</v>
      </c>
      <c r="F68" s="104">
        <f t="shared" si="8"/>
        <v>0</v>
      </c>
      <c r="G68" s="104">
        <f t="shared" si="8"/>
        <v>0</v>
      </c>
      <c r="H68" s="104">
        <f t="shared" si="8"/>
        <v>0</v>
      </c>
      <c r="I68" s="105">
        <f t="shared" si="7"/>
        <v>0</v>
      </c>
      <c r="J68" s="138" t="s">
        <v>104</v>
      </c>
      <c r="K68" s="112" t="str">
        <f t="shared" si="9"/>
        <v/>
      </c>
      <c r="L68" s="112" t="str">
        <f t="shared" si="10"/>
        <v/>
      </c>
      <c r="M68" s="112"/>
    </row>
    <row r="69" spans="4:13">
      <c r="D69" s="97" t="s">
        <v>105</v>
      </c>
      <c r="E69" s="98" t="str">
        <f>_xlfn.IFNA(VLOOKUP(MOD((($D$1-WEEKDAY($D$1,2)+1)-45523)/7+17,24),Shift!$A$2:$H$25,WEEKDAY($D$1,2)+1),VLOOKUP(24,Shift!$A$2:$H$25,WEEKDAY($D$1,2)+1))</f>
        <v>M @</v>
      </c>
      <c r="F69" s="98" t="str">
        <f t="shared" si="8"/>
        <v>?</v>
      </c>
      <c r="G69" s="98" t="str">
        <f t="shared" si="8"/>
        <v>?</v>
      </c>
      <c r="H69" s="98" t="str">
        <f t="shared" si="8"/>
        <v>?</v>
      </c>
      <c r="I69" s="99">
        <f t="shared" si="7"/>
        <v>0</v>
      </c>
      <c r="J69" s="136" t="s">
        <v>105</v>
      </c>
      <c r="K69" s="112" t="str">
        <f t="shared" si="9"/>
        <v/>
      </c>
      <c r="L69" s="112" t="str">
        <f t="shared" si="10"/>
        <v/>
      </c>
      <c r="M69" s="112"/>
    </row>
    <row r="70" spans="4:13">
      <c r="D70" s="100" t="s">
        <v>106</v>
      </c>
      <c r="E70" s="101" t="str">
        <f>_xlfn.IFNA(VLOOKUP(MOD((($D$1-WEEKDAY($D$1,2)+1)-45523)/7+23,24),Shift!$A$2:$H$25,WEEKDAY($D$1,2)+1),VLOOKUP(24,Shift!$A$2:$H$25,WEEKDAY($D$1,2)+1))</f>
        <v>L</v>
      </c>
      <c r="F70" s="101">
        <f t="shared" si="8"/>
        <v>0</v>
      </c>
      <c r="G70" s="101">
        <f t="shared" si="8"/>
        <v>0</v>
      </c>
      <c r="H70" s="101">
        <f t="shared" si="8"/>
        <v>0</v>
      </c>
      <c r="I70" s="102">
        <f t="shared" si="7"/>
        <v>0</v>
      </c>
      <c r="J70" s="137" t="s">
        <v>106</v>
      </c>
      <c r="K70" s="112" t="str">
        <f t="shared" si="9"/>
        <v/>
      </c>
      <c r="L70" s="112" t="str">
        <f t="shared" si="10"/>
        <v/>
      </c>
      <c r="M70" s="112"/>
    </row>
    <row r="71" spans="4:13">
      <c r="D71" s="100" t="s">
        <v>107</v>
      </c>
      <c r="E71" s="101" t="str">
        <f>_xlfn.IFNA(VLOOKUP(MOD((($D$1-WEEKDAY($D$1,2)+1)-45523)/7+5,24),Shift!$A$2:$H$25,WEEKDAY($D$1,2)+1),VLOOKUP(24,Shift!$A$2:$H$25,WEEKDAY($D$1,2)+1))</f>
        <v>G1</v>
      </c>
      <c r="F71" s="101" t="str">
        <f t="shared" si="8"/>
        <v>?</v>
      </c>
      <c r="G71" s="101" t="str">
        <f t="shared" si="8"/>
        <v>?</v>
      </c>
      <c r="H71" s="101" t="str">
        <f t="shared" si="8"/>
        <v>?</v>
      </c>
      <c r="I71" s="102">
        <f t="shared" si="7"/>
        <v>0</v>
      </c>
      <c r="J71" s="137" t="s">
        <v>107</v>
      </c>
      <c r="K71" s="112" t="str">
        <f t="shared" si="9"/>
        <v/>
      </c>
      <c r="L71" s="112" t="str">
        <f t="shared" si="10"/>
        <v/>
      </c>
      <c r="M71" s="112"/>
    </row>
    <row r="72" spans="4:13" ht="16.5" thickBot="1">
      <c r="D72" s="103" t="s">
        <v>108</v>
      </c>
      <c r="E72" s="104" t="str">
        <f>_xlfn.IFNA(VLOOKUP(MOD((($D$1-WEEKDAY($D$1,2)+1)-45523)/7+11,24),Shift!$A$2:$H$25,WEEKDAY($D$1,2)+1),VLOOKUP(24,Shift!$A$2:$H$25,WEEKDAY($D$1,2)+1))</f>
        <v>M</v>
      </c>
      <c r="F72" s="104" t="str">
        <f t="shared" si="8"/>
        <v>?</v>
      </c>
      <c r="G72" s="104" t="str">
        <f t="shared" si="8"/>
        <v>?</v>
      </c>
      <c r="H72" s="104" t="str">
        <f t="shared" si="8"/>
        <v>?</v>
      </c>
      <c r="I72" s="105">
        <f t="shared" si="7"/>
        <v>0</v>
      </c>
      <c r="J72" s="138" t="s">
        <v>108</v>
      </c>
      <c r="K72" s="112" t="str">
        <f t="shared" si="9"/>
        <v/>
      </c>
      <c r="L72" s="112" t="str">
        <f t="shared" si="10"/>
        <v/>
      </c>
      <c r="M72" s="112"/>
    </row>
    <row r="73" spans="4:13">
      <c r="D73" s="144" t="s">
        <v>86</v>
      </c>
      <c r="E73" s="98" t="s">
        <v>127</v>
      </c>
      <c r="F73" s="98"/>
      <c r="G73" s="98"/>
      <c r="H73" s="98"/>
      <c r="I73" s="99">
        <f>IF(OR($E73="L",$E73="L#",$E73="?"),0,SUM($F73:$H73))</f>
        <v>0</v>
      </c>
      <c r="J73" s="330"/>
    </row>
    <row r="74" spans="4:13">
      <c r="D74" s="145" t="s">
        <v>137</v>
      </c>
      <c r="E74" s="101" t="s">
        <v>127</v>
      </c>
      <c r="F74" s="101"/>
      <c r="G74" s="101"/>
      <c r="H74" s="101"/>
      <c r="I74" s="102">
        <f>IF(OR($E74="L",$E74="L#",$E74="?"),0,SUM($F74:$H74))</f>
        <v>0</v>
      </c>
      <c r="J74" s="330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330"/>
    </row>
    <row r="76" spans="4:13" ht="16.5" thickBot="1">
      <c r="D76" s="146" t="s">
        <v>137</v>
      </c>
      <c r="E76" s="104" t="s">
        <v>127</v>
      </c>
      <c r="F76" s="106"/>
      <c r="G76" s="106"/>
      <c r="H76" s="106"/>
      <c r="I76" s="105">
        <f>IF(OR($E76="L",$E76="L#",$E76="?"),0,SUM($F76:$H76))</f>
        <v>0</v>
      </c>
      <c r="J76" s="330"/>
    </row>
    <row r="77" spans="4:13">
      <c r="D77" s="330"/>
      <c r="E77" s="96" t="s">
        <v>98</v>
      </c>
      <c r="F77" s="96" t="str">
        <f>SUM($F$61:$F$76)&amp;IF(SUM($F$61:$H$76)&gt;$I$77,"?","")</f>
        <v>0</v>
      </c>
      <c r="G77" s="96" t="str">
        <f>SUM($G$61:$G$76)&amp;IF(SUM($F$61:$H$76)&gt;$I$77,"?","")</f>
        <v>0</v>
      </c>
      <c r="H77" s="96" t="str">
        <f>SUM($H$61:$H$76)&amp;IF(SUM($F$61:$H$76)&gt;$I$77,"?","")</f>
        <v>0</v>
      </c>
      <c r="I77" s="96">
        <f>SUM(I61:I76)</f>
        <v>0</v>
      </c>
      <c r="J77" s="330"/>
    </row>
    <row r="78" spans="4:13">
      <c r="D78" s="330"/>
      <c r="E78" s="330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330"/>
      <c r="J78" s="330"/>
    </row>
    <row r="80" spans="4:13">
      <c r="D80" s="410" t="s">
        <v>281</v>
      </c>
      <c r="E80" s="410"/>
      <c r="F80" s="410"/>
    </row>
    <row r="81" spans="4:6">
      <c r="D81" s="49" t="str">
        <f>IF(Flight!$A$68=0,"",Flight!$A$68)</f>
        <v/>
      </c>
      <c r="E81" s="163"/>
      <c r="F81" s="164" t="str">
        <f>IF(D81="","",VLOOKUP(D81,Flight!$A$68:$C$91,3,FALSE))</f>
        <v/>
      </c>
    </row>
    <row r="82" spans="4:6">
      <c r="D82" s="49" t="str">
        <f>IF(Flight!$A69=0,"",Flight!$A69)</f>
        <v/>
      </c>
      <c r="F82" s="164" t="str">
        <f>IF(D82="","",VLOOKUP(D82,Flight!$A$68:$C$91,3,FALSE))</f>
        <v/>
      </c>
    </row>
    <row r="83" spans="4:6">
      <c r="D83" s="49" t="str">
        <f>IF(Flight!$A71=0,"",Flight!$A71)</f>
        <v>3A031</v>
      </c>
      <c r="F83" s="164" t="str">
        <f>IF(D83="","",VLOOKUP(D83,Flight!$A$68:$C$91,3,FALSE))</f>
        <v>ZTI</v>
      </c>
    </row>
    <row r="84" spans="4:6">
      <c r="D84" s="49" t="str">
        <f>IF(Flight!$A72=0,"",Flight!$A72)</f>
        <v>3A003</v>
      </c>
      <c r="F84" s="164" t="str">
        <f>IF(D84="","",VLOOKUP(D84,Flight!$A$68:$C$91,3,FALSE))</f>
        <v>ZYK</v>
      </c>
    </row>
    <row r="85" spans="4:6">
      <c r="D85" s="49" t="str">
        <f>IF(Flight!$A73=0,"",Flight!$A73)</f>
        <v>3A005</v>
      </c>
      <c r="F85" s="164" t="str">
        <f>IF(D85="","",VLOOKUP(D85,Flight!$A$68:$C$91,3,FALSE))</f>
        <v>HKM</v>
      </c>
    </row>
    <row r="86" spans="4:6">
      <c r="D86" s="49" t="str">
        <f>IF(Flight!$A74=0,"",Flight!$A74)</f>
        <v>3A007</v>
      </c>
      <c r="F86" s="164" t="str">
        <f>IF(D86="","",VLOOKUP(D86,Flight!$A$68:$C$91,3,FALSE))</f>
        <v>ZYK</v>
      </c>
    </row>
    <row r="87" spans="4:6">
      <c r="D87" s="49" t="str">
        <f>IF(Flight!$A75=0,"",Flight!$A75)</f>
        <v>3A008</v>
      </c>
      <c r="F87" s="164" t="str">
        <f>IF(D87="","",VLOOKUP(D87,Flight!$A$68:$C$91,3,FALSE))</f>
        <v>ZYK</v>
      </c>
    </row>
    <row r="88" spans="4:6">
      <c r="D88" s="49" t="str">
        <f>IF(Flight!$A76=0,"",Flight!$A76)</f>
        <v>3A009</v>
      </c>
      <c r="F88" s="164" t="str">
        <f>IF(D88="","",VLOOKUP(D88,Flight!$A$68:$C$91,3,FALSE))</f>
        <v>ZYK</v>
      </c>
    </row>
    <row r="89" spans="4:6">
      <c r="D89" s="49" t="str">
        <f>IF(Flight!$A77=0,"",Flight!$A77)</f>
        <v>3A010</v>
      </c>
      <c r="F89" s="164" t="str">
        <f>IF(D89="","",VLOOKUP(D89,Flight!$A$68:$C$91,3,FALSE))</f>
        <v>ZYK</v>
      </c>
    </row>
    <row r="90" spans="4:6">
      <c r="D90" s="49" t="str">
        <f>IF(Flight!$A78=0,"",Flight!$A78)</f>
        <v/>
      </c>
      <c r="F90" s="164" t="str">
        <f>IF(D90="","",VLOOKUP(D90,Flight!$A$68:$C$91,3,FALSE))</f>
        <v/>
      </c>
    </row>
    <row r="91" spans="4:6">
      <c r="D91" s="49" t="str">
        <f>IF(Flight!$A80=0,"",Flight!$A80)</f>
        <v>8S7121</v>
      </c>
      <c r="F91" s="164" t="str">
        <f>IF(D91="","",VLOOKUP(D91,Flight!$A$68:$C$91,3,FALSE))</f>
        <v>HKM</v>
      </c>
    </row>
    <row r="92" spans="4:6">
      <c r="D92" s="49" t="str">
        <f>IF(Flight!$A81=0,"",Flight!$A81)</f>
        <v>8S7108</v>
      </c>
      <c r="F92" s="164" t="str">
        <f>IF(D92="","",VLOOKUP(D92,Flight!$A$68:$C$91,3,FALSE))</f>
        <v>ZYK</v>
      </c>
    </row>
    <row r="93" spans="4:6">
      <c r="D93" s="49" t="str">
        <f>IF(Flight!$A82=0,"",Flight!$A82)</f>
        <v>8S7111</v>
      </c>
      <c r="F93" s="164" t="str">
        <f>IF(D93="","",VLOOKUP(D93,Flight!$A$68:$C$91,3,FALSE))</f>
        <v>ZYK</v>
      </c>
    </row>
    <row r="94" spans="4:6">
      <c r="D94" s="49" t="str">
        <f>IF(Flight!$A83=0,"",Flight!$A83)</f>
        <v>8S7131</v>
      </c>
      <c r="F94" s="164" t="str">
        <f>IF(D94="","",VLOOKUP(D94,Flight!$A$68:$C$91,3,FALSE))</f>
        <v>?</v>
      </c>
    </row>
    <row r="95" spans="4:6">
      <c r="D95" s="49" t="str">
        <f>IF(Flight!$A84=0,"",Flight!$A84)</f>
        <v>8S7119</v>
      </c>
      <c r="F95" s="164" t="str">
        <f>IF(D95="","",VLOOKUP(D95,Flight!$A$68:$C$91,3,FALSE))</f>
        <v>HKM</v>
      </c>
    </row>
    <row r="96" spans="4:6">
      <c r="D96" s="49" t="str">
        <f>IF(Flight!$A85=0,"",Flight!$A85)</f>
        <v>8S7126</v>
      </c>
      <c r="F96" s="164" t="str">
        <f>IF(D96="","",VLOOKUP(D96,Flight!$A$68:$C$91,3,FALSE))</f>
        <v>HKM</v>
      </c>
    </row>
    <row r="97" spans="4:6">
      <c r="D97" s="49" t="str">
        <f>IF(Flight!$A86=0,"",Flight!$A86)</f>
        <v>8S7128</v>
      </c>
      <c r="F97" s="164" t="str">
        <f>IF(D97="","",VLOOKUP(D97,Flight!$A$68:$C$91,3,FALSE))</f>
        <v>HKM</v>
      </c>
    </row>
    <row r="98" spans="4:6">
      <c r="D98" s="49" t="str">
        <f>IF(Flight!$A87=0,"",Flight!$A87)</f>
        <v>3A8010</v>
      </c>
      <c r="F98" s="164" t="str">
        <f>IF(D98="","",VLOOKUP(D98,Flight!$A$68:$C$91,3,FALSE))</f>
        <v>HZI</v>
      </c>
    </row>
    <row r="99" spans="4:6">
      <c r="D99" s="49" t="str">
        <f>IF(Flight!$A88=0,"",Flight!$A88)</f>
        <v>3A8015</v>
      </c>
      <c r="F99" s="164" t="str">
        <f>IF(D99="","",VLOOKUP(D99,Flight!$A$68:$C$91,3,FALSE))</f>
        <v>?</v>
      </c>
    </row>
    <row r="100" spans="4:6">
      <c r="D100" s="49" t="str">
        <f>IF(Flight!$A89=0,"",Flight!$A89)</f>
        <v>3A8016</v>
      </c>
      <c r="F100" s="164" t="str">
        <f>IF(D100="","",VLOOKUP(D100,Flight!$A$68:$C$91,3,FALSE))</f>
        <v>HZI</v>
      </c>
    </row>
    <row r="101" spans="4:6">
      <c r="D101" s="49" t="str">
        <f>IF(Flight!$A91=0,"",Flight!$A91)</f>
        <v xml:space="preserve">Last </v>
      </c>
      <c r="F101" s="164" t="str">
        <f>IF(D101="","",VLOOKUP(D101,Flight!$A$68:$C$91,3,FALSE))</f>
        <v>↑</v>
      </c>
    </row>
    <row r="102" spans="4:6">
      <c r="D102" s="49" t="str">
        <f>IF(Flight!$A92=0,"",Flight!$A92)</f>
        <v/>
      </c>
      <c r="F102" s="164" t="str">
        <f>IF(D102="","",VLOOKUP(D102,Flight!$A$68:$C$91,3,FALSE))</f>
        <v/>
      </c>
    </row>
    <row r="103" spans="4:6">
      <c r="D103" s="186"/>
      <c r="F103" s="187"/>
    </row>
    <row r="104" spans="4:6">
      <c r="D104" s="406" t="str">
        <f>IF(Flight!$A$93=0,"",Flight!$A$93)</f>
        <v>Target Flight</v>
      </c>
      <c r="E104" s="406"/>
      <c r="F104" s="406"/>
    </row>
    <row r="105" spans="4:6">
      <c r="D105" s="27" t="s">
        <v>59</v>
      </c>
      <c r="E105" s="158"/>
      <c r="F105" s="10" t="s">
        <v>38</v>
      </c>
    </row>
    <row r="106" spans="4:6">
      <c r="D106" s="27" t="s">
        <v>89</v>
      </c>
      <c r="E106" s="158"/>
      <c r="F106" s="10" t="s">
        <v>38</v>
      </c>
    </row>
    <row r="107" spans="4:6">
      <c r="D107" s="27" t="s">
        <v>254</v>
      </c>
      <c r="E107" s="158"/>
      <c r="F107" s="10" t="s">
        <v>38</v>
      </c>
    </row>
    <row r="108" spans="4:6">
      <c r="D108" s="27" t="s">
        <v>57</v>
      </c>
      <c r="E108" s="158"/>
      <c r="F108" s="10" t="s">
        <v>58</v>
      </c>
    </row>
    <row r="109" spans="4:6">
      <c r="D109" s="27" t="s">
        <v>198</v>
      </c>
      <c r="E109" s="158"/>
      <c r="F109" s="10" t="s">
        <v>199</v>
      </c>
    </row>
    <row r="110" spans="4:6">
      <c r="D110" s="27" t="s">
        <v>55</v>
      </c>
      <c r="E110" s="158"/>
      <c r="F110" s="10" t="s">
        <v>54</v>
      </c>
    </row>
    <row r="111" spans="4:6">
      <c r="D111" s="27" t="s">
        <v>39</v>
      </c>
      <c r="E111" s="158"/>
      <c r="F111" s="10" t="s">
        <v>38</v>
      </c>
    </row>
    <row r="112" spans="4:6">
      <c r="D112" s="27" t="s">
        <v>200</v>
      </c>
      <c r="E112" s="158"/>
      <c r="F112" s="10" t="s">
        <v>54</v>
      </c>
    </row>
    <row r="113" spans="4:6">
      <c r="D113" s="27" t="s">
        <v>201</v>
      </c>
      <c r="E113" s="158"/>
      <c r="F113" s="10" t="s">
        <v>38</v>
      </c>
    </row>
    <row r="114" spans="4:6">
      <c r="D114" s="161"/>
      <c r="E114" s="158"/>
      <c r="F114" s="159"/>
    </row>
    <row r="115" spans="4:6">
      <c r="D115" s="161"/>
      <c r="E115" s="158"/>
      <c r="F115" s="159"/>
    </row>
  </sheetData>
  <mergeCells count="76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6:E46"/>
    <mergeCell ref="G46:H46"/>
    <mergeCell ref="I46:J46"/>
    <mergeCell ref="K45:M45"/>
    <mergeCell ref="H6:H7"/>
    <mergeCell ref="I6:I7"/>
    <mergeCell ref="J6:J7"/>
    <mergeCell ref="K6:M6"/>
    <mergeCell ref="A42:F42"/>
    <mergeCell ref="I42:M43"/>
    <mergeCell ref="A43:H43"/>
    <mergeCell ref="A6:A7"/>
    <mergeCell ref="B6:C6"/>
    <mergeCell ref="D6:D7"/>
    <mergeCell ref="E6:E7"/>
    <mergeCell ref="F6:F7"/>
    <mergeCell ref="A44:H44"/>
    <mergeCell ref="A45:B45"/>
    <mergeCell ref="D45:E45"/>
    <mergeCell ref="G45:H45"/>
    <mergeCell ref="I45:J45"/>
    <mergeCell ref="K46:M46"/>
    <mergeCell ref="A51:B51"/>
    <mergeCell ref="C51:E51"/>
    <mergeCell ref="F51:I51"/>
    <mergeCell ref="K51:M51"/>
    <mergeCell ref="A48:B48"/>
    <mergeCell ref="C48:E48"/>
    <mergeCell ref="G48:I48"/>
    <mergeCell ref="K48:M48"/>
    <mergeCell ref="C49:E49"/>
    <mergeCell ref="G49:I49"/>
    <mergeCell ref="K49:M49"/>
    <mergeCell ref="D47:E47"/>
    <mergeCell ref="G47:H47"/>
    <mergeCell ref="I47:J47"/>
    <mergeCell ref="A46:B46"/>
    <mergeCell ref="D53:E53"/>
    <mergeCell ref="F53:G53"/>
    <mergeCell ref="H53:I53"/>
    <mergeCell ref="D50:I50"/>
    <mergeCell ref="K50:M50"/>
    <mergeCell ref="A52:B52"/>
    <mergeCell ref="C52:E52"/>
    <mergeCell ref="F52:G52"/>
    <mergeCell ref="H52:I52"/>
    <mergeCell ref="K52:M52"/>
    <mergeCell ref="D104:F104"/>
    <mergeCell ref="A54:B54"/>
    <mergeCell ref="C54:E54"/>
    <mergeCell ref="H54:I54"/>
    <mergeCell ref="C55:H55"/>
    <mergeCell ref="I56:J56"/>
    <mergeCell ref="D80:F80"/>
  </mergeCells>
  <phoneticPr fontId="2" type="noConversion"/>
  <conditionalFormatting sqref="H8:H41 E8:E41">
    <cfRule type="cellIs" dxfId="18" priority="3" operator="equal">
      <formula>""</formula>
    </cfRule>
  </conditionalFormatting>
  <conditionalFormatting sqref="F61:H78">
    <cfRule type="cellIs" dxfId="17" priority="2" operator="equal">
      <formula>"?"</formula>
    </cfRule>
  </conditionalFormatting>
  <conditionalFormatting sqref="D8:D998">
    <cfRule type="duplicateValues" dxfId="16" priority="295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>
          <x14:formula1>
            <xm:f>Staff!$B$15:$B$39</xm:f>
          </x14:formula1>
          <xm:sqref>D46:E46</xm:sqref>
        </x14:dataValidation>
        <x14:dataValidation type="list" allowBlank="1" showInputMessage="1">
          <x14:formula1>
            <xm:f>Staff!$B$15:$B$39</xm:f>
          </x14:formula1>
          <xm:sqref>D45:E45</xm:sqref>
        </x14:dataValidation>
        <x14:dataValidation type="list" allowBlank="1" showInputMessage="1">
          <x14:formula1>
            <xm:f>Staff!$G$23:$G$52</xm:f>
          </x14:formula1>
          <xm:sqref>K48:M52</xm:sqref>
        </x14:dataValidation>
        <x14:dataValidation type="list" allowBlank="1" showInputMessage="1">
          <x14:formula1>
            <xm:f>Staff!$G$12:$G$52</xm:f>
          </x14:formula1>
          <xm:sqref>G48:I49</xm:sqref>
        </x14:dataValidation>
        <x14:dataValidation type="list" allowBlank="1" showInputMessage="1">
          <x14:formula1>
            <xm:f>Staff!$G$2:$G$9</xm:f>
          </x14:formula1>
          <xm:sqref>K45:M46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116"/>
  <sheetViews>
    <sheetView view="pageBreakPreview" zoomScale="90" zoomScaleNormal="100" zoomScaleSheetLayoutView="90" workbookViewId="0">
      <selection activeCell="N47" sqref="N47"/>
    </sheetView>
  </sheetViews>
  <sheetFormatPr defaultRowHeight="15.75"/>
  <cols>
    <col min="1" max="1" width="9.125" style="1" customWidth="1"/>
    <col min="2" max="2" width="10.25" style="1" customWidth="1"/>
    <col min="3" max="3" width="9.75" style="1" customWidth="1"/>
    <col min="4" max="4" width="9.125" style="7" customWidth="1"/>
    <col min="5" max="5" width="9.125" style="54" customWidth="1"/>
    <col min="6" max="6" width="11.125" style="54" customWidth="1"/>
    <col min="7" max="7" width="9.125" style="54" customWidth="1"/>
    <col min="8" max="8" width="12.125" style="52" customWidth="1"/>
    <col min="9" max="9" width="9" style="54" customWidth="1"/>
    <col min="10" max="10" width="9.125" style="54" customWidth="1"/>
    <col min="11" max="13" width="9.125" style="1" customWidth="1"/>
    <col min="14" max="14" width="9" style="1"/>
    <col min="15" max="15" width="10.75" style="112" bestFit="1" customWidth="1"/>
    <col min="16" max="16" width="12.25" style="1" bestFit="1" customWidth="1"/>
    <col min="17" max="16384" width="9" style="1"/>
  </cols>
  <sheetData>
    <row r="1" spans="1:16">
      <c r="A1" s="107"/>
      <c r="B1" s="107"/>
      <c r="C1" s="108" t="s">
        <v>20</v>
      </c>
      <c r="D1" s="355">
        <v>45748</v>
      </c>
      <c r="E1" s="355"/>
      <c r="F1" s="109" t="s">
        <v>23</v>
      </c>
      <c r="G1" s="110">
        <f>D1</f>
        <v>45748</v>
      </c>
      <c r="H1" s="134" t="s">
        <v>24</v>
      </c>
      <c r="I1" s="111"/>
      <c r="J1" s="111"/>
      <c r="K1" s="107"/>
      <c r="L1" s="107"/>
      <c r="M1" s="47"/>
    </row>
    <row r="2" spans="1:16" ht="17.25" customHeight="1" thickBot="1">
      <c r="A2" s="107"/>
      <c r="B2" s="107"/>
      <c r="C2" s="107"/>
      <c r="D2" s="356"/>
      <c r="E2" s="356"/>
      <c r="F2" s="111"/>
      <c r="G2" s="357"/>
      <c r="H2" s="357"/>
      <c r="I2" s="357"/>
      <c r="J2" s="111"/>
      <c r="K2" s="107"/>
      <c r="L2" s="107"/>
      <c r="M2" s="47"/>
    </row>
    <row r="3" spans="1:16" ht="16.5" customHeight="1">
      <c r="A3" s="40" t="s">
        <v>19</v>
      </c>
      <c r="B3" s="358" t="s">
        <v>25</v>
      </c>
      <c r="C3" s="359"/>
      <c r="D3" s="358" t="s">
        <v>26</v>
      </c>
      <c r="E3" s="359"/>
      <c r="F3" s="360" t="s">
        <v>27</v>
      </c>
      <c r="G3" s="361"/>
      <c r="H3" s="360" t="s">
        <v>28</v>
      </c>
      <c r="I3" s="361"/>
      <c r="J3" s="364" t="s">
        <v>29</v>
      </c>
      <c r="K3" s="364"/>
      <c r="L3" s="358" t="s">
        <v>30</v>
      </c>
      <c r="M3" s="365"/>
    </row>
    <row r="4" spans="1:16">
      <c r="A4" s="41" t="s">
        <v>18</v>
      </c>
      <c r="B4" s="366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S5(0) </v>
      </c>
      <c r="C4" s="367"/>
      <c r="D4" s="366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 &lt;S3(0)&gt;  S4(0) </v>
      </c>
      <c r="E4" s="367"/>
      <c r="F4" s="366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 xml:space="preserve">S1(0) </v>
      </c>
      <c r="G4" s="367"/>
      <c r="H4" s="366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S2(0) </v>
      </c>
      <c r="I4" s="367"/>
      <c r="J4" s="366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S9(0)  &lt;S10(0)&gt;  S12(0) </v>
      </c>
      <c r="K4" s="367"/>
      <c r="L4" s="366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S11(0) </v>
      </c>
      <c r="M4" s="367"/>
    </row>
    <row r="5" spans="1:16" ht="17.25" customHeight="1" thickBot="1">
      <c r="A5" s="42" t="s">
        <v>17</v>
      </c>
      <c r="B5" s="368"/>
      <c r="C5" s="369"/>
      <c r="D5" s="370" t="s">
        <v>226</v>
      </c>
      <c r="E5" s="371"/>
      <c r="F5" s="372"/>
      <c r="G5" s="373"/>
      <c r="H5" s="372" t="s">
        <v>226</v>
      </c>
      <c r="I5" s="373"/>
      <c r="J5" s="374"/>
      <c r="K5" s="374"/>
      <c r="L5" s="362"/>
      <c r="M5" s="363"/>
    </row>
    <row r="6" spans="1:16" ht="16.5" customHeight="1">
      <c r="A6" s="380" t="s">
        <v>16</v>
      </c>
      <c r="B6" s="381" t="s">
        <v>22</v>
      </c>
      <c r="C6" s="382"/>
      <c r="D6" s="383" t="s">
        <v>170</v>
      </c>
      <c r="E6" s="384" t="s">
        <v>15</v>
      </c>
      <c r="F6" s="384" t="s">
        <v>14</v>
      </c>
      <c r="G6" s="384" t="s">
        <v>13</v>
      </c>
      <c r="H6" s="384" t="s">
        <v>12</v>
      </c>
      <c r="I6" s="384" t="s">
        <v>11</v>
      </c>
      <c r="J6" s="384" t="s">
        <v>10</v>
      </c>
      <c r="K6" s="386" t="s">
        <v>9</v>
      </c>
      <c r="L6" s="387"/>
      <c r="M6" s="388"/>
    </row>
    <row r="7" spans="1:16">
      <c r="A7" s="380"/>
      <c r="B7" s="86" t="s">
        <v>52</v>
      </c>
      <c r="C7" s="86" t="s">
        <v>53</v>
      </c>
      <c r="D7" s="380"/>
      <c r="E7" s="385"/>
      <c r="F7" s="385"/>
      <c r="G7" s="385"/>
      <c r="H7" s="385"/>
      <c r="I7" s="385"/>
      <c r="J7" s="385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IF($A6="S/N",1,IF($F8="Wavied","-",IF($D8=0,"",ROW($A8)-ROW($A$7)-COUNTIF($A$7:$A$8,"@")-COUNTIF($A$7:$A$8,"-"))))</f>
        <v>1</v>
      </c>
      <c r="B8" s="9" t="str">
        <f t="shared" ref="B8:B38" si="0">IF($E8&lt;&gt;"",IF($E8-715&lt;0,VLOOKUP($B$3,$E$62:$J$73,6,FALSE),IF(AND($E8-2130&gt;0,_xlfn.IFNA(MATCH($D8,$D$106:$D$116,0)&lt;20,"")=TRUE),VLOOKUP($L$3,$E$62:$J$73,6,FALSE),"-")),"")</f>
        <v/>
      </c>
      <c r="C8" s="9" t="str">
        <f t="shared" ref="C8:C38" si="1">IF($E8&lt;&gt;"",IF(ISNUMBER(SEARCH("Hall Operation",$K8)),"-",IF($E8-715&lt;0,VLOOKUP($B$3,$E$62:$J$73,6,FALSE),IF($E8-2129&gt;0,VLOOKUP($L$3,$E$62:$J$73,6,FALSE),""))),"")</f>
        <v/>
      </c>
      <c r="D8" s="165"/>
      <c r="E8" s="172" t="str">
        <f>IF($D8&gt;0,VLOOKUP($D8,Flight!$A$1:$E$91,2,FALSE),"")</f>
        <v/>
      </c>
      <c r="F8" s="43"/>
      <c r="G8" s="43" t="str">
        <f>IF(A8="@",IF(H8="ZYK","Berth 3",IF(H8="HKM","Bay 7","")),"")</f>
        <v/>
      </c>
      <c r="H8" s="44" t="str">
        <f>IF($D8&gt;0,VLOOKUP($D8,Flight!$A$1:$E$91,3,FALSE),"")</f>
        <v/>
      </c>
      <c r="I8" s="44" t="str">
        <f>IF($D8&gt;0,IF(VLOOKUP($D8,Flight!$A$1:$E$91,4,FALSE)&gt;1,VLOOKUP($D8,Flight!$A$1:$E91,4,FALSE),""),"")</f>
        <v/>
      </c>
      <c r="J8" s="44" t="str">
        <f>IF($D8&gt;0,IF(VLOOKUP($D8,Flight!$A$1:$E$91,5,FALSE)&gt;1,VLOOKUP($D8,Flight!$A$1:$E$91,5,FALSE),""),"")</f>
        <v/>
      </c>
      <c r="K8" s="166" t="str">
        <f t="shared" ref="K8:K38" si="2">IF($D8=0,"",IF(OR(ISNUMBER(SEARCH("S",$B8)),_xlfn.IFNA(MATCH($D8,$D$106:$D$116,0)&lt;20,"")=TRUE),"&lt;   Hall Operation   &gt;",""))</f>
        <v/>
      </c>
      <c r="L8" s="166"/>
      <c r="M8" s="166"/>
      <c r="N8" s="173"/>
    </row>
    <row r="9" spans="1:16" ht="16.5" customHeight="1">
      <c r="A9" s="9" t="str">
        <f t="shared" ref="A9:A42" si="3">IF($A7="S/N",1,IF($F9="Wavied","-",IF($D9=0,"",ROW($A9)-ROW($A$7)-COUNTIF($A$7:$A$8,"@")-COUNTIF($A$7:$A$8,"-"))))</f>
        <v/>
      </c>
      <c r="B9" s="9" t="str">
        <f t="shared" si="0"/>
        <v/>
      </c>
      <c r="C9" s="9" t="str">
        <f t="shared" si="1"/>
        <v/>
      </c>
      <c r="D9" s="27"/>
      <c r="E9" s="172" t="str">
        <f>IF($D9&gt;0,VLOOKUP($D9,Flight!$A$1:$E$91,2,FALSE),"")</f>
        <v/>
      </c>
      <c r="F9" s="45"/>
      <c r="G9" s="43" t="str">
        <f t="shared" ref="G9:G42" si="4">IF(A9="@",IF(H9="ZYK","Berth 3",IF(H9="HKM","Bay 7","")),"")</f>
        <v/>
      </c>
      <c r="H9" s="44" t="str">
        <f>IF($D9&gt;0,VLOOKUP($D9,Flight!$A$1:$E$91,3,FALSE),"")</f>
        <v/>
      </c>
      <c r="I9" s="44" t="str">
        <f>IF($D9&gt;0,IF(VLOOKUP($D9,Flight!$A$1:$E$91,4,FALSE)&gt;1,VLOOKUP($D9,Flight!$A$1:$E92,4,FALSE),""),"")</f>
        <v/>
      </c>
      <c r="J9" s="44" t="str">
        <f>IF($D9&gt;0,IF(VLOOKUP($D9,Flight!$A$1:$E$91,5,FALSE)&gt;1,VLOOKUP($D9,Flight!$A$1:$E$91,5,FALSE),""),"")</f>
        <v/>
      </c>
      <c r="K9" s="166" t="str">
        <f t="shared" si="2"/>
        <v/>
      </c>
      <c r="L9" s="166"/>
      <c r="M9" s="166"/>
    </row>
    <row r="10" spans="1:16">
      <c r="A10" s="9" t="str">
        <f t="shared" si="3"/>
        <v/>
      </c>
      <c r="B10" s="9" t="str">
        <f t="shared" si="0"/>
        <v/>
      </c>
      <c r="C10" s="9" t="str">
        <f t="shared" si="1"/>
        <v/>
      </c>
      <c r="D10" s="27"/>
      <c r="E10" s="172" t="str">
        <f>IF($D10&gt;0,VLOOKUP($D10,Flight!$A$1:$E$91,2,FALSE),"")</f>
        <v/>
      </c>
      <c r="F10" s="45"/>
      <c r="G10" s="43" t="str">
        <f t="shared" si="4"/>
        <v/>
      </c>
      <c r="H10" s="44" t="str">
        <f>IF($D10&gt;0,VLOOKUP($D10,Flight!$A$1:$E$91,3,FALSE),"")</f>
        <v/>
      </c>
      <c r="I10" s="44" t="str">
        <f>IF($D10&gt;0,IF(VLOOKUP($D10,Flight!$A$1:$E$91,4,FALSE)&gt;1,VLOOKUP($D10,Flight!$A$1:$E93,4,FALSE),""),"")</f>
        <v/>
      </c>
      <c r="J10" s="44" t="str">
        <f>IF($D10&gt;0,IF(VLOOKUP($D10,Flight!$A$1:$E$91,5,FALSE)&gt;1,VLOOKUP($D10,Flight!$A$1:$E$91,5,FALSE),""),"")</f>
        <v/>
      </c>
      <c r="K10" s="166" t="str">
        <f t="shared" si="2"/>
        <v/>
      </c>
      <c r="L10" s="166"/>
      <c r="M10" s="166"/>
    </row>
    <row r="11" spans="1:16">
      <c r="A11" s="9" t="str">
        <f t="shared" si="3"/>
        <v/>
      </c>
      <c r="B11" s="9" t="str">
        <f t="shared" si="0"/>
        <v/>
      </c>
      <c r="C11" s="9" t="str">
        <f t="shared" si="1"/>
        <v/>
      </c>
      <c r="D11" s="27"/>
      <c r="E11" s="172" t="str">
        <f>IF($D11&gt;0,VLOOKUP($D11,Flight!$A$1:$E$91,2,FALSE),"")</f>
        <v/>
      </c>
      <c r="F11" s="43"/>
      <c r="G11" s="43" t="str">
        <f t="shared" si="4"/>
        <v/>
      </c>
      <c r="H11" s="44" t="str">
        <f>IF($D11&gt;0,VLOOKUP($D11,Flight!$A$1:$E$91,3,FALSE),"")</f>
        <v/>
      </c>
      <c r="I11" s="44" t="str">
        <f>IF($D11&gt;0,IF(VLOOKUP($D11,Flight!$A$1:$E$91,4,FALSE)&gt;1,VLOOKUP($D11,Flight!$A$1:$E94,4,FALSE),""),"")</f>
        <v/>
      </c>
      <c r="J11" s="44" t="str">
        <f>IF($D11&gt;0,IF(VLOOKUP($D11,Flight!$A$1:$E$91,5,FALSE)&gt;1,VLOOKUP($D11,Flight!$A$1:$E$91,5,FALSE),""),"")</f>
        <v/>
      </c>
      <c r="K11" s="166" t="str">
        <f t="shared" si="2"/>
        <v/>
      </c>
      <c r="L11" s="166"/>
      <c r="M11" s="166"/>
    </row>
    <row r="12" spans="1:16">
      <c r="A12" s="9" t="str">
        <f t="shared" si="3"/>
        <v/>
      </c>
      <c r="B12" s="9" t="str">
        <f t="shared" si="0"/>
        <v/>
      </c>
      <c r="C12" s="9" t="str">
        <f t="shared" si="1"/>
        <v/>
      </c>
      <c r="D12" s="27"/>
      <c r="E12" s="172" t="str">
        <f>IF($D12&gt;0,VLOOKUP($D12,Flight!$A$1:$E$91,2,FALSE),"")</f>
        <v/>
      </c>
      <c r="F12" s="45"/>
      <c r="G12" s="43" t="str">
        <f t="shared" si="4"/>
        <v/>
      </c>
      <c r="H12" s="44" t="str">
        <f>IF($D12&gt;0,VLOOKUP($D12,Flight!$A$1:$E$91,3,FALSE),"")</f>
        <v/>
      </c>
      <c r="I12" s="44" t="str">
        <f>IF($D12&gt;0,IF(VLOOKUP($D12,Flight!$A$1:$E$91,4,FALSE)&gt;1,VLOOKUP($D12,Flight!$A$1:$E95,4,FALSE),""),"")</f>
        <v/>
      </c>
      <c r="J12" s="44" t="str">
        <f>IF($D12&gt;0,IF(VLOOKUP($D12,Flight!$A$1:$E$91,5,FALSE)&gt;1,VLOOKUP($D12,Flight!$A$1:$E$91,5,FALSE),""),"")</f>
        <v/>
      </c>
      <c r="K12" s="166" t="str">
        <f t="shared" si="2"/>
        <v/>
      </c>
      <c r="L12" s="166"/>
      <c r="M12" s="166"/>
    </row>
    <row r="13" spans="1:16">
      <c r="A13" s="9" t="str">
        <f t="shared" si="3"/>
        <v/>
      </c>
      <c r="B13" s="9" t="str">
        <f t="shared" si="0"/>
        <v/>
      </c>
      <c r="C13" s="9" t="str">
        <f t="shared" si="1"/>
        <v/>
      </c>
      <c r="D13" s="27"/>
      <c r="E13" s="172" t="str">
        <f>IF($D13&gt;0,VLOOKUP($D13,Flight!$A$1:$E$91,2,FALSE),"")</f>
        <v/>
      </c>
      <c r="F13" s="46"/>
      <c r="G13" s="43" t="str">
        <f t="shared" si="4"/>
        <v/>
      </c>
      <c r="H13" s="44" t="str">
        <f>IF($D13&gt;0,VLOOKUP($D13,Flight!$A$1:$E$91,3,FALSE),"")</f>
        <v/>
      </c>
      <c r="I13" s="44" t="str">
        <f>IF($D13&gt;0,IF(VLOOKUP($D13,Flight!$A$1:$E$91,4,FALSE)&gt;1,VLOOKUP($D13,Flight!$A$1:$E96,4,FALSE),""),"")</f>
        <v/>
      </c>
      <c r="J13" s="44" t="str">
        <f>IF($D13&gt;0,IF(VLOOKUP($D13,Flight!$A$1:$E$91,5,FALSE)&gt;1,VLOOKUP($D13,Flight!$A$1:$E$91,5,FALSE),""),"")</f>
        <v/>
      </c>
      <c r="K13" s="166" t="str">
        <f t="shared" si="2"/>
        <v/>
      </c>
      <c r="L13" s="166"/>
      <c r="M13" s="166"/>
      <c r="P13" s="87"/>
    </row>
    <row r="14" spans="1:16">
      <c r="A14" s="9" t="str">
        <f t="shared" si="3"/>
        <v/>
      </c>
      <c r="B14" s="9" t="str">
        <f t="shared" si="0"/>
        <v/>
      </c>
      <c r="C14" s="9" t="str">
        <f t="shared" si="1"/>
        <v/>
      </c>
      <c r="D14" s="27"/>
      <c r="E14" s="172" t="str">
        <f>IF($D14&gt;0,VLOOKUP($D14,Flight!$A$1:$E$91,2,FALSE),"")</f>
        <v/>
      </c>
      <c r="F14" s="46"/>
      <c r="G14" s="43" t="str">
        <f t="shared" si="4"/>
        <v/>
      </c>
      <c r="H14" s="44" t="str">
        <f>IF($D14&gt;0,VLOOKUP($D14,Flight!$A$1:$E$91,3,FALSE),"")</f>
        <v/>
      </c>
      <c r="I14" s="44" t="str">
        <f>IF($D14&gt;0,IF(VLOOKUP($D14,Flight!$A$1:$E$91,4,FALSE)&gt;1,VLOOKUP($D14,Flight!$A$1:$E97,4,FALSE),""),"")</f>
        <v/>
      </c>
      <c r="J14" s="44" t="str">
        <f>IF($D14&gt;0,IF(VLOOKUP($D14,Flight!$A$1:$E$91,5,FALSE)&gt;1,VLOOKUP($D14,Flight!$A$1:$E$91,5,FALSE),""),"")</f>
        <v/>
      </c>
      <c r="K14" s="166" t="str">
        <f t="shared" si="2"/>
        <v/>
      </c>
      <c r="L14" s="166"/>
      <c r="M14" s="166"/>
    </row>
    <row r="15" spans="1:16">
      <c r="A15" s="9" t="str">
        <f t="shared" si="3"/>
        <v/>
      </c>
      <c r="B15" s="9" t="str">
        <f t="shared" si="0"/>
        <v/>
      </c>
      <c r="C15" s="9" t="str">
        <f t="shared" si="1"/>
        <v/>
      </c>
      <c r="D15" s="27"/>
      <c r="E15" s="172" t="str">
        <f>IF($D15&gt;0,VLOOKUP($D15,Flight!$A$1:$E$91,2,FALSE),"")</f>
        <v/>
      </c>
      <c r="F15" s="46"/>
      <c r="G15" s="43" t="str">
        <f t="shared" si="4"/>
        <v/>
      </c>
      <c r="H15" s="44" t="str">
        <f>IF($D15&gt;0,VLOOKUP($D15,Flight!$A$1:$E$91,3,FALSE),"")</f>
        <v/>
      </c>
      <c r="I15" s="44" t="str">
        <f>IF($D15&gt;0,IF(VLOOKUP($D15,Flight!$A$1:$E$91,4,FALSE)&gt;1,VLOOKUP($D15,Flight!$A$1:$E98,4,FALSE),""),"")</f>
        <v/>
      </c>
      <c r="J15" s="44" t="str">
        <f>IF($D15&gt;0,IF(VLOOKUP($D15,Flight!$A$1:$E$91,5,FALSE)&gt;1,VLOOKUP($D15,Flight!$A$1:$E$91,5,FALSE),""),"")</f>
        <v/>
      </c>
      <c r="K15" s="166" t="str">
        <f t="shared" si="2"/>
        <v/>
      </c>
      <c r="L15" s="166"/>
      <c r="M15" s="166"/>
      <c r="O15" s="114"/>
    </row>
    <row r="16" spans="1:16">
      <c r="A16" s="9" t="str">
        <f t="shared" si="3"/>
        <v/>
      </c>
      <c r="B16" s="9" t="str">
        <f t="shared" si="0"/>
        <v/>
      </c>
      <c r="C16" s="9" t="str">
        <f t="shared" si="1"/>
        <v/>
      </c>
      <c r="D16" s="27"/>
      <c r="E16" s="172" t="str">
        <f>IF($D16&gt;0,VLOOKUP($D16,Flight!$A$1:$E$91,2,FALSE),"")</f>
        <v/>
      </c>
      <c r="F16" s="45"/>
      <c r="G16" s="43" t="str">
        <f t="shared" si="4"/>
        <v/>
      </c>
      <c r="H16" s="44" t="str">
        <f>IF($D16&gt;0,VLOOKUP($D16,Flight!$A$1:$E$91,3,FALSE),"")</f>
        <v/>
      </c>
      <c r="I16" s="44" t="str">
        <f>IF($D16&gt;0,IF(VLOOKUP($D16,Flight!$A$1:$E$91,4,FALSE)&gt;1,VLOOKUP($D16,Flight!$A$1:$E99,4,FALSE),""),"")</f>
        <v/>
      </c>
      <c r="J16" s="44" t="str">
        <f>IF($D16&gt;0,IF(VLOOKUP($D16,Flight!$A$1:$E$91,5,FALSE)&gt;1,VLOOKUP($D16,Flight!$A$1:$E$91,5,FALSE),""),"")</f>
        <v/>
      </c>
      <c r="K16" s="166" t="str">
        <f t="shared" si="2"/>
        <v/>
      </c>
      <c r="L16" s="166"/>
      <c r="M16" s="166"/>
      <c r="O16" s="114"/>
    </row>
    <row r="17" spans="1:15" ht="16.5" customHeight="1">
      <c r="A17" s="9" t="str">
        <f t="shared" si="3"/>
        <v/>
      </c>
      <c r="B17" s="9" t="str">
        <f t="shared" si="0"/>
        <v/>
      </c>
      <c r="C17" s="9" t="str">
        <f t="shared" si="1"/>
        <v/>
      </c>
      <c r="D17" s="27"/>
      <c r="E17" s="172" t="str">
        <f>IF($D17&gt;0,VLOOKUP($D17,Flight!$A$1:$E$91,2,FALSE),"")</f>
        <v/>
      </c>
      <c r="F17" s="45"/>
      <c r="G17" s="43" t="str">
        <f t="shared" si="4"/>
        <v/>
      </c>
      <c r="H17" s="44" t="str">
        <f>IF($D17&gt;0,VLOOKUP($D17,Flight!$A$1:$E$91,3,FALSE),"")</f>
        <v/>
      </c>
      <c r="I17" s="44" t="str">
        <f>IF($D17&gt;0,IF(VLOOKUP($D17,Flight!$A$1:$E$91,4,FALSE)&gt;1,VLOOKUP($D17,Flight!$A$1:$E100,4,FALSE),""),"")</f>
        <v/>
      </c>
      <c r="J17" s="44" t="str">
        <f>IF($D17&gt;0,IF(VLOOKUP($D17,Flight!$A$1:$E$91,5,FALSE)&gt;1,VLOOKUP($D17,Flight!$A$1:$E$91,5,FALSE),""),"")</f>
        <v/>
      </c>
      <c r="K17" s="166" t="str">
        <f t="shared" si="2"/>
        <v/>
      </c>
      <c r="L17" s="166"/>
      <c r="M17" s="166"/>
      <c r="O17" s="114"/>
    </row>
    <row r="18" spans="1:15">
      <c r="A18" s="9" t="str">
        <f t="shared" si="3"/>
        <v/>
      </c>
      <c r="B18" s="9" t="str">
        <f t="shared" si="0"/>
        <v/>
      </c>
      <c r="C18" s="9" t="str">
        <f t="shared" si="1"/>
        <v/>
      </c>
      <c r="D18" s="27"/>
      <c r="E18" s="172" t="str">
        <f>IF($D18&gt;0,VLOOKUP($D18,Flight!$A$1:$E$91,2,FALSE),"")</f>
        <v/>
      </c>
      <c r="F18" s="45"/>
      <c r="G18" s="43" t="str">
        <f t="shared" si="4"/>
        <v/>
      </c>
      <c r="H18" s="44" t="str">
        <f>IF($D18&gt;0,VLOOKUP($D18,Flight!$A$1:$E$91,3,FALSE),"")</f>
        <v/>
      </c>
      <c r="I18" s="44" t="str">
        <f>IF($D18&gt;0,IF(VLOOKUP($D18,Flight!$A$1:$E$91,4,FALSE)&gt;1,VLOOKUP($D18,Flight!$A$1:$E101,4,FALSE),""),"")</f>
        <v/>
      </c>
      <c r="J18" s="44" t="str">
        <f>IF($D18&gt;0,IF(VLOOKUP($D18,Flight!$A$1:$E$91,5,FALSE)&gt;1,VLOOKUP($D18,Flight!$A$1:$E$91,5,FALSE),""),"")</f>
        <v/>
      </c>
      <c r="K18" s="166" t="str">
        <f t="shared" si="2"/>
        <v/>
      </c>
      <c r="L18" s="166"/>
      <c r="M18" s="166"/>
      <c r="O18" s="114"/>
    </row>
    <row r="19" spans="1:15">
      <c r="A19" s="9" t="str">
        <f t="shared" si="3"/>
        <v/>
      </c>
      <c r="B19" s="9" t="str">
        <f t="shared" si="0"/>
        <v/>
      </c>
      <c r="C19" s="9" t="str">
        <f t="shared" si="1"/>
        <v/>
      </c>
      <c r="D19" s="27"/>
      <c r="E19" s="172" t="str">
        <f>IF($D19&gt;0,VLOOKUP($D19,Flight!$A$1:$E$91,2,FALSE),"")</f>
        <v/>
      </c>
      <c r="F19" s="45"/>
      <c r="G19" s="43" t="str">
        <f t="shared" si="4"/>
        <v/>
      </c>
      <c r="H19" s="44" t="str">
        <f>IF($D19&gt;0,VLOOKUP($D19,Flight!$A$1:$E$91,3,FALSE),"")</f>
        <v/>
      </c>
      <c r="I19" s="44" t="str">
        <f>IF($D19&gt;0,IF(VLOOKUP($D19,Flight!$A$1:$E$91,4,FALSE)&gt;1,VLOOKUP($D19,Flight!$A$1:$E102,4,FALSE),""),"")</f>
        <v/>
      </c>
      <c r="J19" s="44" t="str">
        <f>IF($D19&gt;0,IF(VLOOKUP($D19,Flight!$A$1:$E$91,5,FALSE)&gt;1,VLOOKUP($D19,Flight!$A$1:$E$91,5,FALSE),""),"")</f>
        <v/>
      </c>
      <c r="K19" s="166" t="str">
        <f t="shared" si="2"/>
        <v/>
      </c>
      <c r="L19" s="166"/>
      <c r="M19" s="166"/>
      <c r="O19" s="114"/>
    </row>
    <row r="20" spans="1:15">
      <c r="A20" s="9" t="str">
        <f t="shared" si="3"/>
        <v/>
      </c>
      <c r="B20" s="9" t="str">
        <f t="shared" si="0"/>
        <v/>
      </c>
      <c r="C20" s="9" t="str">
        <f t="shared" si="1"/>
        <v/>
      </c>
      <c r="D20" s="27"/>
      <c r="E20" s="172" t="str">
        <f>IF($D20&gt;0,VLOOKUP($D20,Flight!$A$1:$E$91,2,FALSE),"")</f>
        <v/>
      </c>
      <c r="F20" s="45"/>
      <c r="G20" s="43" t="str">
        <f t="shared" si="4"/>
        <v/>
      </c>
      <c r="H20" s="44" t="str">
        <f>IF($D20&gt;0,VLOOKUP($D20,Flight!$A$1:$E$91,3,FALSE),"")</f>
        <v/>
      </c>
      <c r="I20" s="44" t="str">
        <f>IF($D20&gt;0,IF(VLOOKUP($D20,Flight!$A$1:$E$91,4,FALSE)&gt;1,VLOOKUP($D20,Flight!$A$1:$E103,4,FALSE),""),"")</f>
        <v/>
      </c>
      <c r="J20" s="44" t="str">
        <f>IF($D20&gt;0,IF(VLOOKUP($D20,Flight!$A$1:$E$91,5,FALSE)&gt;1,VLOOKUP($D20,Flight!$A$1:$E$91,5,FALSE),""),"")</f>
        <v/>
      </c>
      <c r="K20" s="166" t="str">
        <f t="shared" si="2"/>
        <v/>
      </c>
      <c r="L20" s="166"/>
      <c r="M20" s="166"/>
      <c r="O20" s="114"/>
    </row>
    <row r="21" spans="1:15" ht="15.75" customHeight="1">
      <c r="A21" s="9" t="str">
        <f t="shared" si="3"/>
        <v/>
      </c>
      <c r="B21" s="9" t="str">
        <f t="shared" si="0"/>
        <v/>
      </c>
      <c r="C21" s="9" t="str">
        <f t="shared" si="1"/>
        <v/>
      </c>
      <c r="D21" s="9"/>
      <c r="E21" s="172" t="str">
        <f>IF($D21&gt;0,VLOOKUP($D21,Flight!$A$1:$E$91,2,FALSE),"")</f>
        <v/>
      </c>
      <c r="F21" s="44"/>
      <c r="G21" s="43" t="str">
        <f t="shared" si="4"/>
        <v/>
      </c>
      <c r="H21" s="44" t="str">
        <f>IF($D21&gt;0,VLOOKUP($D21,Flight!$A$1:$E$91,3,FALSE),"")</f>
        <v/>
      </c>
      <c r="I21" s="44" t="str">
        <f>IF($D21&gt;0,IF(VLOOKUP($D21,Flight!$A$1:$E$91,4,FALSE)&gt;1,VLOOKUP($D21,Flight!$A$1:$E104,4,FALSE),""),"")</f>
        <v/>
      </c>
      <c r="J21" s="44" t="str">
        <f>IF($D21&gt;0,IF(VLOOKUP($D21,Flight!$A$1:$E$91,5,FALSE)&gt;1,VLOOKUP($D21,Flight!$A$1:$E$91,5,FALSE),""),"")</f>
        <v/>
      </c>
      <c r="K21" s="166" t="str">
        <f t="shared" si="2"/>
        <v/>
      </c>
      <c r="L21" s="166"/>
      <c r="M21" s="166"/>
      <c r="O21" s="114"/>
    </row>
    <row r="22" spans="1:15">
      <c r="A22" s="9" t="str">
        <f t="shared" si="3"/>
        <v/>
      </c>
      <c r="B22" s="9" t="str">
        <f t="shared" si="0"/>
        <v/>
      </c>
      <c r="C22" s="9" t="str">
        <f t="shared" si="1"/>
        <v/>
      </c>
      <c r="D22" s="9"/>
      <c r="E22" s="172" t="str">
        <f>IF($D22&gt;0,VLOOKUP($D22,Flight!$A$1:$E$91,2,FALSE),"")</f>
        <v/>
      </c>
      <c r="F22" s="44"/>
      <c r="G22" s="43" t="str">
        <f t="shared" si="4"/>
        <v/>
      </c>
      <c r="H22" s="44" t="str">
        <f>IF($D22&gt;0,VLOOKUP($D22,Flight!$A$1:$E$91,3,FALSE),"")</f>
        <v/>
      </c>
      <c r="I22" s="44" t="str">
        <f>IF($D22&gt;0,IF(VLOOKUP($D22,Flight!$A$1:$E$91,4,FALSE)&gt;1,VLOOKUP($D22,Flight!$A$1:$E105,4,FALSE),""),"")</f>
        <v/>
      </c>
      <c r="J22" s="44" t="str">
        <f>IF($D22&gt;0,IF(VLOOKUP($D22,Flight!$A$1:$E$91,5,FALSE)&gt;1,VLOOKUP($D22,Flight!$A$1:$E$91,5,FALSE),""),"")</f>
        <v/>
      </c>
      <c r="K22" s="166" t="str">
        <f t="shared" si="2"/>
        <v/>
      </c>
      <c r="L22" s="166"/>
      <c r="M22" s="166"/>
      <c r="O22" s="114"/>
    </row>
    <row r="23" spans="1:15">
      <c r="A23" s="9" t="str">
        <f t="shared" si="3"/>
        <v/>
      </c>
      <c r="B23" s="9" t="str">
        <f t="shared" si="0"/>
        <v/>
      </c>
      <c r="C23" s="9" t="str">
        <f t="shared" si="1"/>
        <v/>
      </c>
      <c r="D23" s="9"/>
      <c r="E23" s="172" t="str">
        <f>IF($D23&gt;0,VLOOKUP($D23,Flight!$A$1:$E$91,2,FALSE),"")</f>
        <v/>
      </c>
      <c r="F23" s="44"/>
      <c r="G23" s="43" t="str">
        <f t="shared" si="4"/>
        <v/>
      </c>
      <c r="H23" s="44" t="str">
        <f>IF($D23&gt;0,VLOOKUP($D23,Flight!$A$1:$E$91,3,FALSE),"")</f>
        <v/>
      </c>
      <c r="I23" s="44" t="str">
        <f>IF($D23&gt;0,IF(VLOOKUP($D23,Flight!$A$1:$E$91,4,FALSE)&gt;1,VLOOKUP($D23,Flight!$A$1:$E106,4,FALSE),""),"")</f>
        <v/>
      </c>
      <c r="J23" s="44" t="str">
        <f>IF($D23&gt;0,IF(VLOOKUP($D23,Flight!$A$1:$E$91,5,FALSE)&gt;1,VLOOKUP($D23,Flight!$A$1:$E$91,5,FALSE),""),"")</f>
        <v/>
      </c>
      <c r="K23" s="166" t="str">
        <f t="shared" si="2"/>
        <v/>
      </c>
      <c r="L23" s="166"/>
      <c r="M23" s="166"/>
      <c r="O23" s="114"/>
    </row>
    <row r="24" spans="1:15">
      <c r="A24" s="9" t="str">
        <f t="shared" si="3"/>
        <v/>
      </c>
      <c r="B24" s="9" t="str">
        <f t="shared" si="0"/>
        <v/>
      </c>
      <c r="C24" s="9" t="str">
        <f t="shared" si="1"/>
        <v/>
      </c>
      <c r="D24" s="27"/>
      <c r="E24" s="172" t="str">
        <f>IF($D24&gt;0,VLOOKUP($D24,Flight!$A$1:$E$91,2,FALSE),"")</f>
        <v/>
      </c>
      <c r="F24" s="45"/>
      <c r="G24" s="43" t="str">
        <f t="shared" si="4"/>
        <v/>
      </c>
      <c r="H24" s="44" t="str">
        <f>IF($D24&gt;0,VLOOKUP($D24,Flight!$A$1:$E$91,3,FALSE),"")</f>
        <v/>
      </c>
      <c r="I24" s="44" t="str">
        <f>IF($D24&gt;0,IF(VLOOKUP($D24,Flight!$A$1:$E$91,4,FALSE)&gt;1,VLOOKUP($D24,Flight!$A$1:$E107,4,FALSE),""),"")</f>
        <v/>
      </c>
      <c r="J24" s="44" t="str">
        <f>IF($D24&gt;0,IF(VLOOKUP($D24,Flight!$A$1:$E$91,5,FALSE)&gt;1,VLOOKUP($D24,Flight!$A$1:$E$91,5,FALSE),""),"")</f>
        <v/>
      </c>
      <c r="K24" s="166" t="str">
        <f t="shared" si="2"/>
        <v/>
      </c>
      <c r="L24" s="166"/>
      <c r="M24" s="166"/>
      <c r="O24" s="114"/>
    </row>
    <row r="25" spans="1:15">
      <c r="A25" s="9" t="str">
        <f t="shared" si="3"/>
        <v/>
      </c>
      <c r="B25" s="9" t="str">
        <f t="shared" si="0"/>
        <v/>
      </c>
      <c r="C25" s="9" t="str">
        <f t="shared" si="1"/>
        <v/>
      </c>
      <c r="D25" s="27"/>
      <c r="E25" s="172" t="str">
        <f>IF($D25&gt;0,VLOOKUP($D25,Flight!$A$1:$E$91,2,FALSE),"")</f>
        <v/>
      </c>
      <c r="F25" s="45"/>
      <c r="G25" s="43" t="str">
        <f t="shared" si="4"/>
        <v/>
      </c>
      <c r="H25" s="44" t="str">
        <f>IF($D25&gt;0,VLOOKUP($D25,Flight!$A$1:$E$91,3,FALSE),"")</f>
        <v/>
      </c>
      <c r="I25" s="44" t="str">
        <f>IF($D25&gt;0,IF(VLOOKUP($D25,Flight!$A$1:$E$91,4,FALSE)&gt;1,VLOOKUP($D25,Flight!$A$1:$E108,4,FALSE),""),"")</f>
        <v/>
      </c>
      <c r="J25" s="44" t="str">
        <f>IF($D25&gt;0,IF(VLOOKUP($D25,Flight!$A$1:$E$91,5,FALSE)&gt;1,VLOOKUP($D25,Flight!$A$1:$E$91,5,FALSE),""),"")</f>
        <v/>
      </c>
      <c r="K25" s="166" t="str">
        <f t="shared" si="2"/>
        <v/>
      </c>
      <c r="L25" s="166"/>
      <c r="M25" s="166"/>
      <c r="O25" s="114"/>
    </row>
    <row r="26" spans="1:15">
      <c r="A26" s="9" t="str">
        <f t="shared" si="3"/>
        <v/>
      </c>
      <c r="B26" s="9" t="str">
        <f t="shared" si="0"/>
        <v/>
      </c>
      <c r="C26" s="9" t="str">
        <f t="shared" si="1"/>
        <v/>
      </c>
      <c r="D26" s="27"/>
      <c r="E26" s="172" t="str">
        <f>IF($D26&gt;0,VLOOKUP($D26,Flight!$A$1:$E$91,2,FALSE),"")</f>
        <v/>
      </c>
      <c r="F26" s="44"/>
      <c r="G26" s="43" t="str">
        <f t="shared" si="4"/>
        <v/>
      </c>
      <c r="H26" s="44" t="str">
        <f>IF($D26&gt;0,VLOOKUP($D26,Flight!$A$1:$E$91,3,FALSE),"")</f>
        <v/>
      </c>
      <c r="I26" s="44" t="str">
        <f>IF($D26&gt;0,IF(VLOOKUP($D26,Flight!$A$1:$E$91,4,FALSE)&gt;1,VLOOKUP($D26,Flight!$A$1:$E109,4,FALSE),""),"")</f>
        <v/>
      </c>
      <c r="J26" s="44" t="str">
        <f>IF($D26&gt;0,IF(VLOOKUP($D26,Flight!$A$1:$E$91,5,FALSE)&gt;1,VLOOKUP($D26,Flight!$A$1:$E$91,5,FALSE),""),"")</f>
        <v/>
      </c>
      <c r="K26" s="166" t="str">
        <f t="shared" si="2"/>
        <v/>
      </c>
      <c r="L26" s="166"/>
      <c r="M26" s="166"/>
      <c r="O26" s="114"/>
    </row>
    <row r="27" spans="1:15">
      <c r="A27" s="9" t="str">
        <f t="shared" si="3"/>
        <v/>
      </c>
      <c r="B27" s="9" t="str">
        <f t="shared" si="0"/>
        <v/>
      </c>
      <c r="C27" s="9" t="str">
        <f t="shared" si="1"/>
        <v/>
      </c>
      <c r="D27" s="27"/>
      <c r="E27" s="172" t="str">
        <f>IF($D27&gt;0,VLOOKUP($D27,Flight!$A$1:$E$91,2,FALSE),"")</f>
        <v/>
      </c>
      <c r="F27" s="45"/>
      <c r="G27" s="43" t="str">
        <f t="shared" si="4"/>
        <v/>
      </c>
      <c r="H27" s="44" t="str">
        <f>IF($D27&gt;0,VLOOKUP($D27,Flight!$A$1:$E$91,3,FALSE),"")</f>
        <v/>
      </c>
      <c r="I27" s="44" t="str">
        <f>IF($D27&gt;0,IF(VLOOKUP($D27,Flight!$A$1:$E$91,4,FALSE)&gt;1,VLOOKUP($D27,Flight!$A$1:$E110,4,FALSE),""),"")</f>
        <v/>
      </c>
      <c r="J27" s="44" t="str">
        <f>IF($D27&gt;0,IF(VLOOKUP($D27,Flight!$A$1:$E$91,5,FALSE)&gt;1,VLOOKUP($D27,Flight!$A$1:$E$91,5,FALSE),""),"")</f>
        <v/>
      </c>
      <c r="K27" s="166" t="str">
        <f t="shared" si="2"/>
        <v/>
      </c>
      <c r="L27" s="166"/>
      <c r="M27" s="166"/>
      <c r="O27" s="114"/>
    </row>
    <row r="28" spans="1:15">
      <c r="A28" s="9" t="str">
        <f t="shared" si="3"/>
        <v/>
      </c>
      <c r="B28" s="9" t="str">
        <f t="shared" si="0"/>
        <v/>
      </c>
      <c r="C28" s="9" t="str">
        <f t="shared" si="1"/>
        <v/>
      </c>
      <c r="D28" s="27"/>
      <c r="E28" s="172" t="str">
        <f>IF($D28&gt;0,VLOOKUP($D28,Flight!$A$1:$E$91,2,FALSE),"")</f>
        <v/>
      </c>
      <c r="F28" s="45"/>
      <c r="G28" s="43" t="str">
        <f t="shared" si="4"/>
        <v/>
      </c>
      <c r="H28" s="44" t="str">
        <f>IF($D28&gt;0,VLOOKUP($D28,Flight!$A$1:$E$91,3,FALSE),"")</f>
        <v/>
      </c>
      <c r="I28" s="44" t="str">
        <f>IF($D28&gt;0,IF(VLOOKUP($D28,Flight!$A$1:$E$91,4,FALSE)&gt;1,VLOOKUP($D28,Flight!$A$1:$E111,4,FALSE),""),"")</f>
        <v/>
      </c>
      <c r="J28" s="44" t="str">
        <f>IF($D28&gt;0,IF(VLOOKUP($D28,Flight!$A$1:$E$91,5,FALSE)&gt;1,VLOOKUP($D28,Flight!$A$1:$E$91,5,FALSE),""),"")</f>
        <v/>
      </c>
      <c r="K28" s="166" t="str">
        <f t="shared" si="2"/>
        <v/>
      </c>
      <c r="L28" s="166"/>
      <c r="M28" s="166"/>
    </row>
    <row r="29" spans="1:15">
      <c r="A29" s="9" t="str">
        <f t="shared" si="3"/>
        <v/>
      </c>
      <c r="B29" s="9" t="str">
        <f t="shared" si="0"/>
        <v/>
      </c>
      <c r="C29" s="9" t="str">
        <f t="shared" si="1"/>
        <v/>
      </c>
      <c r="D29" s="27"/>
      <c r="E29" s="172" t="str">
        <f>IF($D29&gt;0,VLOOKUP($D29,Flight!$A$1:$E$91,2,FALSE),"")</f>
        <v/>
      </c>
      <c r="F29" s="49"/>
      <c r="G29" s="43" t="str">
        <f t="shared" si="4"/>
        <v/>
      </c>
      <c r="H29" s="44" t="str">
        <f>IF($D29&gt;0,VLOOKUP($D29,Flight!$A$1:$E$91,3,FALSE),"")</f>
        <v/>
      </c>
      <c r="I29" s="44" t="str">
        <f>IF($D29&gt;0,IF(VLOOKUP($D29,Flight!$A$1:$E$91,4,FALSE)&gt;1,VLOOKUP($D29,Flight!$A$1:$E112,4,FALSE),""),"")</f>
        <v/>
      </c>
      <c r="J29" s="44" t="str">
        <f>IF($D29&gt;0,IF(VLOOKUP($D29,Flight!$A$1:$E$91,5,FALSE)&gt;1,VLOOKUP($D29,Flight!$A$1:$E$91,5,FALSE),""),"")</f>
        <v/>
      </c>
      <c r="K29" s="166" t="str">
        <f t="shared" si="2"/>
        <v/>
      </c>
      <c r="L29" s="166"/>
      <c r="M29" s="166"/>
    </row>
    <row r="30" spans="1:15">
      <c r="A30" s="9" t="str">
        <f t="shared" si="3"/>
        <v/>
      </c>
      <c r="B30" s="9" t="str">
        <f t="shared" si="0"/>
        <v/>
      </c>
      <c r="C30" s="9" t="str">
        <f t="shared" si="1"/>
        <v/>
      </c>
      <c r="D30" s="27"/>
      <c r="E30" s="172" t="str">
        <f>IF($D30&gt;0,VLOOKUP($D30,Flight!$A$1:$E$91,2,FALSE),"")</f>
        <v/>
      </c>
      <c r="F30" s="45"/>
      <c r="G30" s="43" t="str">
        <f t="shared" si="4"/>
        <v/>
      </c>
      <c r="H30" s="44" t="str">
        <f>IF($D30&gt;0,VLOOKUP($D30,Flight!$A$1:$E$91,3,FALSE),"")</f>
        <v/>
      </c>
      <c r="I30" s="44" t="str">
        <f>IF($D30&gt;0,IF(VLOOKUP($D30,Flight!$A$1:$E$91,4,FALSE)&gt;1,VLOOKUP($D30,Flight!$A$1:$E113,4,FALSE),""),"")</f>
        <v/>
      </c>
      <c r="J30" s="44" t="str">
        <f>IF($D30&gt;0,IF(VLOOKUP($D30,Flight!$A$1:$E$91,5,FALSE)&gt;1,VLOOKUP($D30,Flight!$A$1:$E$91,5,FALSE),""),"")</f>
        <v/>
      </c>
      <c r="K30" s="166" t="str">
        <f t="shared" si="2"/>
        <v/>
      </c>
      <c r="L30" s="166"/>
      <c r="M30" s="166"/>
    </row>
    <row r="31" spans="1:15">
      <c r="A31" s="9" t="str">
        <f t="shared" si="3"/>
        <v/>
      </c>
      <c r="B31" s="9" t="str">
        <f t="shared" si="0"/>
        <v/>
      </c>
      <c r="C31" s="9" t="str">
        <f t="shared" si="1"/>
        <v/>
      </c>
      <c r="D31" s="27"/>
      <c r="E31" s="172" t="str">
        <f>IF($D31&gt;0,VLOOKUP($D31,Flight!$A$1:$E$91,2,FALSE),"")</f>
        <v/>
      </c>
      <c r="F31" s="45"/>
      <c r="G31" s="43" t="str">
        <f t="shared" si="4"/>
        <v/>
      </c>
      <c r="H31" s="44" t="str">
        <f>IF($D31&gt;0,VLOOKUP($D31,Flight!$A$1:$E$91,3,FALSE),"")</f>
        <v/>
      </c>
      <c r="I31" s="44" t="str">
        <f>IF($D31&gt;0,IF(VLOOKUP($D31,Flight!$A$1:$E$91,4,FALSE)&gt;1,VLOOKUP($D31,Flight!$A$1:$E114,4,FALSE),""),"")</f>
        <v/>
      </c>
      <c r="J31" s="44" t="str">
        <f>IF($D31&gt;0,IF(VLOOKUP($D31,Flight!$A$1:$E$91,5,FALSE)&gt;1,VLOOKUP($D31,Flight!$A$1:$E$91,5,FALSE),""),"")</f>
        <v/>
      </c>
      <c r="K31" s="166" t="str">
        <f t="shared" si="2"/>
        <v/>
      </c>
      <c r="L31" s="166"/>
      <c r="M31" s="166"/>
    </row>
    <row r="32" spans="1:15">
      <c r="A32" s="9" t="str">
        <f t="shared" si="3"/>
        <v/>
      </c>
      <c r="B32" s="9" t="str">
        <f t="shared" si="0"/>
        <v/>
      </c>
      <c r="C32" s="9" t="str">
        <f t="shared" si="1"/>
        <v/>
      </c>
      <c r="D32" s="27"/>
      <c r="E32" s="172" t="str">
        <f>IF($D32&gt;0,VLOOKUP($D32,Flight!$A$1:$E$91,2,FALSE),"")</f>
        <v/>
      </c>
      <c r="F32" s="46"/>
      <c r="G32" s="43" t="str">
        <f t="shared" si="4"/>
        <v/>
      </c>
      <c r="H32" s="44" t="str">
        <f>IF($D32&gt;0,VLOOKUP($D32,Flight!$A$1:$E$91,3,FALSE),"")</f>
        <v/>
      </c>
      <c r="I32" s="44" t="str">
        <f>IF($D32&gt;0,IF(VLOOKUP($D32,Flight!$A$1:$E$91,4,FALSE)&gt;1,VLOOKUP($D32,Flight!$A$1:$E115,4,FALSE),""),"")</f>
        <v/>
      </c>
      <c r="J32" s="44" t="str">
        <f>IF($D32&gt;0,IF(VLOOKUP($D32,Flight!$A$1:$E$91,5,FALSE)&gt;1,VLOOKUP($D32,Flight!$A$1:$E$91,5,FALSE),""),"")</f>
        <v/>
      </c>
      <c r="K32" s="166" t="str">
        <f t="shared" si="2"/>
        <v/>
      </c>
      <c r="L32" s="166"/>
      <c r="M32" s="166"/>
    </row>
    <row r="33" spans="1:18">
      <c r="A33" s="9" t="str">
        <f t="shared" si="3"/>
        <v/>
      </c>
      <c r="B33" s="9" t="str">
        <f t="shared" si="0"/>
        <v/>
      </c>
      <c r="C33" s="9" t="str">
        <f t="shared" si="1"/>
        <v/>
      </c>
      <c r="D33" s="27"/>
      <c r="E33" s="172" t="str">
        <f>IF($D33&gt;0,VLOOKUP($D33,Flight!$A$1:$E$91,2,FALSE),"")</f>
        <v/>
      </c>
      <c r="F33" s="45"/>
      <c r="G33" s="43" t="str">
        <f t="shared" si="4"/>
        <v/>
      </c>
      <c r="H33" s="44" t="str">
        <f>IF($D33&gt;0,VLOOKUP($D33,Flight!$A$1:$E$91,3,FALSE),"")</f>
        <v/>
      </c>
      <c r="I33" s="44" t="str">
        <f>IF($D33&gt;0,IF(VLOOKUP($D33,Flight!$A$1:$E$91,4,FALSE)&gt;1,VLOOKUP($D33,Flight!$A$1:$E116,4,FALSE),""),"")</f>
        <v/>
      </c>
      <c r="J33" s="44" t="str">
        <f>IF($D33&gt;0,IF(VLOOKUP($D33,Flight!$A$1:$E$91,5,FALSE)&gt;1,VLOOKUP($D33,Flight!$A$1:$E$91,5,FALSE),""),"")</f>
        <v/>
      </c>
      <c r="K33" s="166" t="str">
        <f t="shared" si="2"/>
        <v/>
      </c>
      <c r="L33" s="166"/>
      <c r="M33" s="166"/>
    </row>
    <row r="34" spans="1:18">
      <c r="A34" s="9" t="str">
        <f t="shared" si="3"/>
        <v/>
      </c>
      <c r="B34" s="9" t="str">
        <f t="shared" si="0"/>
        <v/>
      </c>
      <c r="C34" s="9" t="str">
        <f t="shared" si="1"/>
        <v/>
      </c>
      <c r="D34" s="27"/>
      <c r="E34" s="172" t="str">
        <f>IF($D34&gt;0,VLOOKUP($D34,Flight!$A$1:$E$91,2,FALSE),"")</f>
        <v/>
      </c>
      <c r="F34" s="45"/>
      <c r="G34" s="43" t="str">
        <f t="shared" si="4"/>
        <v/>
      </c>
      <c r="H34" s="44" t="str">
        <f>IF($D34&gt;0,VLOOKUP($D34,Flight!$A$1:$E$91,3,FALSE),"")</f>
        <v/>
      </c>
      <c r="I34" s="44" t="str">
        <f>IF($D34&gt;0,IF(VLOOKUP($D34,Flight!$A$1:$E$91,4,FALSE)&gt;1,VLOOKUP($D34,Flight!$A$1:$E117,4,FALSE),""),"")</f>
        <v/>
      </c>
      <c r="J34" s="44" t="str">
        <f>IF($D34&gt;0,IF(VLOOKUP($D34,Flight!$A$1:$E$91,5,FALSE)&gt;1,VLOOKUP($D34,Flight!$A$1:$E$91,5,FALSE),""),"")</f>
        <v/>
      </c>
      <c r="K34" s="166" t="str">
        <f t="shared" si="2"/>
        <v/>
      </c>
      <c r="L34" s="166"/>
      <c r="M34" s="167"/>
      <c r="P34" s="84"/>
    </row>
    <row r="35" spans="1:18">
      <c r="A35" s="9" t="str">
        <f t="shared" si="3"/>
        <v/>
      </c>
      <c r="B35" s="9" t="str">
        <f t="shared" si="0"/>
        <v/>
      </c>
      <c r="C35" s="9" t="str">
        <f t="shared" si="1"/>
        <v/>
      </c>
      <c r="D35" s="27"/>
      <c r="E35" s="172" t="str">
        <f>IF($D35&gt;0,VLOOKUP($D35,Flight!$A$1:$E$91,2,FALSE),"")</f>
        <v/>
      </c>
      <c r="F35" s="45"/>
      <c r="G35" s="43" t="str">
        <f t="shared" si="4"/>
        <v/>
      </c>
      <c r="H35" s="44" t="str">
        <f>IF($D35&gt;0,VLOOKUP($D35,Flight!$A$1:$E$91,3,FALSE),"")</f>
        <v/>
      </c>
      <c r="I35" s="44" t="str">
        <f>IF($D35&gt;0,IF(VLOOKUP($D35,Flight!$A$1:$E$91,4,FALSE)&gt;1,VLOOKUP($D35,Flight!$A$1:$E118,4,FALSE),""),"")</f>
        <v/>
      </c>
      <c r="J35" s="44" t="str">
        <f>IF($D35&gt;0,IF(VLOOKUP($D35,Flight!$A$1:$E$91,5,FALSE)&gt;1,VLOOKUP($D35,Flight!$A$1:$E$91,5,FALSE),""),"")</f>
        <v/>
      </c>
      <c r="K35" s="166" t="str">
        <f t="shared" si="2"/>
        <v/>
      </c>
      <c r="L35" s="166"/>
      <c r="M35" s="167"/>
      <c r="O35" s="115"/>
      <c r="P35" s="87"/>
    </row>
    <row r="36" spans="1:18" ht="16.5">
      <c r="A36" s="9" t="str">
        <f t="shared" si="3"/>
        <v/>
      </c>
      <c r="B36" s="9" t="str">
        <f t="shared" si="0"/>
        <v/>
      </c>
      <c r="C36" s="9" t="str">
        <f t="shared" si="1"/>
        <v/>
      </c>
      <c r="D36" s="27"/>
      <c r="E36" s="172" t="str">
        <f>IF($D36&gt;0,VLOOKUP($D36,Flight!$A$1:$E$91,2,FALSE),"")</f>
        <v/>
      </c>
      <c r="F36" s="45"/>
      <c r="G36" s="43" t="str">
        <f t="shared" si="4"/>
        <v/>
      </c>
      <c r="H36" s="44" t="str">
        <f>IF($D36&gt;0,VLOOKUP($D36,Flight!$A$1:$E$91,3,FALSE),"")</f>
        <v/>
      </c>
      <c r="I36" s="44" t="str">
        <f>IF($D36&gt;0,IF(VLOOKUP($D36,Flight!$A$1:$E$91,4,FALSE)&gt;1,VLOOKUP($D36,Flight!$A$1:$E119,4,FALSE),""),"")</f>
        <v/>
      </c>
      <c r="J36" s="44" t="str">
        <f>IF($D36&gt;0,IF(VLOOKUP($D36,Flight!$A$1:$E$91,5,FALSE)&gt;1,VLOOKUP($D36,Flight!$A$1:$E$91,5,FALSE),""),"")</f>
        <v/>
      </c>
      <c r="K36" s="166" t="str">
        <f t="shared" si="2"/>
        <v/>
      </c>
      <c r="L36" s="166"/>
      <c r="M36" s="167"/>
      <c r="O36" s="4"/>
      <c r="P36" s="88"/>
      <c r="Q36" s="4"/>
      <c r="R36" s="4"/>
    </row>
    <row r="37" spans="1:18">
      <c r="A37" s="9" t="str">
        <f t="shared" si="3"/>
        <v/>
      </c>
      <c r="B37" s="9" t="str">
        <f t="shared" si="0"/>
        <v/>
      </c>
      <c r="C37" s="9" t="str">
        <f t="shared" si="1"/>
        <v/>
      </c>
      <c r="D37" s="27"/>
      <c r="E37" s="172" t="str">
        <f>IF($D37&gt;0,VLOOKUP($D37,Flight!$A$1:$E$91,2,FALSE),"")</f>
        <v/>
      </c>
      <c r="F37" s="45"/>
      <c r="G37" s="43" t="str">
        <f t="shared" si="4"/>
        <v/>
      </c>
      <c r="H37" s="44" t="str">
        <f>IF($D37&gt;0,VLOOKUP($D37,Flight!$A$1:$E$91,3,FALSE),"")</f>
        <v/>
      </c>
      <c r="I37" s="44" t="str">
        <f>IF($D37&gt;0,IF(VLOOKUP($D37,Flight!$A$1:$E$91,4,FALSE)&gt;1,VLOOKUP($D37,Flight!$A$1:$E120,4,FALSE),""),"")</f>
        <v/>
      </c>
      <c r="J37" s="44" t="str">
        <f>IF($D37&gt;0,IF(VLOOKUP($D37,Flight!$A$1:$E$91,5,FALSE)&gt;1,VLOOKUP($D37,Flight!$A$1:$E$91,5,FALSE),""),"")</f>
        <v/>
      </c>
      <c r="K37" s="166" t="str">
        <f t="shared" si="2"/>
        <v/>
      </c>
      <c r="L37" s="166"/>
      <c r="M37" s="167"/>
      <c r="O37" s="4"/>
      <c r="P37" s="4"/>
      <c r="Q37" s="4"/>
      <c r="R37" s="4"/>
    </row>
    <row r="38" spans="1:18" s="188" customFormat="1" ht="16.5">
      <c r="A38" s="9" t="str">
        <f t="shared" si="3"/>
        <v/>
      </c>
      <c r="B38" s="9" t="str">
        <f t="shared" si="0"/>
        <v/>
      </c>
      <c r="C38" s="9" t="str">
        <f t="shared" si="1"/>
        <v/>
      </c>
      <c r="D38" s="27"/>
      <c r="E38" s="172" t="str">
        <f>IF($D38&gt;0,VLOOKUP($D38,Flight!$A$1:$E$91,2,FALSE),"")</f>
        <v/>
      </c>
      <c r="F38" s="45"/>
      <c r="G38" s="43" t="str">
        <f t="shared" si="4"/>
        <v/>
      </c>
      <c r="H38" s="44" t="str">
        <f>IF($D38&gt;0,VLOOKUP($D38,Flight!$A$1:$E$91,3,FALSE),"")</f>
        <v/>
      </c>
      <c r="I38" s="44" t="str">
        <f>IF($D38&gt;0,IF(VLOOKUP($D38,Flight!$A$1:$E$91,4,FALSE)&gt;1,VLOOKUP($D38,Flight!$A$1:$E121,4,FALSE),""),"")</f>
        <v/>
      </c>
      <c r="J38" s="44" t="str">
        <f>IF($D38&gt;0,IF(VLOOKUP($D38,Flight!$A$1:$E$91,5,FALSE)&gt;1,VLOOKUP($D38,Flight!$A$1:$E$91,5,FALSE),""),"")</f>
        <v/>
      </c>
      <c r="K38" s="166" t="str">
        <f t="shared" si="2"/>
        <v/>
      </c>
      <c r="L38" s="166"/>
      <c r="M38" s="166"/>
      <c r="O38" s="4"/>
      <c r="P38" s="89"/>
      <c r="Q38" s="4"/>
      <c r="R38" s="4"/>
    </row>
    <row r="39" spans="1:18" s="188" customFormat="1" ht="16.5">
      <c r="A39" s="9" t="str">
        <f t="shared" si="3"/>
        <v/>
      </c>
      <c r="B39" s="9" t="str">
        <f t="shared" ref="B39:B42" si="5">IF($E39&lt;&gt;"",IF($E39-715&lt;0,VLOOKUP($B$3,$E$62:$J$73,6,FALSE),IF(AND($E39-2130&gt;0,_xlfn.IFNA(MATCH($D39,$D$106:$D$116,0)&lt;20,"")=TRUE),VLOOKUP($L$3,$E$62:$J$73,6,FALSE),"-")),"")</f>
        <v/>
      </c>
      <c r="C39" s="9" t="str">
        <f t="shared" ref="C39:C42" si="6">IF($E39&lt;&gt;"",IF(ISNUMBER(SEARCH("Hall Operation",$K39)),"-",IF($E39-715&lt;0,VLOOKUP($B$3,$E$62:$J$73,6,FALSE),IF($E39-2129&gt;0,VLOOKUP($L$3,$E$62:$J$73,6,FALSE),""))),"")</f>
        <v/>
      </c>
      <c r="D39" s="27"/>
      <c r="E39" s="172" t="str">
        <f>IF($D39&gt;0,VLOOKUP($D39,Flight!$A$1:$E$91,2,FALSE),"")</f>
        <v/>
      </c>
      <c r="F39" s="45"/>
      <c r="G39" s="43" t="str">
        <f t="shared" si="4"/>
        <v/>
      </c>
      <c r="H39" s="44" t="str">
        <f>IF($D39&gt;0,VLOOKUP($D39,Flight!$A$1:$E$91,3,FALSE),"")</f>
        <v/>
      </c>
      <c r="I39" s="44" t="str">
        <f>IF($D39&gt;0,IF(VLOOKUP($D39,Flight!$A$1:$E$91,4,FALSE)&gt;1,VLOOKUP($D39,Flight!$A$1:$E122,4,FALSE),""),"")</f>
        <v/>
      </c>
      <c r="J39" s="44" t="str">
        <f>IF($D39&gt;0,IF(VLOOKUP($D39,Flight!$A$1:$E$91,5,FALSE)&gt;1,VLOOKUP($D39,Flight!$A$1:$E$91,5,FALSE),""),"")</f>
        <v/>
      </c>
      <c r="K39" s="166" t="str">
        <f t="shared" ref="K39:K42" si="7">IF($D39=0,"",IF(OR(ISNUMBER(SEARCH("S",$B39)),_xlfn.IFNA(MATCH($D39,$D$106:$D$116,0)&lt;20,"")=TRUE),"&lt;   Hall Operation   &gt;",""))</f>
        <v/>
      </c>
      <c r="L39" s="166"/>
      <c r="M39" s="166"/>
      <c r="O39" s="4"/>
      <c r="P39" s="89"/>
      <c r="Q39" s="4"/>
      <c r="R39" s="4"/>
    </row>
    <row r="40" spans="1:18" ht="16.5">
      <c r="A40" s="9" t="str">
        <f t="shared" si="3"/>
        <v/>
      </c>
      <c r="B40" s="9" t="str">
        <f t="shared" si="5"/>
        <v/>
      </c>
      <c r="C40" s="9" t="str">
        <f t="shared" si="6"/>
        <v/>
      </c>
      <c r="D40" s="27"/>
      <c r="E40" s="172" t="str">
        <f>IF($D40&gt;0,VLOOKUP($D40,Flight!$A$1:$E$91,2,FALSE),"")</f>
        <v/>
      </c>
      <c r="F40" s="45"/>
      <c r="G40" s="43" t="str">
        <f t="shared" si="4"/>
        <v/>
      </c>
      <c r="H40" s="44" t="str">
        <f>IF($D40&gt;0,VLOOKUP($D40,Flight!$A$1:$E$91,3,FALSE),"")</f>
        <v/>
      </c>
      <c r="I40" s="44" t="str">
        <f>IF($D40&gt;0,IF(VLOOKUP($D40,Flight!$A$1:$E$91,4,FALSE)&gt;1,VLOOKUP($D40,Flight!$A$1:$E123,4,FALSE),""),"")</f>
        <v/>
      </c>
      <c r="J40" s="44" t="str">
        <f>IF($D40&gt;0,IF(VLOOKUP($D40,Flight!$A$1:$E$91,5,FALSE)&gt;1,VLOOKUP($D40,Flight!$A$1:$E$91,5,FALSE),""),"")</f>
        <v/>
      </c>
      <c r="K40" s="166" t="str">
        <f t="shared" si="7"/>
        <v/>
      </c>
      <c r="L40" s="166"/>
      <c r="M40" s="166"/>
      <c r="O40" s="4"/>
      <c r="P40" s="89"/>
      <c r="Q40" s="4"/>
      <c r="R40" s="4"/>
    </row>
    <row r="41" spans="1:18" ht="16.5">
      <c r="A41" s="9" t="str">
        <f t="shared" si="3"/>
        <v/>
      </c>
      <c r="B41" s="9" t="str">
        <f t="shared" si="5"/>
        <v/>
      </c>
      <c r="C41" s="9" t="str">
        <f t="shared" si="6"/>
        <v/>
      </c>
      <c r="D41" s="27"/>
      <c r="E41" s="172" t="str">
        <f>IF($D41&gt;0,VLOOKUP($D41,Flight!$A$1:$E$91,2,FALSE),"")</f>
        <v/>
      </c>
      <c r="F41" s="45"/>
      <c r="G41" s="43" t="str">
        <f t="shared" si="4"/>
        <v/>
      </c>
      <c r="H41" s="44" t="str">
        <f>IF($D41&gt;0,VLOOKUP($D41,Flight!$A$1:$E$91,3,FALSE),"")</f>
        <v/>
      </c>
      <c r="I41" s="44" t="str">
        <f>IF($D41&gt;0,IF(VLOOKUP($D41,Flight!$A$1:$E$91,4,FALSE)&gt;1,VLOOKUP($D41,Flight!$A$1:$E124,4,FALSE),""),"")</f>
        <v/>
      </c>
      <c r="J41" s="44" t="str">
        <f>IF($D41&gt;0,IF(VLOOKUP($D41,Flight!$A$1:$E$91,5,FALSE)&gt;1,VLOOKUP($D41,Flight!$A$1:$E$91,5,FALSE),""),"")</f>
        <v/>
      </c>
      <c r="K41" s="166" t="str">
        <f t="shared" si="7"/>
        <v/>
      </c>
      <c r="L41" s="166"/>
      <c r="M41" s="166"/>
      <c r="O41" s="4"/>
      <c r="P41" s="89"/>
      <c r="Q41" s="4"/>
      <c r="R41" s="4"/>
    </row>
    <row r="42" spans="1:18" ht="16.5">
      <c r="A42" s="9" t="str">
        <f t="shared" si="3"/>
        <v/>
      </c>
      <c r="B42" s="9" t="str">
        <f t="shared" si="5"/>
        <v/>
      </c>
      <c r="C42" s="9" t="str">
        <f t="shared" si="6"/>
        <v/>
      </c>
      <c r="D42" s="27"/>
      <c r="E42" s="172" t="str">
        <f>IF($D42&gt;0,VLOOKUP($D42,Flight!$A$1:$E$91,2,FALSE),"")</f>
        <v/>
      </c>
      <c r="F42" s="45"/>
      <c r="G42" s="43" t="str">
        <f t="shared" si="4"/>
        <v/>
      </c>
      <c r="H42" s="44" t="str">
        <f>IF($D42&gt;0,VLOOKUP($D42,Flight!$A$1:$E$91,3,FALSE),"")</f>
        <v/>
      </c>
      <c r="I42" s="44" t="str">
        <f>IF($D42&gt;0,IF(VLOOKUP($D42,Flight!$A$1:$E$91,4,FALSE)&gt;1,VLOOKUP($D42,Flight!$A$1:$E125,4,FALSE),""),"")</f>
        <v/>
      </c>
      <c r="J42" s="44" t="str">
        <f>IF($D42&gt;0,IF(VLOOKUP($D42,Flight!$A$1:$E$91,5,FALSE)&gt;1,VLOOKUP($D42,Flight!$A$1:$E$91,5,FALSE),""),"")</f>
        <v/>
      </c>
      <c r="K42" s="166" t="str">
        <f t="shared" si="7"/>
        <v/>
      </c>
      <c r="L42" s="166"/>
      <c r="M42" s="166"/>
      <c r="O42" s="4"/>
      <c r="P42" s="89"/>
      <c r="Q42" s="4"/>
      <c r="R42" s="4"/>
    </row>
    <row r="43" spans="1:18">
      <c r="A43" s="376" t="s">
        <v>5</v>
      </c>
      <c r="B43" s="376"/>
      <c r="C43" s="376"/>
      <c r="D43" s="376"/>
      <c r="E43" s="376"/>
      <c r="F43" s="376"/>
      <c r="G43" s="50"/>
      <c r="H43" s="135" t="s">
        <v>40</v>
      </c>
      <c r="I43" s="377"/>
      <c r="J43" s="377"/>
      <c r="K43" s="377"/>
      <c r="L43" s="377"/>
      <c r="M43" s="377"/>
      <c r="N43" s="5"/>
    </row>
    <row r="44" spans="1:18">
      <c r="A44" s="379" t="s">
        <v>35</v>
      </c>
      <c r="B44" s="379"/>
      <c r="C44" s="379" t="s">
        <v>31</v>
      </c>
      <c r="D44" s="379"/>
      <c r="E44" s="379"/>
      <c r="F44" s="379"/>
      <c r="G44" s="379"/>
      <c r="H44" s="379"/>
      <c r="I44" s="378"/>
      <c r="J44" s="378"/>
      <c r="K44" s="378"/>
      <c r="L44" s="378"/>
      <c r="M44" s="378"/>
    </row>
    <row r="45" spans="1:18">
      <c r="A45" s="379"/>
      <c r="B45" s="379"/>
      <c r="C45" s="379"/>
      <c r="D45" s="379"/>
      <c r="E45" s="379"/>
      <c r="F45" s="379"/>
      <c r="G45" s="379"/>
      <c r="H45" s="379"/>
      <c r="I45" s="51"/>
      <c r="J45" s="51"/>
      <c r="K45" s="6"/>
      <c r="L45" s="6"/>
      <c r="M45" s="6"/>
    </row>
    <row r="46" spans="1:18">
      <c r="A46" s="389" t="s">
        <v>216</v>
      </c>
      <c r="B46" s="389"/>
      <c r="C46" s="150" t="str">
        <f>VLOOKUP($D$46,Staff!$B$2:$D$41,2,FALSE)</f>
        <v>CIA</v>
      </c>
      <c r="D46" s="375" t="str">
        <f>VLOOKUP(VLOOKUP($E$58,$E$62:$J$73,6,FALSE),Staff!$A$2:$D$13,2,FALSE)</f>
        <v>WO LO</v>
      </c>
      <c r="E46" s="375"/>
      <c r="F46" s="151" t="s">
        <v>215</v>
      </c>
      <c r="G46" s="390" t="str">
        <f>VLOOKUP($D$46,Staff!$B$2:$D$39,3,FALSE)</f>
        <v>9425 1098</v>
      </c>
      <c r="H46" s="390"/>
      <c r="I46" s="391" t="s">
        <v>223</v>
      </c>
      <c r="J46" s="391"/>
      <c r="K46" s="375" t="str">
        <f>IF(COUNTIF($E$62:$E$65,$E$58)&gt;0,Staff!$G$2,"")&amp;IF(COUNTIF($E$66:$E$69,$E$58)&gt;0,Staff!$G$3,"")&amp;IF(COUNTIF($E$70:$E$73,$E$58)&gt;0,Staff!$G$4,"")</f>
        <v>LIU, WAI FUN (F)</v>
      </c>
      <c r="L46" s="375"/>
      <c r="M46" s="375"/>
    </row>
    <row r="47" spans="1:18">
      <c r="A47" s="389" t="s">
        <v>217</v>
      </c>
      <c r="B47" s="389"/>
      <c r="C47" s="150" t="str">
        <f>VLOOKUP($D$47,Staff!$B$2:$D$41,2,FALSE)</f>
        <v>CIA</v>
      </c>
      <c r="D47" s="375" t="str">
        <f>VLOOKUP(VLOOKUP($E$59,$E$62:$J$73,6,FALSE),Staff!$A$2:$D$13,2,FALSE)</f>
        <v>WS CHENG</v>
      </c>
      <c r="E47" s="375"/>
      <c r="F47" s="151" t="s">
        <v>215</v>
      </c>
      <c r="G47" s="390" t="str">
        <f>VLOOKUP($D$47,Staff!$B$2:$D$39,3,FALSE)</f>
        <v>9850 0581</v>
      </c>
      <c r="H47" s="390"/>
      <c r="I47" s="391" t="s">
        <v>224</v>
      </c>
      <c r="J47" s="391"/>
      <c r="K47" s="375" t="str">
        <f>IF(COUNTIF($E$62:$E$65,$E$59)&gt;0,Staff!$G$2,"")&amp;IF(COUNTIF($E$66:$E$69,$E$59)&gt;0,Staff!$G$3,"")&amp;IF(COUNTIF($E$70:$E$73,$E$59)&gt;0,Staff!$G$4,"")</f>
        <v>WONG, TSZ MING</v>
      </c>
      <c r="L47" s="375"/>
      <c r="M47" s="375"/>
    </row>
    <row r="48" spans="1:18">
      <c r="A48" s="149"/>
      <c r="B48" s="149"/>
      <c r="C48" s="152"/>
      <c r="D48" s="395"/>
      <c r="E48" s="395"/>
      <c r="F48" s="147"/>
      <c r="G48" s="396"/>
      <c r="H48" s="396"/>
      <c r="I48" s="390"/>
      <c r="J48" s="390"/>
      <c r="K48" s="143"/>
      <c r="L48" s="143"/>
      <c r="M48" s="143"/>
    </row>
    <row r="49" spans="1:14">
      <c r="A49" s="397" t="s">
        <v>4</v>
      </c>
      <c r="B49" s="397"/>
      <c r="C49" s="396" t="s">
        <v>218</v>
      </c>
      <c r="D49" s="396"/>
      <c r="E49" s="396"/>
      <c r="F49" s="154" t="s">
        <v>213</v>
      </c>
      <c r="G49" s="398" t="str">
        <f>IF(COUNTIF($E$62:$E$65,$E$58)&gt;0,Staff!$G$14,"")&amp;IF(COUNTIF($E$66:$E$69,$E$58)&gt;0,Staff!$G$13,"")&amp;IF(COUNTIF($E$70:$E$73,$E$58)&gt;0,Staff!$G$12,"")</f>
        <v>HO, KWOK WUN D</v>
      </c>
      <c r="H49" s="398"/>
      <c r="I49" s="398"/>
      <c r="J49" s="109" t="s">
        <v>209</v>
      </c>
      <c r="K49" s="390" t="str">
        <f>VLOOKUP(VLOOKUP($B$3,$E$62:$J$73,6,FALSE),Staff!$F$22:$G$47,2,FALSE)</f>
        <v>AU, NELSON</v>
      </c>
      <c r="L49" s="390"/>
      <c r="M49" s="390"/>
      <c r="N49" s="12"/>
    </row>
    <row r="50" spans="1:14">
      <c r="A50" s="155"/>
      <c r="B50" s="155"/>
      <c r="C50" s="396" t="s">
        <v>219</v>
      </c>
      <c r="D50" s="396"/>
      <c r="E50" s="396"/>
      <c r="F50" s="154" t="s">
        <v>214</v>
      </c>
      <c r="G50" s="375" t="str">
        <f>IF(COUNTIF($E$62:$E$65,$E$59)&gt;0,Staff!$G$14,"")&amp;IF(COUNTIF($E$66:$E$69,$E$59)&gt;0,Staff!$G$13,"")&amp;IF(COUNTIF($E$70:$E$73,$E$59)&gt;0,Staff!$G$12,"")</f>
        <v>CHONG, MAN LOK</v>
      </c>
      <c r="H50" s="375"/>
      <c r="I50" s="375"/>
      <c r="J50" s="109" t="s">
        <v>208</v>
      </c>
      <c r="K50" s="390"/>
      <c r="L50" s="390"/>
      <c r="M50" s="390"/>
    </row>
    <row r="51" spans="1:14">
      <c r="A51" s="148"/>
      <c r="B51" s="148"/>
      <c r="C51" s="152"/>
      <c r="D51" s="401"/>
      <c r="E51" s="401"/>
      <c r="F51" s="401"/>
      <c r="G51" s="401"/>
      <c r="H51" s="401"/>
      <c r="I51" s="401"/>
      <c r="J51" s="109" t="s">
        <v>210</v>
      </c>
      <c r="K51" s="390"/>
      <c r="L51" s="390"/>
      <c r="M51" s="390"/>
    </row>
    <row r="52" spans="1:14">
      <c r="A52" s="392" t="s">
        <v>3</v>
      </c>
      <c r="B52" s="393"/>
      <c r="C52" s="394" t="s">
        <v>220</v>
      </c>
      <c r="D52" s="394"/>
      <c r="E52" s="394"/>
      <c r="F52" s="397" t="s">
        <v>408</v>
      </c>
      <c r="G52" s="397"/>
      <c r="H52" s="397"/>
      <c r="I52" s="397"/>
      <c r="J52" s="109" t="s">
        <v>211</v>
      </c>
      <c r="K52" s="390"/>
      <c r="L52" s="390"/>
      <c r="M52" s="390"/>
    </row>
    <row r="53" spans="1:14">
      <c r="A53" s="393" t="s">
        <v>2</v>
      </c>
      <c r="B53" s="393"/>
      <c r="C53" s="411" t="s">
        <v>221</v>
      </c>
      <c r="D53" s="411"/>
      <c r="E53" s="411"/>
      <c r="F53" s="412" t="s">
        <v>1</v>
      </c>
      <c r="G53" s="412"/>
      <c r="H53" s="400" t="s">
        <v>409</v>
      </c>
      <c r="I53" s="400"/>
      <c r="J53" s="109" t="s">
        <v>212</v>
      </c>
      <c r="K53" s="390"/>
      <c r="L53" s="390"/>
      <c r="M53" s="390"/>
    </row>
    <row r="54" spans="1:14">
      <c r="A54" s="155"/>
      <c r="B54" s="155"/>
      <c r="C54" s="148"/>
      <c r="D54" s="399"/>
      <c r="E54" s="399"/>
      <c r="F54" s="391"/>
      <c r="G54" s="391"/>
      <c r="H54" s="400" t="s">
        <v>410</v>
      </c>
      <c r="I54" s="400"/>
      <c r="J54" s="156"/>
      <c r="K54" s="149"/>
      <c r="L54" s="149"/>
      <c r="M54" s="47"/>
    </row>
    <row r="55" spans="1:14" ht="16.5" customHeight="1">
      <c r="A55" s="392" t="s">
        <v>0</v>
      </c>
      <c r="B55" s="392"/>
      <c r="C55" s="407" t="s">
        <v>222</v>
      </c>
      <c r="D55" s="407"/>
      <c r="E55" s="407"/>
      <c r="F55" s="218"/>
      <c r="G55" s="219"/>
      <c r="H55" s="394" t="s">
        <v>411</v>
      </c>
      <c r="I55" s="394"/>
      <c r="J55" s="153"/>
      <c r="K55" s="149"/>
      <c r="L55" s="149"/>
      <c r="M55" s="47"/>
    </row>
    <row r="56" spans="1:14">
      <c r="C56" s="408"/>
      <c r="D56" s="408"/>
      <c r="E56" s="408"/>
      <c r="F56" s="408"/>
      <c r="G56" s="408"/>
      <c r="H56" s="408"/>
      <c r="J56" s="53"/>
      <c r="K56" s="13"/>
      <c r="L56" s="13"/>
    </row>
    <row r="57" spans="1:14" ht="16.5" thickBot="1">
      <c r="A57" s="3"/>
      <c r="B57" s="3"/>
      <c r="C57" s="3"/>
      <c r="D57" s="2"/>
      <c r="E57" s="39"/>
      <c r="F57" s="52"/>
      <c r="G57" s="52"/>
      <c r="I57" s="409"/>
      <c r="J57" s="409"/>
      <c r="K57" s="13"/>
      <c r="L57" s="13"/>
    </row>
    <row r="58" spans="1:14">
      <c r="D58" s="189"/>
      <c r="E58" s="90" t="s">
        <v>133</v>
      </c>
      <c r="F58" s="91" t="s">
        <v>135</v>
      </c>
      <c r="G58" s="91"/>
      <c r="H58" s="92"/>
      <c r="I58" s="1"/>
      <c r="J58" s="1"/>
    </row>
    <row r="59" spans="1:14" ht="16.5" thickBot="1">
      <c r="D59" s="189"/>
      <c r="E59" s="93" t="s">
        <v>134</v>
      </c>
      <c r="F59" s="94" t="s">
        <v>136</v>
      </c>
      <c r="G59" s="94"/>
      <c r="H59" s="95"/>
      <c r="I59" s="1"/>
      <c r="J59" s="1"/>
    </row>
    <row r="60" spans="1:14">
      <c r="D60" s="189"/>
      <c r="E60" s="1"/>
      <c r="F60" s="1"/>
      <c r="G60" s="1"/>
      <c r="H60" s="1"/>
      <c r="I60" s="1"/>
      <c r="J60" s="1"/>
    </row>
    <row r="61" spans="1:14" ht="16.5" thickBot="1">
      <c r="D61" s="85" t="s">
        <v>132</v>
      </c>
      <c r="E61" s="85" t="s">
        <v>131</v>
      </c>
      <c r="F61" s="85" t="s">
        <v>8</v>
      </c>
      <c r="G61" s="85" t="s">
        <v>7</v>
      </c>
      <c r="H61" s="85" t="s">
        <v>6</v>
      </c>
      <c r="I61" s="85" t="s">
        <v>98</v>
      </c>
      <c r="J61" s="1"/>
      <c r="K61" s="96" t="s">
        <v>302</v>
      </c>
      <c r="L61" s="96" t="s">
        <v>303</v>
      </c>
      <c r="M61" s="96"/>
    </row>
    <row r="62" spans="1:14">
      <c r="D62" s="97" t="s">
        <v>86</v>
      </c>
      <c r="E62" s="98" t="str">
        <f>_xlfn.IFNA(VLOOKUP(MOD((($D$1-WEEKDAY($D$1,2)+1)-45523)/7+21,24),Shift!$A$2:$H$25,WEEKDAY($D$1,2)+1),VLOOKUP(24,Shift!$A$2:$H$25,WEEKDAY($D$1,2)+1))</f>
        <v>M1</v>
      </c>
      <c r="F62" s="98" t="str">
        <f>IF(OR($E62="L",$E62="L#"),0,"?")</f>
        <v>?</v>
      </c>
      <c r="G62" s="98" t="str">
        <f>IF(OR($E62="L",$E62="L#"),0,"?")</f>
        <v>?</v>
      </c>
      <c r="H62" s="98" t="str">
        <f>IF(OR($E62="L",$E62="L#"),0,"?")</f>
        <v>?</v>
      </c>
      <c r="I62" s="99">
        <f t="shared" ref="I62:I73" si="8">IF(OR($E62="L",$E62="L#"),0,SUM($F62:$H62))</f>
        <v>0</v>
      </c>
      <c r="J62" s="136" t="s">
        <v>86</v>
      </c>
      <c r="K62" s="112" t="str">
        <f>IF(AND($F62&gt;1,$F62&lt;&gt;"?"),$F62-1,"")</f>
        <v/>
      </c>
      <c r="L62" s="112" t="str">
        <f>IF(AND($G62&gt;1,$G62&lt;&gt;"?"),$G62-1,"")</f>
        <v/>
      </c>
      <c r="M62" s="112"/>
    </row>
    <row r="63" spans="1:14">
      <c r="D63" s="100" t="s">
        <v>85</v>
      </c>
      <c r="E63" s="101" t="str">
        <f>_xlfn.IFNA(VLOOKUP(MOD((($D$1-WEEKDAY($D$1,2)+1)-45523)/7+3,24),Shift!$A$2:$H$25,WEEKDAY($D$1,2)+1),VLOOKUP(24,Shift!$A$2:$H$25,WEEKDAY($D$1,2)+1))</f>
        <v>G1</v>
      </c>
      <c r="F63" s="101" t="str">
        <f t="shared" ref="F63:H73" si="9">IF(OR($E63="L",$E63="L#"),0,"?")</f>
        <v>?</v>
      </c>
      <c r="G63" s="101" t="str">
        <f t="shared" si="9"/>
        <v>?</v>
      </c>
      <c r="H63" s="101" t="str">
        <f t="shared" si="9"/>
        <v>?</v>
      </c>
      <c r="I63" s="102">
        <f t="shared" si="8"/>
        <v>0</v>
      </c>
      <c r="J63" s="137" t="s">
        <v>85</v>
      </c>
      <c r="K63" s="112" t="str">
        <f t="shared" ref="K63:K73" si="10">IF(AND($F63&gt;1,$F63&lt;&gt;"?"),$F63-1,"")</f>
        <v/>
      </c>
      <c r="L63" s="112" t="str">
        <f t="shared" ref="L63:L73" si="11">IF(AND($G63&gt;1,$G63&lt;&gt;"?"),$G63-1,"")</f>
        <v/>
      </c>
      <c r="M63" s="112"/>
    </row>
    <row r="64" spans="1:14">
      <c r="D64" s="100" t="s">
        <v>99</v>
      </c>
      <c r="E64" s="101" t="str">
        <f>_xlfn.IFNA(VLOOKUP(MOD((($D$1-WEEKDAY($D$1,2)+1)-45523)/7+9,24),Shift!$A$2:$H$25,WEEKDAY($D$1,2)+1),VLOOKUP(24,Shift!$A$2:$H$25,WEEKDAY($D$1,2)+1))</f>
        <v>M @</v>
      </c>
      <c r="F64" s="101" t="str">
        <f t="shared" si="9"/>
        <v>?</v>
      </c>
      <c r="G64" s="101" t="str">
        <f t="shared" si="9"/>
        <v>?</v>
      </c>
      <c r="H64" s="101" t="str">
        <f t="shared" si="9"/>
        <v>?</v>
      </c>
      <c r="I64" s="102">
        <f t="shared" si="8"/>
        <v>0</v>
      </c>
      <c r="J64" s="137" t="s">
        <v>99</v>
      </c>
      <c r="K64" s="112" t="str">
        <f t="shared" si="10"/>
        <v/>
      </c>
      <c r="L64" s="112" t="str">
        <f t="shared" si="11"/>
        <v/>
      </c>
      <c r="M64" s="112"/>
    </row>
    <row r="65" spans="4:13" ht="16.5" thickBot="1">
      <c r="D65" s="103" t="s">
        <v>100</v>
      </c>
      <c r="E65" s="104" t="str">
        <f>_xlfn.IFNA(VLOOKUP(MOD((($D$1-WEEKDAY($D$1,2)+1)-45523)/7+15,24),Shift!$A$2:$H$25,WEEKDAY($D$1,2)+1),VLOOKUP(24,Shift!$A$2:$H$25,WEEKDAY($D$1,2)+1))</f>
        <v>M</v>
      </c>
      <c r="F65" s="104" t="str">
        <f t="shared" si="9"/>
        <v>?</v>
      </c>
      <c r="G65" s="104" t="str">
        <f t="shared" si="9"/>
        <v>?</v>
      </c>
      <c r="H65" s="104" t="str">
        <f t="shared" si="9"/>
        <v>?</v>
      </c>
      <c r="I65" s="105">
        <f t="shared" si="8"/>
        <v>0</v>
      </c>
      <c r="J65" s="138" t="s">
        <v>100</v>
      </c>
      <c r="K65" s="112" t="str">
        <f t="shared" si="10"/>
        <v/>
      </c>
      <c r="L65" s="112" t="str">
        <f t="shared" si="11"/>
        <v/>
      </c>
      <c r="M65" s="112"/>
    </row>
    <row r="66" spans="4:13">
      <c r="D66" s="97" t="s">
        <v>101</v>
      </c>
      <c r="E66" s="98" t="str">
        <f>_xlfn.IFNA(VLOOKUP(MOD((($D$1-WEEKDAY($D$1,2)+1)-45523)/7+19,24),Shift!$A$2:$H$25,WEEKDAY($D$1,2)+1),VLOOKUP(24,Shift!$A$2:$H$25,WEEKDAY($D$1,2)+1))</f>
        <v>A</v>
      </c>
      <c r="F66" s="98" t="str">
        <f t="shared" si="9"/>
        <v>?</v>
      </c>
      <c r="G66" s="98" t="str">
        <f t="shared" si="9"/>
        <v>?</v>
      </c>
      <c r="H66" s="98" t="str">
        <f t="shared" si="9"/>
        <v>?</v>
      </c>
      <c r="I66" s="99">
        <f t="shared" si="8"/>
        <v>0</v>
      </c>
      <c r="J66" s="136" t="s">
        <v>101</v>
      </c>
      <c r="K66" s="112" t="str">
        <f t="shared" si="10"/>
        <v/>
      </c>
      <c r="L66" s="112" t="str">
        <f t="shared" si="11"/>
        <v/>
      </c>
      <c r="M66" s="112"/>
    </row>
    <row r="67" spans="4:13">
      <c r="D67" s="100" t="s">
        <v>102</v>
      </c>
      <c r="E67" s="101" t="str">
        <f>_xlfn.IFNA(VLOOKUP(MOD((($D$1-WEEKDAY($D$1,2)+1)-45523)/7+1,24),Shift!$A$2:$H$25,WEEKDAY($D$1,2)+1),VLOOKUP(24,Shift!$A$2:$H$25,WEEKDAY($D$1,2)+1))</f>
        <v>L</v>
      </c>
      <c r="F67" s="101">
        <f t="shared" si="9"/>
        <v>0</v>
      </c>
      <c r="G67" s="101">
        <f t="shared" si="9"/>
        <v>0</v>
      </c>
      <c r="H67" s="101">
        <f t="shared" si="9"/>
        <v>0</v>
      </c>
      <c r="I67" s="102">
        <f t="shared" si="8"/>
        <v>0</v>
      </c>
      <c r="J67" s="137" t="s">
        <v>102</v>
      </c>
      <c r="K67" s="112" t="str">
        <f t="shared" si="10"/>
        <v/>
      </c>
      <c r="L67" s="112" t="str">
        <f t="shared" si="11"/>
        <v/>
      </c>
      <c r="M67" s="112"/>
    </row>
    <row r="68" spans="4:13">
      <c r="D68" s="100" t="s">
        <v>103</v>
      </c>
      <c r="E68" s="101" t="str">
        <f>_xlfn.IFNA(VLOOKUP(MOD((($D$1-WEEKDAY($D$1,2)+1)-45523)/7+7,24),Shift!$A$2:$H$25,WEEKDAY($D$1,2)+1),VLOOKUP(24,Shift!$A$2:$H$25,WEEKDAY($D$1,2)+1))</f>
        <v>L</v>
      </c>
      <c r="F68" s="101">
        <f t="shared" si="9"/>
        <v>0</v>
      </c>
      <c r="G68" s="101">
        <f t="shared" si="9"/>
        <v>0</v>
      </c>
      <c r="H68" s="101">
        <f t="shared" si="9"/>
        <v>0</v>
      </c>
      <c r="I68" s="102">
        <f t="shared" si="8"/>
        <v>0</v>
      </c>
      <c r="J68" s="137" t="s">
        <v>103</v>
      </c>
      <c r="K68" s="112" t="str">
        <f t="shared" si="10"/>
        <v/>
      </c>
      <c r="L68" s="112" t="str">
        <f t="shared" si="11"/>
        <v/>
      </c>
      <c r="M68" s="112"/>
    </row>
    <row r="69" spans="4:13" ht="16.5" thickBot="1">
      <c r="D69" s="103" t="s">
        <v>104</v>
      </c>
      <c r="E69" s="104" t="str">
        <f>_xlfn.IFNA(VLOOKUP(MOD((($D$1-WEEKDAY($D$1,2)+1)-45523)/7+13,24),Shift!$A$2:$H$25,WEEKDAY($D$1,2)+1),VLOOKUP(24,Shift!$A$2:$H$25,WEEKDAY($D$1,2)+1))</f>
        <v>L</v>
      </c>
      <c r="F69" s="104">
        <f t="shared" si="9"/>
        <v>0</v>
      </c>
      <c r="G69" s="104">
        <f t="shared" si="9"/>
        <v>0</v>
      </c>
      <c r="H69" s="104">
        <f t="shared" si="9"/>
        <v>0</v>
      </c>
      <c r="I69" s="105">
        <f t="shared" si="8"/>
        <v>0</v>
      </c>
      <c r="J69" s="138" t="s">
        <v>104</v>
      </c>
      <c r="K69" s="112" t="str">
        <f t="shared" si="10"/>
        <v/>
      </c>
      <c r="L69" s="112" t="str">
        <f t="shared" si="11"/>
        <v/>
      </c>
      <c r="M69" s="112"/>
    </row>
    <row r="70" spans="4:13">
      <c r="D70" s="97" t="s">
        <v>105</v>
      </c>
      <c r="E70" s="98" t="str">
        <f>_xlfn.IFNA(VLOOKUP(MOD((($D$1-WEEKDAY($D$1,2)+1)-45523)/7+17,24),Shift!$A$2:$H$25,WEEKDAY($D$1,2)+1),VLOOKUP(24,Shift!$A$2:$H$25,WEEKDAY($D$1,2)+1))</f>
        <v>P1</v>
      </c>
      <c r="F70" s="98" t="str">
        <f t="shared" si="9"/>
        <v>?</v>
      </c>
      <c r="G70" s="98" t="str">
        <f t="shared" si="9"/>
        <v>?</v>
      </c>
      <c r="H70" s="98" t="str">
        <f t="shared" si="9"/>
        <v>?</v>
      </c>
      <c r="I70" s="99">
        <f t="shared" si="8"/>
        <v>0</v>
      </c>
      <c r="J70" s="136" t="s">
        <v>105</v>
      </c>
      <c r="K70" s="112" t="str">
        <f t="shared" si="10"/>
        <v/>
      </c>
      <c r="L70" s="112" t="str">
        <f t="shared" si="11"/>
        <v/>
      </c>
      <c r="M70" s="112"/>
    </row>
    <row r="71" spans="4:13">
      <c r="D71" s="100" t="s">
        <v>106</v>
      </c>
      <c r="E71" s="101" t="str">
        <f>_xlfn.IFNA(VLOOKUP(MOD((($D$1-WEEKDAY($D$1,2)+1)-45523)/7+23,24),Shift!$A$2:$H$25,WEEKDAY($D$1,2)+1),VLOOKUP(24,Shift!$A$2:$H$25,WEEKDAY($D$1,2)+1))</f>
        <v>P1 @</v>
      </c>
      <c r="F71" s="101" t="str">
        <f t="shared" si="9"/>
        <v>?</v>
      </c>
      <c r="G71" s="101" t="str">
        <f t="shared" si="9"/>
        <v>?</v>
      </c>
      <c r="H71" s="101" t="str">
        <f t="shared" si="9"/>
        <v>?</v>
      </c>
      <c r="I71" s="102">
        <f t="shared" si="8"/>
        <v>0</v>
      </c>
      <c r="J71" s="137" t="s">
        <v>106</v>
      </c>
      <c r="K71" s="112" t="str">
        <f t="shared" si="10"/>
        <v/>
      </c>
      <c r="L71" s="112" t="str">
        <f t="shared" si="11"/>
        <v/>
      </c>
      <c r="M71" s="112"/>
    </row>
    <row r="72" spans="4:13">
      <c r="D72" s="100" t="s">
        <v>107</v>
      </c>
      <c r="E72" s="101" t="str">
        <f>_xlfn.IFNA(VLOOKUP(MOD((($D$1-WEEKDAY($D$1,2)+1)-45523)/7+5,24),Shift!$A$2:$H$25,WEEKDAY($D$1,2)+1),VLOOKUP(24,Shift!$A$2:$H$25,WEEKDAY($D$1,2)+1))</f>
        <v>P4</v>
      </c>
      <c r="F72" s="101" t="str">
        <f t="shared" si="9"/>
        <v>?</v>
      </c>
      <c r="G72" s="101" t="str">
        <f t="shared" si="9"/>
        <v>?</v>
      </c>
      <c r="H72" s="101" t="str">
        <f t="shared" si="9"/>
        <v>?</v>
      </c>
      <c r="I72" s="102">
        <f t="shared" si="8"/>
        <v>0</v>
      </c>
      <c r="J72" s="137" t="s">
        <v>107</v>
      </c>
      <c r="K72" s="112" t="str">
        <f t="shared" si="10"/>
        <v/>
      </c>
      <c r="L72" s="112" t="str">
        <f t="shared" si="11"/>
        <v/>
      </c>
      <c r="M72" s="112"/>
    </row>
    <row r="73" spans="4:13" ht="16.5" thickBot="1">
      <c r="D73" s="103" t="s">
        <v>108</v>
      </c>
      <c r="E73" s="104" t="str">
        <f>_xlfn.IFNA(VLOOKUP(MOD((($D$1-WEEKDAY($D$1,2)+1)-45523)/7+11,24),Shift!$A$2:$H$25,WEEKDAY($D$1,2)+1),VLOOKUP(24,Shift!$A$2:$H$25,WEEKDAY($D$1,2)+1))</f>
        <v>P1</v>
      </c>
      <c r="F73" s="104" t="str">
        <f t="shared" si="9"/>
        <v>?</v>
      </c>
      <c r="G73" s="104" t="str">
        <f t="shared" si="9"/>
        <v>?</v>
      </c>
      <c r="H73" s="104" t="str">
        <f t="shared" si="9"/>
        <v>?</v>
      </c>
      <c r="I73" s="105">
        <f t="shared" si="8"/>
        <v>0</v>
      </c>
      <c r="J73" s="138" t="s">
        <v>108</v>
      </c>
      <c r="K73" s="112" t="str">
        <f t="shared" si="10"/>
        <v/>
      </c>
      <c r="L73" s="112" t="str">
        <f t="shared" si="11"/>
        <v/>
      </c>
      <c r="M73" s="112"/>
    </row>
    <row r="74" spans="4:13">
      <c r="D74" s="144" t="s">
        <v>86</v>
      </c>
      <c r="E74" s="98" t="s">
        <v>127</v>
      </c>
      <c r="F74" s="98"/>
      <c r="G74" s="98"/>
      <c r="H74" s="98"/>
      <c r="I74" s="99">
        <f>IF(OR($E74="L",$E74="L#",$E74="?"),0,SUM($F74:$H74))</f>
        <v>0</v>
      </c>
      <c r="J74" s="1"/>
    </row>
    <row r="75" spans="4:13">
      <c r="D75" s="145" t="s">
        <v>137</v>
      </c>
      <c r="E75" s="101" t="s">
        <v>127</v>
      </c>
      <c r="F75" s="101"/>
      <c r="G75" s="101"/>
      <c r="H75" s="101"/>
      <c r="I75" s="102">
        <f>IF(OR($E75="L",$E75="L#",$E75="?"),0,SUM($F75:$H75))</f>
        <v>0</v>
      </c>
      <c r="J75" s="1"/>
    </row>
    <row r="76" spans="4:13">
      <c r="D76" s="145" t="s">
        <v>137</v>
      </c>
      <c r="E76" s="101" t="s">
        <v>127</v>
      </c>
      <c r="F76" s="101"/>
      <c r="G76" s="101"/>
      <c r="H76" s="101"/>
      <c r="I76" s="102">
        <f>IF(OR($E76="L",$E76="L#",$E76="?"),0,SUM($F76:$H76))</f>
        <v>0</v>
      </c>
      <c r="J76" s="1"/>
    </row>
    <row r="77" spans="4:13" ht="16.5" thickBot="1">
      <c r="D77" s="146" t="s">
        <v>137</v>
      </c>
      <c r="E77" s="104" t="s">
        <v>127</v>
      </c>
      <c r="F77" s="106"/>
      <c r="G77" s="106"/>
      <c r="H77" s="106"/>
      <c r="I77" s="105">
        <f>IF(OR($E77="L",$E77="L#",$E77="?"),0,SUM($F77:$H77))</f>
        <v>0</v>
      </c>
      <c r="J77" s="1"/>
    </row>
    <row r="78" spans="4:13">
      <c r="D78" s="189"/>
      <c r="E78" s="96" t="s">
        <v>98</v>
      </c>
      <c r="F78" s="96" t="str">
        <f>SUM($F$62:$F$77)&amp;IF(SUM($F$62:$H$77)&gt;$I$78,"?","")</f>
        <v>0</v>
      </c>
      <c r="G78" s="96" t="str">
        <f>SUM($G$62:$G$77)&amp;IF(SUM($F$62:$H$77)&gt;$I$78,"?","")</f>
        <v>0</v>
      </c>
      <c r="H78" s="96" t="str">
        <f>SUM($H$62:$H$77)&amp;IF(SUM($F$62:$H$77)&gt;$I$78,"?","")</f>
        <v>0</v>
      </c>
      <c r="I78" s="96">
        <f>SUM(I62:I77)</f>
        <v>0</v>
      </c>
      <c r="J78" s="1"/>
    </row>
    <row r="79" spans="4:13">
      <c r="D79" s="189"/>
      <c r="E79" s="1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1"/>
      <c r="J79" s="1"/>
    </row>
    <row r="81" spans="4:15" s="184" customFormat="1">
      <c r="D81" s="410" t="s">
        <v>281</v>
      </c>
      <c r="E81" s="410"/>
      <c r="F81" s="410"/>
      <c r="G81" s="54"/>
      <c r="H81" s="185"/>
      <c r="I81" s="54"/>
      <c r="J81" s="54"/>
      <c r="O81" s="112"/>
    </row>
    <row r="82" spans="4:15" s="184" customFormat="1">
      <c r="D82" s="49" t="str">
        <f>IF(Flight!$A$68=0,"",Flight!$A$68)</f>
        <v/>
      </c>
      <c r="E82" s="163"/>
      <c r="F82" s="164" t="str">
        <f>IF(D82="","",VLOOKUP(D82,Flight!$A$68:$C$91,3,FALSE))</f>
        <v/>
      </c>
      <c r="G82" s="54"/>
      <c r="H82" s="185"/>
      <c r="I82" s="54"/>
      <c r="J82" s="54"/>
      <c r="O82" s="112"/>
    </row>
    <row r="83" spans="4:15" s="184" customFormat="1">
      <c r="D83" s="49" t="str">
        <f>IF(Flight!$A69=0,"",Flight!$A69)</f>
        <v/>
      </c>
      <c r="E83" s="54"/>
      <c r="F83" s="164" t="str">
        <f>IF(D83="","",VLOOKUP(D83,Flight!$A$68:$C$91,3,FALSE))</f>
        <v/>
      </c>
      <c r="G83" s="54"/>
      <c r="H83" s="185"/>
      <c r="I83" s="54"/>
      <c r="J83" s="54"/>
      <c r="O83" s="112"/>
    </row>
    <row r="84" spans="4:15" s="184" customFormat="1">
      <c r="D84" s="49" t="str">
        <f>IF(Flight!$A71=0,"",Flight!$A71)</f>
        <v>3A031</v>
      </c>
      <c r="E84" s="54"/>
      <c r="F84" s="164" t="str">
        <f>IF(D84="","",VLOOKUP(D84,Flight!$A$68:$C$91,3,FALSE))</f>
        <v>ZTI</v>
      </c>
      <c r="G84" s="54"/>
      <c r="H84" s="185"/>
      <c r="I84" s="54"/>
      <c r="J84" s="54"/>
      <c r="O84" s="112"/>
    </row>
    <row r="85" spans="4:15" s="184" customFormat="1">
      <c r="D85" s="49" t="str">
        <f>IF(Flight!$A72=0,"",Flight!$A72)</f>
        <v>3A003</v>
      </c>
      <c r="E85" s="54"/>
      <c r="F85" s="164" t="str">
        <f>IF(D85="","",VLOOKUP(D85,Flight!$A$68:$C$91,3,FALSE))</f>
        <v>ZYK</v>
      </c>
      <c r="G85" s="54"/>
      <c r="H85" s="185"/>
      <c r="I85" s="54"/>
      <c r="J85" s="54"/>
      <c r="O85" s="112"/>
    </row>
    <row r="86" spans="4:15" s="184" customFormat="1">
      <c r="D86" s="49" t="str">
        <f>IF(Flight!$A73=0,"",Flight!$A73)</f>
        <v>3A005</v>
      </c>
      <c r="E86" s="54"/>
      <c r="F86" s="164" t="str">
        <f>IF(D86="","",VLOOKUP(D86,Flight!$A$68:$C$91,3,FALSE))</f>
        <v>HKM</v>
      </c>
      <c r="G86" s="54"/>
      <c r="H86" s="185"/>
      <c r="I86" s="54"/>
      <c r="J86" s="54"/>
      <c r="O86" s="112"/>
    </row>
    <row r="87" spans="4:15" s="184" customFormat="1">
      <c r="D87" s="49" t="str">
        <f>IF(Flight!$A74=0,"",Flight!$A74)</f>
        <v>3A007</v>
      </c>
      <c r="E87" s="54"/>
      <c r="F87" s="164" t="str">
        <f>IF(D87="","",VLOOKUP(D87,Flight!$A$68:$C$91,3,FALSE))</f>
        <v>ZYK</v>
      </c>
      <c r="G87" s="54"/>
      <c r="H87" s="185"/>
      <c r="I87" s="54"/>
      <c r="J87" s="54"/>
      <c r="O87" s="112"/>
    </row>
    <row r="88" spans="4:15" s="184" customFormat="1">
      <c r="D88" s="49" t="str">
        <f>IF(Flight!$A75=0,"",Flight!$A75)</f>
        <v>3A008</v>
      </c>
      <c r="E88" s="54"/>
      <c r="F88" s="164" t="str">
        <f>IF(D88="","",VLOOKUP(D88,Flight!$A$68:$C$91,3,FALSE))</f>
        <v>ZYK</v>
      </c>
      <c r="G88" s="54"/>
      <c r="H88" s="185"/>
      <c r="I88" s="54"/>
      <c r="J88" s="54"/>
      <c r="O88" s="112"/>
    </row>
    <row r="89" spans="4:15" s="184" customFormat="1">
      <c r="D89" s="49" t="str">
        <f>IF(Flight!$A76=0,"",Flight!$A76)</f>
        <v>3A009</v>
      </c>
      <c r="E89" s="54"/>
      <c r="F89" s="164" t="str">
        <f>IF(D89="","",VLOOKUP(D89,Flight!$A$68:$C$91,3,FALSE))</f>
        <v>ZYK</v>
      </c>
      <c r="G89" s="54"/>
      <c r="H89" s="185"/>
      <c r="I89" s="54"/>
      <c r="J89" s="54"/>
      <c r="O89" s="112"/>
    </row>
    <row r="90" spans="4:15" s="184" customFormat="1">
      <c r="D90" s="49" t="str">
        <f>IF(Flight!$A77=0,"",Flight!$A77)</f>
        <v>3A010</v>
      </c>
      <c r="E90" s="54"/>
      <c r="F90" s="164" t="str">
        <f>IF(D90="","",VLOOKUP(D90,Flight!$A$68:$C$91,3,FALSE))</f>
        <v>ZYK</v>
      </c>
      <c r="G90" s="54"/>
      <c r="H90" s="185"/>
      <c r="I90" s="54"/>
      <c r="J90" s="54"/>
      <c r="O90" s="112"/>
    </row>
    <row r="91" spans="4:15" s="184" customFormat="1">
      <c r="D91" s="49" t="str">
        <f>IF(Flight!$A78=0,"",Flight!$A78)</f>
        <v/>
      </c>
      <c r="E91" s="54"/>
      <c r="F91" s="164" t="str">
        <f>IF(D91="","",VLOOKUP(D91,Flight!$A$68:$C$91,3,FALSE))</f>
        <v/>
      </c>
      <c r="G91" s="54"/>
      <c r="H91" s="185"/>
      <c r="I91" s="54"/>
      <c r="J91" s="54"/>
      <c r="O91" s="112"/>
    </row>
    <row r="92" spans="4:15" s="184" customFormat="1">
      <c r="D92" s="49" t="str">
        <f>IF(Flight!$A80=0,"",Flight!$A80)</f>
        <v>8S7121</v>
      </c>
      <c r="E92" s="54"/>
      <c r="F92" s="164" t="str">
        <f>IF(D92="","",VLOOKUP(D92,Flight!$A$68:$C$91,3,FALSE))</f>
        <v>HKM</v>
      </c>
      <c r="G92" s="54"/>
      <c r="H92" s="185"/>
      <c r="I92" s="54"/>
      <c r="J92" s="54"/>
      <c r="O92" s="112"/>
    </row>
    <row r="93" spans="4:15" s="184" customFormat="1">
      <c r="D93" s="49" t="str">
        <f>IF(Flight!$A81=0,"",Flight!$A81)</f>
        <v>8S7108</v>
      </c>
      <c r="E93" s="54"/>
      <c r="F93" s="164" t="str">
        <f>IF(D93="","",VLOOKUP(D93,Flight!$A$68:$C$91,3,FALSE))</f>
        <v>ZYK</v>
      </c>
      <c r="G93" s="54"/>
      <c r="H93" s="185"/>
      <c r="I93" s="54"/>
      <c r="J93" s="54"/>
      <c r="O93" s="112"/>
    </row>
    <row r="94" spans="4:15" s="184" customFormat="1">
      <c r="D94" s="49" t="str">
        <f>IF(Flight!$A82=0,"",Flight!$A82)</f>
        <v>8S7111</v>
      </c>
      <c r="E94" s="54"/>
      <c r="F94" s="164" t="str">
        <f>IF(D94="","",VLOOKUP(D94,Flight!$A$68:$C$91,3,FALSE))</f>
        <v>ZYK</v>
      </c>
      <c r="G94" s="54"/>
      <c r="H94" s="185"/>
      <c r="I94" s="54"/>
      <c r="J94" s="54"/>
      <c r="O94" s="112"/>
    </row>
    <row r="95" spans="4:15" s="184" customFormat="1">
      <c r="D95" s="49" t="str">
        <f>IF(Flight!$A83=0,"",Flight!$A83)</f>
        <v>8S7131</v>
      </c>
      <c r="E95" s="54"/>
      <c r="F95" s="164" t="str">
        <f>IF(D95="","",VLOOKUP(D95,Flight!$A$68:$C$91,3,FALSE))</f>
        <v>?</v>
      </c>
      <c r="G95" s="54"/>
      <c r="H95" s="185"/>
      <c r="I95" s="54"/>
      <c r="J95" s="54"/>
      <c r="O95" s="112"/>
    </row>
    <row r="96" spans="4:15" s="184" customFormat="1">
      <c r="D96" s="49" t="str">
        <f>IF(Flight!$A84=0,"",Flight!$A84)</f>
        <v>8S7119</v>
      </c>
      <c r="E96" s="54"/>
      <c r="F96" s="164" t="str">
        <f>IF(D96="","",VLOOKUP(D96,Flight!$A$68:$C$91,3,FALSE))</f>
        <v>HKM</v>
      </c>
      <c r="G96" s="54"/>
      <c r="H96" s="185"/>
      <c r="I96" s="54"/>
      <c r="J96" s="54"/>
      <c r="O96" s="112"/>
    </row>
    <row r="97" spans="4:15" s="184" customFormat="1">
      <c r="D97" s="49" t="str">
        <f>IF(Flight!$A85=0,"",Flight!$A85)</f>
        <v>8S7126</v>
      </c>
      <c r="E97" s="54"/>
      <c r="F97" s="164" t="str">
        <f>IF(D97="","",VLOOKUP(D97,Flight!$A$68:$C$91,3,FALSE))</f>
        <v>HKM</v>
      </c>
      <c r="G97" s="54"/>
      <c r="H97" s="185"/>
      <c r="I97" s="54"/>
      <c r="J97" s="54"/>
      <c r="O97" s="112"/>
    </row>
    <row r="98" spans="4:15" s="184" customFormat="1">
      <c r="D98" s="49" t="str">
        <f>IF(Flight!$A86=0,"",Flight!$A86)</f>
        <v>8S7128</v>
      </c>
      <c r="E98" s="54"/>
      <c r="F98" s="164" t="str">
        <f>IF(D98="","",VLOOKUP(D98,Flight!$A$68:$C$91,3,FALSE))</f>
        <v>HKM</v>
      </c>
      <c r="G98" s="54"/>
      <c r="H98" s="185"/>
      <c r="I98" s="54"/>
      <c r="J98" s="54"/>
      <c r="O98" s="112"/>
    </row>
    <row r="99" spans="4:15" s="184" customFormat="1">
      <c r="D99" s="49" t="str">
        <f>IF(Flight!$A87=0,"",Flight!$A87)</f>
        <v>3A8010</v>
      </c>
      <c r="E99" s="54"/>
      <c r="F99" s="164" t="str">
        <f>IF(D99="","",VLOOKUP(D99,Flight!$A$68:$C$91,3,FALSE))</f>
        <v>HZI</v>
      </c>
      <c r="G99" s="54"/>
      <c r="H99" s="185"/>
      <c r="I99" s="54"/>
      <c r="J99" s="54"/>
      <c r="O99" s="112"/>
    </row>
    <row r="100" spans="4:15" s="184" customFormat="1">
      <c r="D100" s="49" t="str">
        <f>IF(Flight!$A88=0,"",Flight!$A88)</f>
        <v>3A8015</v>
      </c>
      <c r="E100" s="54"/>
      <c r="F100" s="164" t="str">
        <f>IF(D100="","",VLOOKUP(D100,Flight!$A$68:$C$91,3,FALSE))</f>
        <v>?</v>
      </c>
      <c r="G100" s="54"/>
      <c r="H100" s="185"/>
      <c r="I100" s="54"/>
      <c r="J100" s="54"/>
      <c r="O100" s="112"/>
    </row>
    <row r="101" spans="4:15" s="184" customFormat="1">
      <c r="D101" s="49" t="str">
        <f>IF(Flight!$A89=0,"",Flight!$A89)</f>
        <v>3A8016</v>
      </c>
      <c r="E101" s="54"/>
      <c r="F101" s="164" t="str">
        <f>IF(D101="","",VLOOKUP(D101,Flight!$A$68:$C$91,3,FALSE))</f>
        <v>HZI</v>
      </c>
      <c r="G101" s="54"/>
      <c r="H101" s="185"/>
      <c r="I101" s="54"/>
      <c r="J101" s="54"/>
      <c r="O101" s="112"/>
    </row>
    <row r="102" spans="4:15" s="184" customFormat="1">
      <c r="D102" s="49" t="str">
        <f>IF(Flight!$A91=0,"",Flight!$A91)</f>
        <v xml:space="preserve">Last </v>
      </c>
      <c r="E102" s="54"/>
      <c r="F102" s="164" t="str">
        <f>IF(D102="","",VLOOKUP(D102,Flight!$A$68:$C$91,3,FALSE))</f>
        <v>↑</v>
      </c>
      <c r="G102" s="54"/>
      <c r="H102" s="185"/>
      <c r="I102" s="54"/>
      <c r="J102" s="54"/>
      <c r="O102" s="112"/>
    </row>
    <row r="103" spans="4:15" s="184" customFormat="1">
      <c r="D103" s="49" t="str">
        <f>IF(Flight!$A92=0,"",Flight!$A92)</f>
        <v/>
      </c>
      <c r="E103" s="54"/>
      <c r="F103" s="164" t="str">
        <f>IF(D103="","",VLOOKUP(D103,Flight!$A$68:$C$91,3,FALSE))</f>
        <v/>
      </c>
      <c r="G103" s="54"/>
      <c r="H103" s="185"/>
      <c r="I103" s="54"/>
      <c r="J103" s="54"/>
      <c r="O103" s="112"/>
    </row>
    <row r="104" spans="4:15" s="184" customFormat="1">
      <c r="D104" s="186"/>
      <c r="E104" s="54"/>
      <c r="F104" s="187"/>
      <c r="G104" s="54"/>
      <c r="H104" s="185"/>
      <c r="I104" s="54"/>
      <c r="J104" s="54"/>
      <c r="O104" s="112"/>
    </row>
    <row r="105" spans="4:15" s="184" customFormat="1">
      <c r="D105" s="406" t="str">
        <f>IF(Flight!$A$93=0,"",Flight!$A$93)</f>
        <v>Target Flight</v>
      </c>
      <c r="E105" s="406"/>
      <c r="F105" s="406"/>
      <c r="G105" s="54"/>
      <c r="H105" s="185"/>
      <c r="I105" s="54"/>
      <c r="J105" s="54"/>
      <c r="O105" s="112"/>
    </row>
    <row r="106" spans="4:15" s="184" customFormat="1">
      <c r="D106" s="27" t="s">
        <v>59</v>
      </c>
      <c r="E106" s="158"/>
      <c r="F106" s="10" t="s">
        <v>38</v>
      </c>
      <c r="G106" s="54"/>
      <c r="H106" s="185"/>
      <c r="I106" s="54"/>
      <c r="J106" s="54"/>
      <c r="O106" s="112"/>
    </row>
    <row r="107" spans="4:15" s="184" customFormat="1">
      <c r="D107" s="27" t="s">
        <v>89</v>
      </c>
      <c r="E107" s="158"/>
      <c r="F107" s="10" t="s">
        <v>38</v>
      </c>
      <c r="G107" s="54"/>
      <c r="H107" s="185"/>
      <c r="I107" s="54"/>
      <c r="J107" s="54"/>
      <c r="O107" s="112"/>
    </row>
    <row r="108" spans="4:15" s="184" customFormat="1">
      <c r="D108" s="27" t="s">
        <v>254</v>
      </c>
      <c r="E108" s="158"/>
      <c r="F108" s="10" t="s">
        <v>38</v>
      </c>
      <c r="G108" s="54"/>
      <c r="H108" s="185"/>
      <c r="I108" s="54"/>
      <c r="J108" s="54"/>
      <c r="O108" s="112"/>
    </row>
    <row r="109" spans="4:15" s="184" customFormat="1">
      <c r="D109" s="27" t="s">
        <v>57</v>
      </c>
      <c r="E109" s="158"/>
      <c r="F109" s="10" t="s">
        <v>58</v>
      </c>
      <c r="G109" s="54"/>
      <c r="H109" s="185"/>
      <c r="I109" s="54"/>
      <c r="J109" s="54"/>
      <c r="O109" s="112"/>
    </row>
    <row r="110" spans="4:15" s="184" customFormat="1">
      <c r="D110" s="27" t="s">
        <v>198</v>
      </c>
      <c r="E110" s="158"/>
      <c r="F110" s="10" t="s">
        <v>199</v>
      </c>
      <c r="G110" s="54"/>
      <c r="H110" s="185"/>
      <c r="I110" s="54"/>
      <c r="J110" s="54"/>
      <c r="O110" s="112"/>
    </row>
    <row r="111" spans="4:15" s="184" customFormat="1">
      <c r="D111" s="27" t="s">
        <v>55</v>
      </c>
      <c r="E111" s="158"/>
      <c r="F111" s="10" t="s">
        <v>54</v>
      </c>
      <c r="G111" s="54"/>
      <c r="H111" s="185"/>
      <c r="I111" s="54"/>
      <c r="J111" s="54"/>
      <c r="O111" s="112"/>
    </row>
    <row r="112" spans="4:15" s="184" customFormat="1">
      <c r="D112" s="27" t="s">
        <v>39</v>
      </c>
      <c r="E112" s="158"/>
      <c r="F112" s="10" t="s">
        <v>38</v>
      </c>
      <c r="G112" s="54"/>
      <c r="H112" s="185"/>
      <c r="I112" s="54"/>
      <c r="J112" s="54"/>
      <c r="O112" s="112"/>
    </row>
    <row r="113" spans="4:15" s="184" customFormat="1">
      <c r="D113" s="27" t="s">
        <v>200</v>
      </c>
      <c r="E113" s="158"/>
      <c r="F113" s="10" t="s">
        <v>54</v>
      </c>
      <c r="G113" s="54"/>
      <c r="H113" s="185"/>
      <c r="I113" s="54"/>
      <c r="J113" s="54"/>
      <c r="O113" s="112"/>
    </row>
    <row r="114" spans="4:15" s="184" customFormat="1">
      <c r="D114" s="27" t="s">
        <v>201</v>
      </c>
      <c r="E114" s="158"/>
      <c r="F114" s="10" t="s">
        <v>38</v>
      </c>
      <c r="G114" s="54"/>
      <c r="H114" s="185"/>
      <c r="I114" s="54"/>
      <c r="J114" s="54"/>
      <c r="O114" s="112"/>
    </row>
    <row r="115" spans="4:15" s="184" customFormat="1">
      <c r="D115" s="161"/>
      <c r="E115" s="158"/>
      <c r="F115" s="159"/>
      <c r="G115" s="54"/>
      <c r="H115" s="185"/>
      <c r="I115" s="54"/>
      <c r="J115" s="54"/>
      <c r="O115" s="112"/>
    </row>
    <row r="116" spans="4:15" s="184" customFormat="1">
      <c r="D116" s="161"/>
      <c r="E116" s="158"/>
      <c r="F116" s="159"/>
      <c r="G116" s="54"/>
      <c r="H116" s="185"/>
      <c r="I116" s="54"/>
      <c r="J116" s="54"/>
      <c r="O116" s="112"/>
    </row>
  </sheetData>
  <mergeCells count="76">
    <mergeCell ref="D105:F105"/>
    <mergeCell ref="A55:B55"/>
    <mergeCell ref="A52:B52"/>
    <mergeCell ref="A53:B53"/>
    <mergeCell ref="G49:I49"/>
    <mergeCell ref="G50:I50"/>
    <mergeCell ref="C52:E52"/>
    <mergeCell ref="H55:I55"/>
    <mergeCell ref="A49:B49"/>
    <mergeCell ref="I57:J57"/>
    <mergeCell ref="F53:G53"/>
    <mergeCell ref="F54:G54"/>
    <mergeCell ref="H54:I54"/>
    <mergeCell ref="C53:E53"/>
    <mergeCell ref="H53:I53"/>
    <mergeCell ref="F52:I52"/>
    <mergeCell ref="K53:M53"/>
    <mergeCell ref="K51:M51"/>
    <mergeCell ref="K52:M52"/>
    <mergeCell ref="I48:J48"/>
    <mergeCell ref="J5:K5"/>
    <mergeCell ref="L5:M5"/>
    <mergeCell ref="I6:I7"/>
    <mergeCell ref="J6:J7"/>
    <mergeCell ref="K6:M6"/>
    <mergeCell ref="I43:M44"/>
    <mergeCell ref="K49:M49"/>
    <mergeCell ref="K50:M50"/>
    <mergeCell ref="K47:M47"/>
    <mergeCell ref="D6:D7"/>
    <mergeCell ref="E6:E7"/>
    <mergeCell ref="F6:F7"/>
    <mergeCell ref="F5:G5"/>
    <mergeCell ref="H5:I5"/>
    <mergeCell ref="G6:G7"/>
    <mergeCell ref="H6:H7"/>
    <mergeCell ref="D5:E5"/>
    <mergeCell ref="D1:E1"/>
    <mergeCell ref="B3:C3"/>
    <mergeCell ref="D3:E3"/>
    <mergeCell ref="F3:G3"/>
    <mergeCell ref="H3:I3"/>
    <mergeCell ref="D2:E2"/>
    <mergeCell ref="G2:I2"/>
    <mergeCell ref="L3:M3"/>
    <mergeCell ref="B4:C4"/>
    <mergeCell ref="D4:E4"/>
    <mergeCell ref="F4:G4"/>
    <mergeCell ref="H4:I4"/>
    <mergeCell ref="J4:K4"/>
    <mergeCell ref="L4:M4"/>
    <mergeCell ref="J3:K3"/>
    <mergeCell ref="G48:H48"/>
    <mergeCell ref="K46:M46"/>
    <mergeCell ref="D46:E46"/>
    <mergeCell ref="G46:H46"/>
    <mergeCell ref="I46:J46"/>
    <mergeCell ref="D47:E47"/>
    <mergeCell ref="G47:H47"/>
    <mergeCell ref="I47:J47"/>
    <mergeCell ref="B5:C5"/>
    <mergeCell ref="A6:A7"/>
    <mergeCell ref="B6:C6"/>
    <mergeCell ref="D81:F81"/>
    <mergeCell ref="A43:F43"/>
    <mergeCell ref="A44:H44"/>
    <mergeCell ref="A45:H45"/>
    <mergeCell ref="C49:E49"/>
    <mergeCell ref="C50:E50"/>
    <mergeCell ref="D51:I51"/>
    <mergeCell ref="D54:E54"/>
    <mergeCell ref="C55:E55"/>
    <mergeCell ref="C56:H56"/>
    <mergeCell ref="A46:B46"/>
    <mergeCell ref="A47:B47"/>
    <mergeCell ref="D48:E48"/>
  </mergeCells>
  <phoneticPr fontId="2" type="noConversion"/>
  <conditionalFormatting sqref="H8:H42 E8:E42">
    <cfRule type="cellIs" dxfId="15" priority="29" operator="equal">
      <formula>""</formula>
    </cfRule>
  </conditionalFormatting>
  <conditionalFormatting sqref="F62:H79">
    <cfRule type="cellIs" dxfId="14" priority="10" operator="equal">
      <formula>"?"</formula>
    </cfRule>
  </conditionalFormatting>
  <conditionalFormatting sqref="D8:D999">
    <cfRule type="duplicateValues" dxfId="13" priority="2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errorStyle="warning" allowBlank="1" showInputMessage="1">
          <x14:formula1>
            <xm:f>Staff!$B$15:$B$39</xm:f>
          </x14:formula1>
          <xm:sqref>D47:E47</xm:sqref>
        </x14:dataValidation>
        <x14:dataValidation type="list" allowBlank="1" showInputMessage="1">
          <x14:formula1>
            <xm:f>Staff!$B$15:$B$39</xm:f>
          </x14:formula1>
          <xm:sqref>D46:E46</xm:sqref>
        </x14:dataValidation>
        <x14:dataValidation type="list" allowBlank="1" showInputMessage="1">
          <x14:formula1>
            <xm:f>Staff!$G$23:$G$52</xm:f>
          </x14:formula1>
          <xm:sqref>K49:M49</xm:sqref>
        </x14:dataValidation>
        <x14:dataValidation type="list" allowBlank="1" showInputMessage="1">
          <x14:formula1>
            <xm:f>Staff!$G$23:$G$52</xm:f>
          </x14:formula1>
          <xm:sqref>K53:M53</xm:sqref>
        </x14:dataValidation>
        <x14:dataValidation type="list" allowBlank="1" showInputMessage="1">
          <x14:formula1>
            <xm:f>Staff!$G$23:$G$52</xm:f>
          </x14:formula1>
          <xm:sqref>K50:M50</xm:sqref>
        </x14:dataValidation>
        <x14:dataValidation type="list" allowBlank="1" showInputMessage="1">
          <x14:formula1>
            <xm:f>Staff!$G$23:$G$52</xm:f>
          </x14:formula1>
          <xm:sqref>K51:M51</xm:sqref>
        </x14:dataValidation>
        <x14:dataValidation type="list" allowBlank="1" showInputMessage="1">
          <x14:formula1>
            <xm:f>Staff!$G$23:$G$52</xm:f>
          </x14:formula1>
          <xm:sqref>K52:M52</xm:sqref>
        </x14:dataValidation>
        <x14:dataValidation type="list" allowBlank="1" showInputMessage="1">
          <x14:formula1>
            <xm:f>Staff!$G$12:$G$52</xm:f>
          </x14:formula1>
          <xm:sqref>G50:I50</xm:sqref>
        </x14:dataValidation>
        <x14:dataValidation type="list" allowBlank="1" showInputMessage="1">
          <x14:formula1>
            <xm:f>Staff!$G$12:$G$52</xm:f>
          </x14:formula1>
          <xm:sqref>G49:I49</xm:sqref>
        </x14:dataValidation>
        <x14:dataValidation type="list" allowBlank="1" showInputMessage="1">
          <x14:formula1>
            <xm:f>Staff!$G$2:$G$9</xm:f>
          </x14:formula1>
          <xm:sqref>K47:M47</xm:sqref>
        </x14:dataValidation>
        <x14:dataValidation type="list" allowBlank="1" showInputMessage="1">
          <x14:formula1>
            <xm:f>Staff!$G$2:$G$9</xm:f>
          </x14:formula1>
          <xm:sqref>K46:M46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8"/>
  <sheetViews>
    <sheetView topLeftCell="A4" zoomScale="90" zoomScaleNormal="90" workbookViewId="0">
      <selection activeCell="B40" sqref="B40"/>
    </sheetView>
  </sheetViews>
  <sheetFormatPr defaultRowHeight="16.5"/>
  <cols>
    <col min="1" max="1" width="9" style="162"/>
    <col min="2" max="16384" width="9" style="14"/>
  </cols>
  <sheetData>
    <row r="1" spans="1:7">
      <c r="A1" s="169" t="s">
        <v>21</v>
      </c>
      <c r="B1" s="170" t="s">
        <v>15</v>
      </c>
      <c r="C1" s="169" t="s">
        <v>12</v>
      </c>
      <c r="D1" s="169" t="s">
        <v>11</v>
      </c>
      <c r="E1" s="169" t="s">
        <v>10</v>
      </c>
      <c r="F1" s="178"/>
    </row>
    <row r="2" spans="1:7">
      <c r="A2" s="27" t="s">
        <v>49</v>
      </c>
      <c r="B2" s="15" t="s">
        <v>555</v>
      </c>
      <c r="C2" s="16" t="s">
        <v>41</v>
      </c>
      <c r="D2" s="17"/>
      <c r="E2" s="18"/>
      <c r="F2" s="179"/>
      <c r="G2" s="174" t="s">
        <v>251</v>
      </c>
    </row>
    <row r="3" spans="1:7">
      <c r="A3" s="27" t="s">
        <v>59</v>
      </c>
      <c r="B3" s="19" t="s">
        <v>60</v>
      </c>
      <c r="C3" s="10" t="s">
        <v>38</v>
      </c>
      <c r="D3" s="20"/>
      <c r="E3" s="18"/>
      <c r="F3" s="179"/>
      <c r="G3" s="174" t="s">
        <v>251</v>
      </c>
    </row>
    <row r="4" spans="1:7">
      <c r="A4" s="27" t="s">
        <v>89</v>
      </c>
      <c r="B4" s="19" t="s">
        <v>61</v>
      </c>
      <c r="C4" s="10" t="s">
        <v>38</v>
      </c>
      <c r="D4" s="20"/>
      <c r="E4" s="18"/>
      <c r="F4" s="179"/>
      <c r="G4" s="174" t="s">
        <v>251</v>
      </c>
    </row>
    <row r="5" spans="1:7">
      <c r="A5" s="27" t="s">
        <v>400</v>
      </c>
      <c r="B5" s="19" t="s">
        <v>401</v>
      </c>
      <c r="C5" s="10" t="s">
        <v>413</v>
      </c>
      <c r="D5" s="20"/>
      <c r="E5" s="18"/>
      <c r="F5" s="179"/>
      <c r="G5" s="175" t="s">
        <v>252</v>
      </c>
    </row>
    <row r="6" spans="1:7">
      <c r="A6" s="27" t="s">
        <v>254</v>
      </c>
      <c r="B6" s="19" t="s">
        <v>61</v>
      </c>
      <c r="C6" s="10" t="s">
        <v>38</v>
      </c>
      <c r="D6" s="20"/>
      <c r="E6" s="18"/>
      <c r="F6" s="179"/>
      <c r="G6" s="174" t="s">
        <v>251</v>
      </c>
    </row>
    <row r="7" spans="1:7">
      <c r="A7" s="27" t="s">
        <v>90</v>
      </c>
      <c r="B7" s="19" t="s">
        <v>260</v>
      </c>
      <c r="C7" s="16" t="s">
        <v>37</v>
      </c>
      <c r="D7" s="21"/>
      <c r="E7" s="18"/>
      <c r="F7" s="179"/>
      <c r="G7" s="175" t="s">
        <v>252</v>
      </c>
    </row>
    <row r="8" spans="1:7">
      <c r="A8" s="27" t="s">
        <v>78</v>
      </c>
      <c r="B8" s="19" t="s">
        <v>79</v>
      </c>
      <c r="C8" s="10" t="s">
        <v>37</v>
      </c>
      <c r="D8" s="17"/>
      <c r="E8" s="18"/>
      <c r="F8" s="179"/>
      <c r="G8" s="174" t="s">
        <v>251</v>
      </c>
    </row>
    <row r="9" spans="1:7">
      <c r="A9" s="27" t="s">
        <v>36</v>
      </c>
      <c r="B9" s="19" t="s">
        <v>75</v>
      </c>
      <c r="C9" s="10" t="s">
        <v>37</v>
      </c>
      <c r="D9" s="20"/>
      <c r="E9" s="18"/>
      <c r="F9" s="179"/>
      <c r="G9" s="174" t="s">
        <v>251</v>
      </c>
    </row>
    <row r="10" spans="1:7">
      <c r="A10" s="27" t="s">
        <v>57</v>
      </c>
      <c r="B10" s="19" t="s">
        <v>240</v>
      </c>
      <c r="C10" s="10" t="s">
        <v>58</v>
      </c>
      <c r="D10" s="17"/>
      <c r="E10" s="18"/>
      <c r="F10" s="179"/>
      <c r="G10" s="174" t="s">
        <v>251</v>
      </c>
    </row>
    <row r="11" spans="1:7">
      <c r="A11" s="27" t="s">
        <v>198</v>
      </c>
      <c r="B11" s="19" t="s">
        <v>56</v>
      </c>
      <c r="C11" s="10" t="s">
        <v>199</v>
      </c>
      <c r="D11" s="17"/>
      <c r="E11" s="18"/>
      <c r="F11" s="179"/>
      <c r="G11" s="175" t="s">
        <v>252</v>
      </c>
    </row>
    <row r="12" spans="1:7">
      <c r="A12" s="27" t="s">
        <v>325</v>
      </c>
      <c r="B12" s="19" t="s">
        <v>326</v>
      </c>
      <c r="C12" s="10" t="s">
        <v>67</v>
      </c>
      <c r="D12" s="17"/>
      <c r="E12" s="18"/>
      <c r="F12" s="179"/>
      <c r="G12" s="174" t="s">
        <v>251</v>
      </c>
    </row>
    <row r="13" spans="1:7">
      <c r="A13" s="27" t="s">
        <v>55</v>
      </c>
      <c r="B13" s="19" t="s">
        <v>455</v>
      </c>
      <c r="C13" s="10" t="s">
        <v>54</v>
      </c>
      <c r="D13" s="17"/>
      <c r="E13" s="18"/>
      <c r="F13" s="179"/>
      <c r="G13" s="174" t="s">
        <v>251</v>
      </c>
    </row>
    <row r="14" spans="1:7">
      <c r="A14" s="27" t="s">
        <v>404</v>
      </c>
      <c r="B14" s="19" t="s">
        <v>405</v>
      </c>
      <c r="C14" s="10" t="s">
        <v>406</v>
      </c>
      <c r="D14" s="17"/>
      <c r="E14" s="18"/>
      <c r="F14" s="179"/>
      <c r="G14" s="175" t="s">
        <v>252</v>
      </c>
    </row>
    <row r="15" spans="1:7">
      <c r="A15" s="27" t="s">
        <v>39</v>
      </c>
      <c r="B15" s="19" t="s">
        <v>449</v>
      </c>
      <c r="C15" s="10" t="s">
        <v>38</v>
      </c>
      <c r="D15" s="17"/>
      <c r="E15" s="18"/>
      <c r="F15" s="179"/>
      <c r="G15" s="174" t="s">
        <v>251</v>
      </c>
    </row>
    <row r="16" spans="1:7">
      <c r="A16" s="27" t="s">
        <v>200</v>
      </c>
      <c r="B16" s="19" t="s">
        <v>202</v>
      </c>
      <c r="C16" s="10" t="s">
        <v>54</v>
      </c>
      <c r="D16" s="17"/>
      <c r="E16" s="22"/>
      <c r="F16" s="180"/>
      <c r="G16" s="175" t="s">
        <v>252</v>
      </c>
    </row>
    <row r="17" spans="1:7">
      <c r="A17" s="27" t="s">
        <v>201</v>
      </c>
      <c r="B17" s="19" t="s">
        <v>448</v>
      </c>
      <c r="C17" s="10" t="s">
        <v>38</v>
      </c>
      <c r="D17" s="20"/>
      <c r="E17" s="18"/>
      <c r="F17" s="179"/>
      <c r="G17" s="174" t="s">
        <v>251</v>
      </c>
    </row>
    <row r="18" spans="1:7">
      <c r="A18" s="27" t="s">
        <v>337</v>
      </c>
      <c r="B18" s="19" t="s">
        <v>338</v>
      </c>
      <c r="C18" s="16" t="s">
        <v>62</v>
      </c>
      <c r="D18" s="20"/>
      <c r="E18" s="18"/>
      <c r="F18" s="179"/>
      <c r="G18" s="175" t="s">
        <v>252</v>
      </c>
    </row>
    <row r="19" spans="1:7">
      <c r="A19" s="27" t="s">
        <v>418</v>
      </c>
      <c r="B19" s="19" t="s">
        <v>419</v>
      </c>
      <c r="C19" s="16" t="s">
        <v>420</v>
      </c>
      <c r="D19" s="20"/>
      <c r="E19" s="18"/>
      <c r="F19" s="179"/>
      <c r="G19" s="175" t="s">
        <v>252</v>
      </c>
    </row>
    <row r="20" spans="1:7">
      <c r="A20" s="27" t="s">
        <v>64</v>
      </c>
      <c r="B20" s="19" t="s">
        <v>260</v>
      </c>
      <c r="C20" s="16" t="s">
        <v>62</v>
      </c>
      <c r="D20" s="17"/>
      <c r="E20" s="18"/>
      <c r="F20" s="179"/>
      <c r="G20" s="174" t="s">
        <v>251</v>
      </c>
    </row>
    <row r="21" spans="1:7">
      <c r="A21" s="27" t="s">
        <v>68</v>
      </c>
      <c r="B21" s="19" t="s">
        <v>239</v>
      </c>
      <c r="C21" s="23" t="s">
        <v>69</v>
      </c>
      <c r="D21" s="10" t="s">
        <v>34</v>
      </c>
      <c r="E21" s="18"/>
      <c r="F21" s="179"/>
      <c r="G21" s="174" t="s">
        <v>251</v>
      </c>
    </row>
    <row r="22" spans="1:7">
      <c r="A22" s="27" t="s">
        <v>91</v>
      </c>
      <c r="B22" s="19" t="s">
        <v>548</v>
      </c>
      <c r="C22" s="16" t="s">
        <v>46</v>
      </c>
      <c r="D22" s="17" t="s">
        <v>34</v>
      </c>
      <c r="E22" s="18"/>
      <c r="F22" s="179"/>
      <c r="G22" s="174" t="s">
        <v>251</v>
      </c>
    </row>
    <row r="23" spans="1:7">
      <c r="A23" s="27" t="s">
        <v>45</v>
      </c>
      <c r="B23" s="19" t="s">
        <v>419</v>
      </c>
      <c r="C23" s="10" t="s">
        <v>46</v>
      </c>
      <c r="D23" s="17"/>
      <c r="E23" s="18"/>
      <c r="F23" s="179"/>
      <c r="G23" s="174" t="s">
        <v>251</v>
      </c>
    </row>
    <row r="24" spans="1:7">
      <c r="A24" s="18" t="s">
        <v>92</v>
      </c>
      <c r="B24" s="18">
        <v>1435</v>
      </c>
      <c r="C24" s="18" t="s">
        <v>44</v>
      </c>
      <c r="D24" s="18"/>
      <c r="E24" s="24"/>
      <c r="F24" s="181"/>
      <c r="G24" s="175" t="s">
        <v>252</v>
      </c>
    </row>
    <row r="25" spans="1:7">
      <c r="A25" s="27" t="s">
        <v>93</v>
      </c>
      <c r="B25" s="19">
        <v>2140</v>
      </c>
      <c r="C25" s="16" t="s">
        <v>44</v>
      </c>
      <c r="D25" s="21"/>
      <c r="E25" s="17"/>
      <c r="F25" s="182"/>
      <c r="G25" s="175" t="s">
        <v>252</v>
      </c>
    </row>
    <row r="26" spans="1:7">
      <c r="A26" s="27" t="s">
        <v>71</v>
      </c>
      <c r="B26" s="19" t="s">
        <v>558</v>
      </c>
      <c r="C26" s="16" t="s">
        <v>44</v>
      </c>
      <c r="D26" s="25"/>
      <c r="E26" s="26"/>
      <c r="F26" s="181"/>
      <c r="G26" s="174" t="s">
        <v>251</v>
      </c>
    </row>
    <row r="27" spans="1:7">
      <c r="A27" s="27" t="s">
        <v>43</v>
      </c>
      <c r="B27" s="19" t="s">
        <v>540</v>
      </c>
      <c r="C27" s="10" t="s">
        <v>44</v>
      </c>
      <c r="D27" s="20"/>
      <c r="E27" s="18"/>
      <c r="F27" s="179"/>
      <c r="G27" s="174" t="s">
        <v>251</v>
      </c>
    </row>
    <row r="28" spans="1:7">
      <c r="A28" s="27" t="s">
        <v>327</v>
      </c>
      <c r="B28" s="19" t="s">
        <v>242</v>
      </c>
      <c r="C28" s="10" t="s">
        <v>328</v>
      </c>
      <c r="D28" s="20"/>
      <c r="E28" s="18"/>
      <c r="F28" s="181"/>
      <c r="G28" s="175" t="s">
        <v>252</v>
      </c>
    </row>
    <row r="29" spans="1:7">
      <c r="A29" s="27" t="s">
        <v>63</v>
      </c>
      <c r="B29" s="28" t="s">
        <v>441</v>
      </c>
      <c r="C29" s="27" t="s">
        <v>62</v>
      </c>
      <c r="D29" s="17"/>
      <c r="E29" s="24"/>
      <c r="F29" s="182"/>
      <c r="G29" s="174" t="s">
        <v>251</v>
      </c>
    </row>
    <row r="30" spans="1:7">
      <c r="A30" s="27" t="s">
        <v>536</v>
      </c>
      <c r="B30" s="28" t="s">
        <v>402</v>
      </c>
      <c r="C30" s="27" t="s">
        <v>403</v>
      </c>
      <c r="D30" s="17"/>
      <c r="E30" s="24"/>
      <c r="F30" s="182"/>
      <c r="G30" s="175" t="s">
        <v>252</v>
      </c>
    </row>
    <row r="31" spans="1:7">
      <c r="A31" s="27" t="s">
        <v>329</v>
      </c>
      <c r="B31" s="19" t="s">
        <v>330</v>
      </c>
      <c r="C31" s="16" t="s">
        <v>34</v>
      </c>
      <c r="D31" s="21"/>
      <c r="E31" s="17"/>
      <c r="F31" s="181"/>
      <c r="G31" s="174" t="s">
        <v>251</v>
      </c>
    </row>
    <row r="32" spans="1:7">
      <c r="A32" s="27" t="s">
        <v>77</v>
      </c>
      <c r="B32" s="19" t="s">
        <v>412</v>
      </c>
      <c r="C32" s="16" t="s">
        <v>34</v>
      </c>
      <c r="D32" s="21"/>
      <c r="E32" s="17"/>
      <c r="F32" s="181"/>
      <c r="G32" s="174" t="s">
        <v>251</v>
      </c>
    </row>
    <row r="33" spans="1:7">
      <c r="A33" s="27" t="s">
        <v>331</v>
      </c>
      <c r="B33" s="19" t="s">
        <v>202</v>
      </c>
      <c r="C33" s="16" t="s">
        <v>34</v>
      </c>
      <c r="D33" s="21"/>
      <c r="E33" s="17"/>
      <c r="F33" s="179"/>
      <c r="G33" s="174" t="s">
        <v>251</v>
      </c>
    </row>
    <row r="34" spans="1:7">
      <c r="A34" s="27" t="s">
        <v>238</v>
      </c>
      <c r="B34" s="28" t="s">
        <v>83</v>
      </c>
      <c r="C34" s="27" t="s">
        <v>34</v>
      </c>
      <c r="D34" s="17"/>
      <c r="E34" s="24"/>
      <c r="F34" s="181"/>
      <c r="G34" s="174" t="s">
        <v>251</v>
      </c>
    </row>
    <row r="35" spans="1:7">
      <c r="A35" s="27" t="s">
        <v>94</v>
      </c>
      <c r="B35" s="28" t="s">
        <v>95</v>
      </c>
      <c r="C35" s="27" t="s">
        <v>34</v>
      </c>
      <c r="D35" s="17"/>
      <c r="E35" s="24"/>
      <c r="F35" s="179"/>
      <c r="G35" s="175" t="s">
        <v>252</v>
      </c>
    </row>
    <row r="36" spans="1:7">
      <c r="A36" s="18" t="s">
        <v>66</v>
      </c>
      <c r="B36" s="29" t="s">
        <v>439</v>
      </c>
      <c r="C36" s="18" t="s">
        <v>34</v>
      </c>
      <c r="D36" s="18"/>
      <c r="E36" s="18"/>
      <c r="F36" s="181"/>
      <c r="G36" s="174" t="s">
        <v>251</v>
      </c>
    </row>
    <row r="37" spans="1:7">
      <c r="A37" s="27" t="s">
        <v>481</v>
      </c>
      <c r="B37" s="19" t="s">
        <v>545</v>
      </c>
      <c r="C37" s="16" t="s">
        <v>34</v>
      </c>
      <c r="D37" s="21"/>
      <c r="E37" s="30"/>
      <c r="F37" s="179"/>
      <c r="G37" s="174" t="s">
        <v>251</v>
      </c>
    </row>
    <row r="38" spans="1:7">
      <c r="A38" s="27" t="s">
        <v>72</v>
      </c>
      <c r="B38" s="19" t="s">
        <v>560</v>
      </c>
      <c r="C38" s="16" t="s">
        <v>34</v>
      </c>
      <c r="D38" s="21"/>
      <c r="E38" s="30"/>
      <c r="F38" s="179"/>
      <c r="G38" s="174" t="s">
        <v>251</v>
      </c>
    </row>
    <row r="39" spans="1:7">
      <c r="A39" s="18" t="s">
        <v>456</v>
      </c>
      <c r="B39" s="29" t="s">
        <v>1009</v>
      </c>
      <c r="C39" s="18" t="s">
        <v>34</v>
      </c>
      <c r="D39" s="18"/>
      <c r="E39" s="31"/>
      <c r="F39" s="181"/>
      <c r="G39" s="174" t="s">
        <v>251</v>
      </c>
    </row>
    <row r="40" spans="1:7">
      <c r="A40" s="18" t="s">
        <v>82</v>
      </c>
      <c r="B40" s="29" t="s">
        <v>83</v>
      </c>
      <c r="C40" s="18" t="s">
        <v>34</v>
      </c>
      <c r="D40" s="18"/>
      <c r="E40" s="31"/>
      <c r="F40" s="181"/>
      <c r="G40" s="174" t="s">
        <v>251</v>
      </c>
    </row>
    <row r="41" spans="1:7">
      <c r="A41" s="18" t="s">
        <v>96</v>
      </c>
      <c r="B41" s="18" t="s">
        <v>543</v>
      </c>
      <c r="C41" s="18" t="s">
        <v>37</v>
      </c>
      <c r="D41" s="18"/>
      <c r="E41" s="32"/>
      <c r="F41" s="182"/>
      <c r="G41" s="174" t="s">
        <v>251</v>
      </c>
    </row>
    <row r="42" spans="1:7">
      <c r="A42" s="27" t="s">
        <v>42</v>
      </c>
      <c r="B42" s="19" t="s">
        <v>541</v>
      </c>
      <c r="C42" s="10" t="s">
        <v>41</v>
      </c>
      <c r="D42" s="20"/>
      <c r="E42" s="31"/>
      <c r="F42" s="181"/>
      <c r="G42" s="174" t="s">
        <v>251</v>
      </c>
    </row>
    <row r="43" spans="1:7">
      <c r="A43" s="27" t="s">
        <v>65</v>
      </c>
      <c r="B43" s="15" t="s">
        <v>552</v>
      </c>
      <c r="C43" s="16" t="s">
        <v>241</v>
      </c>
      <c r="D43" s="17"/>
      <c r="E43" s="33"/>
      <c r="F43" s="181"/>
      <c r="G43" s="174" t="s">
        <v>251</v>
      </c>
    </row>
    <row r="44" spans="1:7">
      <c r="A44" s="27" t="s">
        <v>50</v>
      </c>
      <c r="B44" s="19" t="s">
        <v>565</v>
      </c>
      <c r="C44" s="16" t="s">
        <v>48</v>
      </c>
      <c r="D44" s="21"/>
      <c r="E44" s="34"/>
      <c r="F44" s="179"/>
      <c r="G44" s="174" t="s">
        <v>251</v>
      </c>
    </row>
    <row r="45" spans="1:7">
      <c r="A45" s="27" t="s">
        <v>47</v>
      </c>
      <c r="B45" s="19" t="s">
        <v>546</v>
      </c>
      <c r="C45" s="10" t="s">
        <v>48</v>
      </c>
      <c r="D45" s="17"/>
      <c r="E45" s="24"/>
      <c r="F45" s="181"/>
      <c r="G45" s="174" t="s">
        <v>251</v>
      </c>
    </row>
    <row r="46" spans="1:7">
      <c r="A46" s="27" t="s">
        <v>321</v>
      </c>
      <c r="B46" s="19" t="s">
        <v>322</v>
      </c>
      <c r="C46" s="10" t="s">
        <v>44</v>
      </c>
      <c r="D46" s="17"/>
      <c r="E46" s="33"/>
      <c r="F46" s="179"/>
      <c r="G46" s="174" t="s">
        <v>251</v>
      </c>
    </row>
    <row r="47" spans="1:7">
      <c r="A47" s="27" t="s">
        <v>32</v>
      </c>
      <c r="B47" s="19" t="s">
        <v>76</v>
      </c>
      <c r="C47" s="10" t="s">
        <v>33</v>
      </c>
      <c r="D47" s="20"/>
      <c r="E47" s="35"/>
      <c r="F47" s="179"/>
      <c r="G47" s="174" t="s">
        <v>251</v>
      </c>
    </row>
    <row r="48" spans="1:7">
      <c r="A48" s="18" t="s">
        <v>340</v>
      </c>
      <c r="B48" s="18" t="s">
        <v>341</v>
      </c>
      <c r="C48" s="18" t="s">
        <v>34</v>
      </c>
      <c r="D48" s="18"/>
      <c r="E48" s="24"/>
      <c r="G48" s="175" t="s">
        <v>252</v>
      </c>
    </row>
    <row r="49" spans="1:7">
      <c r="A49" s="18" t="s">
        <v>70</v>
      </c>
      <c r="B49" s="18">
        <v>1420</v>
      </c>
      <c r="C49" s="18" t="s">
        <v>34</v>
      </c>
      <c r="D49" s="18"/>
      <c r="E49" s="24"/>
      <c r="F49" s="181"/>
      <c r="G49" s="175" t="s">
        <v>252</v>
      </c>
    </row>
    <row r="50" spans="1:7">
      <c r="A50" s="27" t="s">
        <v>236</v>
      </c>
      <c r="B50" s="19" t="s">
        <v>237</v>
      </c>
      <c r="C50" s="10" t="s">
        <v>34</v>
      </c>
      <c r="D50" s="17"/>
      <c r="E50" s="18"/>
      <c r="F50" s="179"/>
      <c r="G50" s="174" t="s">
        <v>251</v>
      </c>
    </row>
    <row r="51" spans="1:7">
      <c r="A51" s="27" t="s">
        <v>51</v>
      </c>
      <c r="B51" s="19" t="s">
        <v>332</v>
      </c>
      <c r="C51" s="10" t="s">
        <v>34</v>
      </c>
      <c r="D51" s="17"/>
      <c r="E51" s="18"/>
      <c r="F51" s="179"/>
      <c r="G51" s="174" t="s">
        <v>251</v>
      </c>
    </row>
    <row r="52" spans="1:7">
      <c r="A52" s="48" t="s">
        <v>73</v>
      </c>
      <c r="B52" s="37" t="s">
        <v>551</v>
      </c>
      <c r="C52" s="36" t="s">
        <v>74</v>
      </c>
      <c r="D52" s="38"/>
      <c r="E52" s="24"/>
      <c r="F52" s="179"/>
      <c r="G52" s="174" t="s">
        <v>251</v>
      </c>
    </row>
    <row r="53" spans="1:7">
      <c r="A53" s="27" t="s">
        <v>203</v>
      </c>
      <c r="B53" s="19" t="s">
        <v>557</v>
      </c>
      <c r="C53" s="10" t="s">
        <v>67</v>
      </c>
      <c r="D53" s="20"/>
      <c r="E53" s="18"/>
      <c r="F53" s="181"/>
      <c r="G53" s="175" t="s">
        <v>252</v>
      </c>
    </row>
    <row r="54" spans="1:7">
      <c r="A54" s="27" t="s">
        <v>235</v>
      </c>
      <c r="B54" s="19" t="s">
        <v>397</v>
      </c>
      <c r="C54" s="10" t="s">
        <v>67</v>
      </c>
      <c r="D54" s="20"/>
      <c r="E54" s="18"/>
      <c r="F54" s="179"/>
      <c r="G54" s="174" t="s">
        <v>251</v>
      </c>
    </row>
    <row r="55" spans="1:7">
      <c r="A55" s="27" t="s">
        <v>84</v>
      </c>
      <c r="B55" s="19" t="s">
        <v>83</v>
      </c>
      <c r="C55" s="10" t="s">
        <v>67</v>
      </c>
      <c r="D55" s="20"/>
      <c r="E55" s="18"/>
      <c r="F55" s="157"/>
      <c r="G55" s="174" t="s">
        <v>251</v>
      </c>
    </row>
    <row r="56" spans="1:7">
      <c r="A56" s="27" t="s">
        <v>97</v>
      </c>
      <c r="B56" s="19">
        <v>2010</v>
      </c>
      <c r="C56" s="16" t="s">
        <v>67</v>
      </c>
      <c r="D56" s="21"/>
      <c r="E56" s="24"/>
      <c r="F56" s="157"/>
      <c r="G56" s="175" t="s">
        <v>252</v>
      </c>
    </row>
    <row r="57" spans="1:7">
      <c r="A57" s="27" t="s">
        <v>342</v>
      </c>
      <c r="B57" s="19" t="s">
        <v>343</v>
      </c>
      <c r="C57" s="16" t="s">
        <v>241</v>
      </c>
      <c r="D57" s="21"/>
      <c r="E57" s="24"/>
      <c r="G57" s="175" t="s">
        <v>252</v>
      </c>
    </row>
    <row r="58" spans="1:7">
      <c r="A58" s="27" t="s">
        <v>344</v>
      </c>
      <c r="B58" s="19" t="s">
        <v>345</v>
      </c>
      <c r="C58" s="16" t="s">
        <v>346</v>
      </c>
      <c r="D58" s="21"/>
      <c r="E58" s="24"/>
      <c r="G58" s="175" t="s">
        <v>252</v>
      </c>
    </row>
    <row r="59" spans="1:7">
      <c r="A59" s="27" t="s">
        <v>347</v>
      </c>
      <c r="B59" s="19" t="s">
        <v>348</v>
      </c>
      <c r="C59" s="16" t="s">
        <v>33</v>
      </c>
      <c r="D59" s="21"/>
      <c r="E59" s="24"/>
      <c r="G59" s="175" t="s">
        <v>252</v>
      </c>
    </row>
    <row r="60" spans="1:7">
      <c r="A60" s="27" t="s">
        <v>349</v>
      </c>
      <c r="B60" s="19" t="s">
        <v>350</v>
      </c>
      <c r="C60" s="16" t="s">
        <v>33</v>
      </c>
      <c r="D60" s="21"/>
      <c r="E60" s="24"/>
      <c r="G60" s="175" t="s">
        <v>252</v>
      </c>
    </row>
    <row r="61" spans="1:7">
      <c r="A61" s="27" t="s">
        <v>351</v>
      </c>
      <c r="B61" s="19" t="s">
        <v>352</v>
      </c>
      <c r="C61" s="16" t="s">
        <v>33</v>
      </c>
      <c r="D61" s="21"/>
      <c r="E61" s="24"/>
      <c r="G61" s="175" t="s">
        <v>252</v>
      </c>
    </row>
    <row r="62" spans="1:7">
      <c r="A62" s="27" t="s">
        <v>353</v>
      </c>
      <c r="B62" s="19" t="s">
        <v>354</v>
      </c>
      <c r="C62" s="16" t="s">
        <v>355</v>
      </c>
      <c r="D62" s="21"/>
      <c r="E62" s="24"/>
      <c r="G62" s="175" t="s">
        <v>252</v>
      </c>
    </row>
    <row r="63" spans="1:7">
      <c r="A63" s="27" t="s">
        <v>356</v>
      </c>
      <c r="B63" s="19" t="s">
        <v>357</v>
      </c>
      <c r="C63" s="16" t="s">
        <v>355</v>
      </c>
      <c r="D63" s="21"/>
      <c r="E63" s="24"/>
      <c r="G63" s="175" t="s">
        <v>252</v>
      </c>
    </row>
    <row r="64" spans="1:7">
      <c r="A64" s="27" t="s">
        <v>358</v>
      </c>
      <c r="B64" s="19" t="s">
        <v>359</v>
      </c>
      <c r="C64" s="16" t="s">
        <v>339</v>
      </c>
      <c r="D64" s="21"/>
      <c r="E64" s="24"/>
      <c r="G64" s="175" t="s">
        <v>252</v>
      </c>
    </row>
    <row r="65" spans="1:7">
      <c r="A65" s="27" t="s">
        <v>360</v>
      </c>
      <c r="B65" s="19" t="s">
        <v>361</v>
      </c>
      <c r="C65" s="16" t="s">
        <v>339</v>
      </c>
      <c r="D65" s="21"/>
      <c r="E65" s="24"/>
      <c r="G65" s="175" t="s">
        <v>252</v>
      </c>
    </row>
    <row r="66" spans="1:7">
      <c r="A66" s="27" t="s">
        <v>362</v>
      </c>
      <c r="B66" s="19" t="s">
        <v>363</v>
      </c>
      <c r="C66" s="16" t="s">
        <v>364</v>
      </c>
      <c r="D66" s="21"/>
      <c r="E66" s="24"/>
      <c r="G66" s="175" t="s">
        <v>252</v>
      </c>
    </row>
    <row r="67" spans="1:7">
      <c r="A67" s="27" t="s">
        <v>333</v>
      </c>
      <c r="B67" s="19" t="s">
        <v>334</v>
      </c>
      <c r="C67" s="16" t="s">
        <v>335</v>
      </c>
      <c r="D67" s="21"/>
      <c r="E67" s="24"/>
      <c r="F67" s="157"/>
      <c r="G67" s="175" t="s">
        <v>252</v>
      </c>
    </row>
    <row r="68" spans="1:7">
      <c r="A68" s="27"/>
      <c r="B68" s="19"/>
      <c r="C68" s="16"/>
      <c r="D68" s="21"/>
      <c r="E68" s="24"/>
      <c r="F68" s="157"/>
    </row>
    <row r="69" spans="1:7">
      <c r="A69" s="160"/>
      <c r="B69" s="83"/>
      <c r="C69" s="83"/>
      <c r="D69" s="83"/>
      <c r="E69" s="83"/>
      <c r="F69" s="157"/>
    </row>
    <row r="70" spans="1:7">
      <c r="A70" s="171" t="s">
        <v>304</v>
      </c>
      <c r="B70" s="83"/>
      <c r="C70" s="83"/>
      <c r="D70" s="83"/>
      <c r="E70" s="83"/>
      <c r="F70" s="157"/>
    </row>
    <row r="71" spans="1:7">
      <c r="A71" s="160" t="s">
        <v>305</v>
      </c>
      <c r="B71" s="190" t="s">
        <v>242</v>
      </c>
      <c r="C71" s="83" t="s">
        <v>306</v>
      </c>
      <c r="D71" s="83"/>
      <c r="E71" s="83"/>
      <c r="F71" s="83" t="s">
        <v>256</v>
      </c>
      <c r="G71" s="168"/>
    </row>
    <row r="72" spans="1:7">
      <c r="A72" s="160" t="s">
        <v>261</v>
      </c>
      <c r="B72" s="83">
        <v>1030</v>
      </c>
      <c r="C72" s="83" t="s">
        <v>244</v>
      </c>
      <c r="D72" s="83"/>
      <c r="E72" s="83"/>
      <c r="F72" s="83" t="s">
        <v>256</v>
      </c>
      <c r="G72" s="168"/>
    </row>
    <row r="73" spans="1:7">
      <c r="A73" s="160" t="s">
        <v>262</v>
      </c>
      <c r="B73" s="83">
        <v>1230</v>
      </c>
      <c r="C73" s="83" t="s">
        <v>245</v>
      </c>
      <c r="D73" s="83"/>
      <c r="E73" s="83"/>
      <c r="F73" s="83" t="s">
        <v>256</v>
      </c>
      <c r="G73" s="168"/>
    </row>
    <row r="74" spans="1:7">
      <c r="A74" s="160" t="s">
        <v>263</v>
      </c>
      <c r="B74" s="83">
        <v>1400</v>
      </c>
      <c r="C74" s="83" t="s">
        <v>244</v>
      </c>
      <c r="D74" s="83"/>
      <c r="E74" s="83"/>
      <c r="F74" s="83" t="s">
        <v>256</v>
      </c>
      <c r="G74" s="168"/>
    </row>
    <row r="75" spans="1:7">
      <c r="A75" s="160" t="s">
        <v>257</v>
      </c>
      <c r="B75" s="83">
        <v>1530</v>
      </c>
      <c r="C75" s="83" t="s">
        <v>244</v>
      </c>
      <c r="D75" s="83"/>
      <c r="E75" s="83"/>
      <c r="F75" s="83" t="s">
        <v>256</v>
      </c>
      <c r="G75" s="168"/>
    </row>
    <row r="76" spans="1:7">
      <c r="A76" s="160" t="s">
        <v>255</v>
      </c>
      <c r="B76" s="83">
        <v>1630</v>
      </c>
      <c r="C76" s="83" t="s">
        <v>244</v>
      </c>
      <c r="D76" s="83"/>
      <c r="E76" s="83"/>
      <c r="F76" s="83" t="s">
        <v>256</v>
      </c>
    </row>
    <row r="77" spans="1:7">
      <c r="A77" s="160" t="s">
        <v>243</v>
      </c>
      <c r="B77" s="83">
        <v>1630</v>
      </c>
      <c r="C77" s="83" t="s">
        <v>244</v>
      </c>
      <c r="D77" s="83"/>
      <c r="E77" s="83"/>
      <c r="F77" s="83" t="s">
        <v>256</v>
      </c>
    </row>
    <row r="78" spans="1:7">
      <c r="A78" s="160"/>
      <c r="B78" s="83"/>
      <c r="C78" s="83"/>
      <c r="D78" s="83"/>
      <c r="E78" s="83"/>
      <c r="F78" s="83"/>
    </row>
    <row r="79" spans="1:7">
      <c r="A79" s="171" t="s">
        <v>246</v>
      </c>
      <c r="B79" s="83"/>
      <c r="C79" s="83"/>
      <c r="D79" s="83"/>
      <c r="E79" s="83"/>
      <c r="F79" s="83"/>
    </row>
    <row r="80" spans="1:7">
      <c r="A80" s="183" t="s">
        <v>307</v>
      </c>
      <c r="B80" s="190" t="s">
        <v>308</v>
      </c>
      <c r="C80" s="83" t="s">
        <v>245</v>
      </c>
      <c r="D80" s="83"/>
      <c r="E80" s="83"/>
      <c r="F80" s="83" t="s">
        <v>259</v>
      </c>
    </row>
    <row r="81" spans="1:17">
      <c r="A81" s="183" t="s">
        <v>264</v>
      </c>
      <c r="B81" s="83">
        <v>1245</v>
      </c>
      <c r="C81" s="83" t="s">
        <v>244</v>
      </c>
      <c r="D81" s="83"/>
      <c r="E81" s="83"/>
      <c r="F81" s="83" t="s">
        <v>259</v>
      </c>
      <c r="H81" s="157"/>
      <c r="I81" s="157"/>
      <c r="J81" s="157"/>
      <c r="K81" s="157"/>
      <c r="L81" s="157"/>
      <c r="M81" s="157"/>
      <c r="N81" s="157"/>
      <c r="O81" s="157"/>
      <c r="P81" s="157"/>
      <c r="Q81" s="157"/>
    </row>
    <row r="82" spans="1:17">
      <c r="A82" s="183" t="s">
        <v>265</v>
      </c>
      <c r="B82" s="83">
        <v>1615</v>
      </c>
      <c r="C82" s="83" t="s">
        <v>244</v>
      </c>
      <c r="D82" s="83"/>
      <c r="E82" s="83"/>
      <c r="F82" s="83" t="s">
        <v>259</v>
      </c>
      <c r="H82" s="157"/>
      <c r="I82" s="157"/>
      <c r="J82" s="157"/>
      <c r="K82" s="157"/>
      <c r="L82" s="157"/>
      <c r="M82" s="157"/>
      <c r="N82" s="157"/>
      <c r="O82" s="157"/>
      <c r="P82" s="157"/>
      <c r="Q82" s="157"/>
    </row>
    <row r="83" spans="1:17">
      <c r="A83" s="160" t="s">
        <v>266</v>
      </c>
      <c r="B83" s="83">
        <v>1400</v>
      </c>
      <c r="C83" s="83" t="s">
        <v>127</v>
      </c>
      <c r="D83" s="83"/>
      <c r="E83" s="83"/>
      <c r="F83" s="83" t="s">
        <v>259</v>
      </c>
      <c r="G83" s="168"/>
      <c r="H83" s="157"/>
      <c r="I83" s="157"/>
      <c r="J83" s="157"/>
      <c r="K83" s="157"/>
      <c r="L83" s="157"/>
      <c r="M83" s="157"/>
      <c r="N83" s="157"/>
      <c r="O83" s="157"/>
      <c r="P83" s="157"/>
      <c r="Q83" s="157"/>
    </row>
    <row r="84" spans="1:17">
      <c r="A84" s="160" t="s">
        <v>253</v>
      </c>
      <c r="B84" s="83">
        <v>1530</v>
      </c>
      <c r="C84" s="83" t="s">
        <v>245</v>
      </c>
      <c r="D84" s="83"/>
      <c r="E84" s="83"/>
      <c r="F84" s="83" t="s">
        <v>259</v>
      </c>
      <c r="H84" s="157"/>
      <c r="I84" s="157"/>
      <c r="J84" s="157"/>
      <c r="K84" s="157"/>
      <c r="L84" s="157"/>
      <c r="M84" s="157"/>
      <c r="N84" s="157"/>
      <c r="O84" s="157"/>
      <c r="P84" s="157"/>
      <c r="Q84" s="157"/>
    </row>
    <row r="85" spans="1:17">
      <c r="A85" s="160" t="s">
        <v>267</v>
      </c>
      <c r="B85" s="83">
        <v>1045</v>
      </c>
      <c r="C85" s="83" t="s">
        <v>245</v>
      </c>
      <c r="D85" s="83"/>
      <c r="E85" s="83"/>
      <c r="F85" s="83" t="s">
        <v>268</v>
      </c>
      <c r="H85" s="157"/>
      <c r="I85" s="157"/>
      <c r="J85" s="157"/>
      <c r="K85" s="157"/>
      <c r="L85" s="157"/>
      <c r="M85" s="157"/>
      <c r="N85" s="157"/>
      <c r="O85" s="157"/>
      <c r="P85" s="157"/>
      <c r="Q85" s="157"/>
    </row>
    <row r="86" spans="1:17">
      <c r="A86" s="160" t="s">
        <v>258</v>
      </c>
      <c r="B86" s="83">
        <v>1645</v>
      </c>
      <c r="C86" s="83" t="s">
        <v>245</v>
      </c>
      <c r="D86" s="83"/>
      <c r="E86" s="83"/>
      <c r="F86" s="83" t="s">
        <v>259</v>
      </c>
      <c r="H86" s="157"/>
      <c r="I86" s="157"/>
      <c r="J86" s="157"/>
      <c r="K86" s="157"/>
      <c r="L86" s="157"/>
      <c r="M86" s="157"/>
      <c r="N86" s="157"/>
      <c r="O86" s="157"/>
      <c r="P86" s="157"/>
      <c r="Q86" s="157"/>
    </row>
    <row r="87" spans="1:17">
      <c r="A87" s="160" t="s">
        <v>269</v>
      </c>
      <c r="B87" s="83">
        <v>1045</v>
      </c>
      <c r="C87" s="83" t="s">
        <v>270</v>
      </c>
      <c r="D87" s="83"/>
      <c r="E87" s="83"/>
      <c r="F87" s="83" t="s">
        <v>336</v>
      </c>
      <c r="H87" s="157"/>
      <c r="I87" s="157"/>
      <c r="J87" s="157"/>
      <c r="K87" s="157"/>
      <c r="L87" s="157"/>
      <c r="M87" s="157"/>
      <c r="N87" s="157"/>
      <c r="O87" s="157"/>
      <c r="P87" s="157"/>
      <c r="Q87" s="157"/>
    </row>
    <row r="88" spans="1:17">
      <c r="A88" s="160" t="s">
        <v>271</v>
      </c>
      <c r="B88" s="83">
        <v>1530</v>
      </c>
      <c r="C88" s="83" t="s">
        <v>127</v>
      </c>
      <c r="D88" s="83"/>
      <c r="E88" s="83"/>
      <c r="F88" s="83" t="s">
        <v>336</v>
      </c>
      <c r="H88" s="157"/>
      <c r="I88" s="157"/>
      <c r="J88" s="157"/>
      <c r="K88" s="157"/>
      <c r="L88" s="157"/>
      <c r="M88" s="157"/>
      <c r="N88" s="157"/>
      <c r="O88" s="157"/>
      <c r="P88" s="157"/>
      <c r="Q88" s="157"/>
    </row>
    <row r="89" spans="1:17">
      <c r="A89" s="160" t="s">
        <v>272</v>
      </c>
      <c r="B89" s="83">
        <v>1645</v>
      </c>
      <c r="C89" s="83" t="s">
        <v>270</v>
      </c>
      <c r="D89" s="83"/>
      <c r="E89" s="83"/>
      <c r="F89" s="83" t="s">
        <v>336</v>
      </c>
      <c r="H89" s="157"/>
      <c r="I89" s="157"/>
      <c r="J89" s="157"/>
      <c r="K89" s="157"/>
      <c r="L89" s="157"/>
      <c r="M89" s="157"/>
      <c r="N89" s="157"/>
      <c r="O89" s="157"/>
      <c r="P89" s="157"/>
      <c r="Q89" s="157"/>
    </row>
    <row r="90" spans="1:17">
      <c r="A90" s="160"/>
      <c r="B90" s="83"/>
      <c r="C90" s="83"/>
      <c r="D90" s="83"/>
      <c r="E90" s="83"/>
      <c r="F90" s="83"/>
      <c r="H90" s="157"/>
      <c r="I90" s="157"/>
      <c r="J90" s="157"/>
      <c r="K90" s="157"/>
      <c r="L90" s="157"/>
      <c r="M90" s="157"/>
      <c r="N90" s="157"/>
      <c r="O90" s="157"/>
      <c r="P90" s="157"/>
      <c r="Q90" s="157"/>
    </row>
    <row r="91" spans="1:17">
      <c r="A91" s="160" t="s">
        <v>128</v>
      </c>
      <c r="B91" s="83" t="s">
        <v>129</v>
      </c>
      <c r="C91" s="83" t="s">
        <v>130</v>
      </c>
      <c r="D91" s="83"/>
      <c r="E91" s="83"/>
      <c r="F91" s="83"/>
      <c r="H91" s="157"/>
      <c r="I91" s="157"/>
      <c r="J91" s="157"/>
      <c r="K91" s="157"/>
      <c r="L91" s="157"/>
      <c r="M91" s="157"/>
      <c r="N91" s="157"/>
      <c r="O91" s="157"/>
      <c r="P91" s="157"/>
      <c r="Q91" s="157"/>
    </row>
    <row r="92" spans="1:17">
      <c r="H92" s="157"/>
      <c r="I92" s="157"/>
      <c r="J92" s="157"/>
      <c r="K92" s="157"/>
      <c r="L92" s="157"/>
      <c r="M92" s="157"/>
      <c r="N92" s="157"/>
      <c r="O92" s="157"/>
      <c r="P92" s="157"/>
      <c r="Q92" s="157"/>
    </row>
    <row r="93" spans="1:17">
      <c r="A93" s="464" t="s">
        <v>225</v>
      </c>
      <c r="B93" s="464"/>
      <c r="C93" s="464"/>
      <c r="H93" s="157"/>
      <c r="I93" s="157"/>
      <c r="J93" s="157"/>
      <c r="K93" s="157"/>
      <c r="L93" s="157"/>
      <c r="M93" s="157"/>
      <c r="N93" s="157"/>
      <c r="O93" s="157"/>
      <c r="P93" s="157"/>
      <c r="Q93" s="157"/>
    </row>
    <row r="94" spans="1:17">
      <c r="A94" s="27" t="s">
        <v>59</v>
      </c>
      <c r="B94" s="158"/>
      <c r="C94" s="10" t="s">
        <v>38</v>
      </c>
    </row>
    <row r="95" spans="1:17">
      <c r="A95" s="27" t="s">
        <v>89</v>
      </c>
      <c r="B95" s="158"/>
      <c r="C95" s="10" t="s">
        <v>38</v>
      </c>
    </row>
    <row r="96" spans="1:17">
      <c r="A96" s="27" t="s">
        <v>254</v>
      </c>
      <c r="B96" s="158"/>
      <c r="C96" s="10" t="s">
        <v>38</v>
      </c>
    </row>
    <row r="97" spans="1:3">
      <c r="A97" s="27" t="s">
        <v>57</v>
      </c>
      <c r="B97" s="158"/>
      <c r="C97" s="10" t="s">
        <v>58</v>
      </c>
    </row>
    <row r="98" spans="1:3">
      <c r="A98" s="27" t="s">
        <v>198</v>
      </c>
      <c r="B98" s="158"/>
      <c r="C98" s="10" t="s">
        <v>199</v>
      </c>
    </row>
    <row r="99" spans="1:3">
      <c r="A99" s="27" t="s">
        <v>55</v>
      </c>
      <c r="B99" s="158"/>
      <c r="C99" s="10" t="s">
        <v>54</v>
      </c>
    </row>
    <row r="100" spans="1:3">
      <c r="A100" s="27" t="s">
        <v>39</v>
      </c>
      <c r="B100" s="158"/>
      <c r="C100" s="10" t="s">
        <v>38</v>
      </c>
    </row>
    <row r="101" spans="1:3">
      <c r="A101" s="27" t="s">
        <v>200</v>
      </c>
      <c r="B101" s="158"/>
      <c r="C101" s="10" t="s">
        <v>54</v>
      </c>
    </row>
    <row r="102" spans="1:3">
      <c r="A102" s="27" t="s">
        <v>201</v>
      </c>
      <c r="B102" s="158"/>
      <c r="C102" s="10" t="s">
        <v>38</v>
      </c>
    </row>
    <row r="103" spans="1:3">
      <c r="A103" s="161" t="s">
        <v>980</v>
      </c>
      <c r="B103" s="158"/>
      <c r="C103" s="159" t="s">
        <v>981</v>
      </c>
    </row>
    <row r="104" spans="1:3">
      <c r="A104" s="161"/>
      <c r="B104" s="158"/>
      <c r="C104" s="159"/>
    </row>
    <row r="105" spans="1:3">
      <c r="A105" s="161"/>
      <c r="B105" s="158"/>
      <c r="C105" s="159"/>
    </row>
    <row r="106" spans="1:3">
      <c r="A106" s="160"/>
      <c r="C106" s="83"/>
    </row>
    <row r="107" spans="1:3">
      <c r="A107" s="160"/>
      <c r="C107" s="83"/>
    </row>
    <row r="108" spans="1:3">
      <c r="A108" s="160"/>
      <c r="C108" s="83"/>
    </row>
  </sheetData>
  <autoFilter ref="A1:E98"/>
  <mergeCells count="1">
    <mergeCell ref="A93:C93"/>
  </mergeCells>
  <phoneticPr fontId="2" type="noConversion"/>
  <conditionalFormatting sqref="A91:A1022">
    <cfRule type="duplicateValues" dxfId="12" priority="24"/>
  </conditionalFormatting>
  <conditionalFormatting sqref="A18:A19">
    <cfRule type="duplicateValues" dxfId="11" priority="11"/>
  </conditionalFormatting>
  <conditionalFormatting sqref="A48">
    <cfRule type="duplicateValues" dxfId="10" priority="10"/>
  </conditionalFormatting>
  <conditionalFormatting sqref="A2:A17 A20:A36 A49:A56 A67:A90 A40:A47 A38">
    <cfRule type="duplicateValues" dxfId="9" priority="43"/>
  </conditionalFormatting>
  <conditionalFormatting sqref="A64 A57 A66">
    <cfRule type="duplicateValues" dxfId="8" priority="9"/>
  </conditionalFormatting>
  <conditionalFormatting sqref="A62 A60">
    <cfRule type="duplicateValues" dxfId="7" priority="8"/>
  </conditionalFormatting>
  <conditionalFormatting sqref="A61">
    <cfRule type="duplicateValues" dxfId="6" priority="7"/>
  </conditionalFormatting>
  <conditionalFormatting sqref="A59">
    <cfRule type="duplicateValues" dxfId="5" priority="6"/>
  </conditionalFormatting>
  <conditionalFormatting sqref="A58">
    <cfRule type="duplicateValues" dxfId="4" priority="5"/>
  </conditionalFormatting>
  <conditionalFormatting sqref="A63">
    <cfRule type="duplicateValues" dxfId="3" priority="4"/>
  </conditionalFormatting>
  <conditionalFormatting sqref="A65">
    <cfRule type="duplicateValues" dxfId="2" priority="3"/>
  </conditionalFormatting>
  <conditionalFormatting sqref="A39">
    <cfRule type="duplicateValues" dxfId="1" priority="2"/>
  </conditionalFormatting>
  <conditionalFormatting sqref="A37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5"/>
  <sheetViews>
    <sheetView workbookViewId="0">
      <selection activeCell="I3" sqref="I3"/>
    </sheetView>
  </sheetViews>
  <sheetFormatPr defaultRowHeight="16.5"/>
  <sheetData>
    <row r="1" spans="1:8" ht="19.5" thickBot="1">
      <c r="A1" s="55" t="s">
        <v>109</v>
      </c>
      <c r="B1" s="56" t="s">
        <v>110</v>
      </c>
      <c r="C1" s="56" t="s">
        <v>111</v>
      </c>
      <c r="D1" s="56" t="s">
        <v>112</v>
      </c>
      <c r="E1" s="56" t="s">
        <v>113</v>
      </c>
      <c r="F1" s="56" t="s">
        <v>114</v>
      </c>
      <c r="G1" s="56" t="s">
        <v>115</v>
      </c>
      <c r="H1" s="57" t="s">
        <v>116</v>
      </c>
    </row>
    <row r="2" spans="1:8" ht="18.75">
      <c r="A2" s="58">
        <v>1</v>
      </c>
      <c r="B2" s="59" t="s">
        <v>117</v>
      </c>
      <c r="C2" s="60" t="s">
        <v>118</v>
      </c>
      <c r="D2" s="60" t="s">
        <v>119</v>
      </c>
      <c r="E2" s="61" t="s">
        <v>120</v>
      </c>
      <c r="F2" s="60" t="s">
        <v>121</v>
      </c>
      <c r="G2" s="60" t="s">
        <v>119</v>
      </c>
      <c r="H2" s="62" t="s">
        <v>118</v>
      </c>
    </row>
    <row r="3" spans="1:8" ht="18.75">
      <c r="A3" s="63">
        <v>2</v>
      </c>
      <c r="B3" s="64" t="s">
        <v>122</v>
      </c>
      <c r="C3" s="65" t="s">
        <v>123</v>
      </c>
      <c r="D3" s="65" t="s">
        <v>119</v>
      </c>
      <c r="E3" s="65" t="s">
        <v>124</v>
      </c>
      <c r="F3" s="65" t="s">
        <v>121</v>
      </c>
      <c r="G3" s="65" t="s">
        <v>119</v>
      </c>
      <c r="H3" s="66" t="s">
        <v>125</v>
      </c>
    </row>
    <row r="4" spans="1:8" ht="18.75">
      <c r="A4" s="63">
        <v>3</v>
      </c>
      <c r="B4" s="64" t="s">
        <v>122</v>
      </c>
      <c r="C4" s="65" t="s">
        <v>123</v>
      </c>
      <c r="D4" s="65" t="s">
        <v>119</v>
      </c>
      <c r="E4" s="67" t="s">
        <v>125</v>
      </c>
      <c r="F4" s="65" t="s">
        <v>126</v>
      </c>
      <c r="G4" s="65" t="s">
        <v>121</v>
      </c>
      <c r="H4" s="68" t="s">
        <v>121</v>
      </c>
    </row>
    <row r="5" spans="1:8" ht="19.5" thickBot="1">
      <c r="A5" s="69">
        <v>4</v>
      </c>
      <c r="B5" s="70" t="s">
        <v>119</v>
      </c>
      <c r="C5" s="71" t="s">
        <v>120</v>
      </c>
      <c r="D5" s="72" t="s">
        <v>121</v>
      </c>
      <c r="E5" s="72" t="s">
        <v>118</v>
      </c>
      <c r="F5" s="72" t="s">
        <v>119</v>
      </c>
      <c r="G5" s="72" t="s">
        <v>117</v>
      </c>
      <c r="H5" s="73" t="s">
        <v>120</v>
      </c>
    </row>
    <row r="6" spans="1:8" ht="18.75">
      <c r="A6" s="58">
        <v>5</v>
      </c>
      <c r="B6" s="59" t="s">
        <v>119</v>
      </c>
      <c r="C6" s="60" t="s">
        <v>124</v>
      </c>
      <c r="D6" s="60" t="s">
        <v>117</v>
      </c>
      <c r="E6" s="60" t="s">
        <v>119</v>
      </c>
      <c r="F6" s="60" t="s">
        <v>122</v>
      </c>
      <c r="G6" s="60" t="s">
        <v>123</v>
      </c>
      <c r="H6" s="62" t="s">
        <v>119</v>
      </c>
    </row>
    <row r="7" spans="1:8" ht="18.75">
      <c r="A7" s="63">
        <v>6</v>
      </c>
      <c r="B7" s="74" t="s">
        <v>120</v>
      </c>
      <c r="C7" s="65" t="s">
        <v>118</v>
      </c>
      <c r="D7" s="65" t="s">
        <v>118</v>
      </c>
      <c r="E7" s="65" t="s">
        <v>119</v>
      </c>
      <c r="F7" s="67" t="s">
        <v>125</v>
      </c>
      <c r="G7" s="65" t="s">
        <v>122</v>
      </c>
      <c r="H7" s="68" t="s">
        <v>123</v>
      </c>
    </row>
    <row r="8" spans="1:8" ht="18.75">
      <c r="A8" s="63">
        <v>7</v>
      </c>
      <c r="B8" s="64" t="s">
        <v>119</v>
      </c>
      <c r="C8" s="67" t="s">
        <v>125</v>
      </c>
      <c r="D8" s="65" t="s">
        <v>126</v>
      </c>
      <c r="E8" s="65" t="s">
        <v>121</v>
      </c>
      <c r="F8" s="65" t="s">
        <v>117</v>
      </c>
      <c r="G8" s="65" t="s">
        <v>119</v>
      </c>
      <c r="H8" s="68" t="s">
        <v>118</v>
      </c>
    </row>
    <row r="9" spans="1:8" ht="19.5" thickBot="1">
      <c r="A9" s="69">
        <v>8</v>
      </c>
      <c r="B9" s="75" t="s">
        <v>125</v>
      </c>
      <c r="C9" s="72" t="s">
        <v>119</v>
      </c>
      <c r="D9" s="72" t="s">
        <v>124</v>
      </c>
      <c r="E9" s="71" t="s">
        <v>120</v>
      </c>
      <c r="F9" s="72" t="s">
        <v>117</v>
      </c>
      <c r="G9" s="72" t="s">
        <v>119</v>
      </c>
      <c r="H9" s="76" t="s">
        <v>118</v>
      </c>
    </row>
    <row r="10" spans="1:8" ht="18.75">
      <c r="A10" s="58">
        <v>9</v>
      </c>
      <c r="B10" s="59" t="s">
        <v>118</v>
      </c>
      <c r="C10" s="60" t="s">
        <v>119</v>
      </c>
      <c r="D10" s="60" t="s">
        <v>122</v>
      </c>
      <c r="E10" s="60" t="s">
        <v>123</v>
      </c>
      <c r="F10" s="60" t="s">
        <v>119</v>
      </c>
      <c r="G10" s="60" t="s">
        <v>117</v>
      </c>
      <c r="H10" s="77" t="s">
        <v>120</v>
      </c>
    </row>
    <row r="11" spans="1:8" ht="18.75">
      <c r="A11" s="63">
        <v>10</v>
      </c>
      <c r="B11" s="64" t="s">
        <v>119</v>
      </c>
      <c r="C11" s="65" t="s">
        <v>121</v>
      </c>
      <c r="D11" s="67" t="s">
        <v>120</v>
      </c>
      <c r="E11" s="65" t="s">
        <v>122</v>
      </c>
      <c r="F11" s="65" t="s">
        <v>123</v>
      </c>
      <c r="G11" s="65" t="s">
        <v>119</v>
      </c>
      <c r="H11" s="68" t="s">
        <v>119</v>
      </c>
    </row>
    <row r="12" spans="1:8" ht="18.75">
      <c r="A12" s="63">
        <v>11</v>
      </c>
      <c r="B12" s="64" t="s">
        <v>124</v>
      </c>
      <c r="C12" s="65" t="s">
        <v>117</v>
      </c>
      <c r="D12" s="65" t="s">
        <v>124</v>
      </c>
      <c r="E12" s="65" t="s">
        <v>119</v>
      </c>
      <c r="F12" s="67" t="s">
        <v>125</v>
      </c>
      <c r="G12" s="65" t="s">
        <v>118</v>
      </c>
      <c r="H12" s="68" t="s">
        <v>119</v>
      </c>
    </row>
    <row r="13" spans="1:8" ht="19.5" thickBot="1">
      <c r="A13" s="69">
        <v>12</v>
      </c>
      <c r="B13" s="70" t="s">
        <v>117</v>
      </c>
      <c r="C13" s="72" t="s">
        <v>122</v>
      </c>
      <c r="D13" s="72" t="s">
        <v>123</v>
      </c>
      <c r="E13" s="72" t="s">
        <v>119</v>
      </c>
      <c r="F13" s="72" t="s">
        <v>118</v>
      </c>
      <c r="G13" s="72" t="s">
        <v>118</v>
      </c>
      <c r="H13" s="76" t="s">
        <v>119</v>
      </c>
    </row>
    <row r="14" spans="1:8" ht="18.75">
      <c r="A14" s="58">
        <v>13</v>
      </c>
      <c r="B14" s="78" t="s">
        <v>120</v>
      </c>
      <c r="C14" s="60" t="s">
        <v>122</v>
      </c>
      <c r="D14" s="60" t="s">
        <v>123</v>
      </c>
      <c r="E14" s="60" t="s">
        <v>119</v>
      </c>
      <c r="F14" s="60" t="s">
        <v>124</v>
      </c>
      <c r="G14" s="60" t="s">
        <v>126</v>
      </c>
      <c r="H14" s="77" t="s">
        <v>125</v>
      </c>
    </row>
    <row r="15" spans="1:8" ht="18.75">
      <c r="A15" s="63">
        <v>14</v>
      </c>
      <c r="B15" s="64" t="s">
        <v>118</v>
      </c>
      <c r="C15" s="65" t="s">
        <v>119</v>
      </c>
      <c r="D15" s="65" t="s">
        <v>124</v>
      </c>
      <c r="E15" s="65" t="s">
        <v>117</v>
      </c>
      <c r="F15" s="65" t="s">
        <v>124</v>
      </c>
      <c r="G15" s="65" t="s">
        <v>119</v>
      </c>
      <c r="H15" s="68" t="s">
        <v>118</v>
      </c>
    </row>
    <row r="16" spans="1:8" ht="18.75">
      <c r="A16" s="63">
        <v>15</v>
      </c>
      <c r="B16" s="74" t="s">
        <v>125</v>
      </c>
      <c r="C16" s="65" t="s">
        <v>119</v>
      </c>
      <c r="D16" s="65" t="s">
        <v>118</v>
      </c>
      <c r="E16" s="65" t="s">
        <v>122</v>
      </c>
      <c r="F16" s="65" t="s">
        <v>123</v>
      </c>
      <c r="G16" s="65" t="s">
        <v>119</v>
      </c>
      <c r="H16" s="68" t="s">
        <v>124</v>
      </c>
    </row>
    <row r="17" spans="1:8" ht="19.5" thickBot="1">
      <c r="A17" s="69">
        <v>16</v>
      </c>
      <c r="B17" s="70" t="s">
        <v>119</v>
      </c>
      <c r="C17" s="72" t="s">
        <v>117</v>
      </c>
      <c r="D17" s="72" t="s">
        <v>121</v>
      </c>
      <c r="E17" s="71" t="s">
        <v>125</v>
      </c>
      <c r="F17" s="72" t="s">
        <v>119</v>
      </c>
      <c r="G17" s="72" t="s">
        <v>121</v>
      </c>
      <c r="H17" s="76" t="s">
        <v>117</v>
      </c>
    </row>
    <row r="18" spans="1:8" ht="18.75">
      <c r="A18" s="58">
        <v>17</v>
      </c>
      <c r="B18" s="59" t="s">
        <v>119</v>
      </c>
      <c r="C18" s="61" t="s">
        <v>120</v>
      </c>
      <c r="D18" s="60" t="s">
        <v>121</v>
      </c>
      <c r="E18" s="60" t="s">
        <v>119</v>
      </c>
      <c r="F18" s="60" t="s">
        <v>118</v>
      </c>
      <c r="G18" s="61" t="s">
        <v>125</v>
      </c>
      <c r="H18" s="62" t="s">
        <v>119</v>
      </c>
    </row>
    <row r="19" spans="1:8" ht="18.75">
      <c r="A19" s="63">
        <v>18</v>
      </c>
      <c r="B19" s="64" t="s">
        <v>121</v>
      </c>
      <c r="C19" s="67" t="s">
        <v>125</v>
      </c>
      <c r="D19" s="65" t="s">
        <v>122</v>
      </c>
      <c r="E19" s="65" t="s">
        <v>123</v>
      </c>
      <c r="F19" s="65" t="s">
        <v>119</v>
      </c>
      <c r="G19" s="67" t="s">
        <v>125</v>
      </c>
      <c r="H19" s="68" t="s">
        <v>126</v>
      </c>
    </row>
    <row r="20" spans="1:8" ht="18.75">
      <c r="A20" s="63">
        <v>19</v>
      </c>
      <c r="B20" s="64" t="s">
        <v>121</v>
      </c>
      <c r="C20" s="65" t="s">
        <v>118</v>
      </c>
      <c r="D20" s="65" t="s">
        <v>119</v>
      </c>
      <c r="E20" s="65" t="s">
        <v>117</v>
      </c>
      <c r="F20" s="67" t="s">
        <v>120</v>
      </c>
      <c r="G20" s="65" t="s">
        <v>119</v>
      </c>
      <c r="H20" s="68" t="s">
        <v>122</v>
      </c>
    </row>
    <row r="21" spans="1:8" ht="19.5" thickBot="1">
      <c r="A21" s="69">
        <v>20</v>
      </c>
      <c r="B21" s="70" t="s">
        <v>123</v>
      </c>
      <c r="C21" s="72" t="s">
        <v>119</v>
      </c>
      <c r="D21" s="72" t="s">
        <v>126</v>
      </c>
      <c r="E21" s="72" t="s">
        <v>121</v>
      </c>
      <c r="F21" s="71" t="s">
        <v>120</v>
      </c>
      <c r="G21" s="72" t="s">
        <v>119</v>
      </c>
      <c r="H21" s="76" t="s">
        <v>122</v>
      </c>
    </row>
    <row r="22" spans="1:8" ht="18.75">
      <c r="A22" s="63">
        <v>21</v>
      </c>
      <c r="B22" s="79" t="s">
        <v>123</v>
      </c>
      <c r="C22" s="80" t="s">
        <v>119</v>
      </c>
      <c r="D22" s="81" t="s">
        <v>125</v>
      </c>
      <c r="E22" s="80" t="s">
        <v>118</v>
      </c>
      <c r="F22" s="80" t="s">
        <v>119</v>
      </c>
      <c r="G22" s="81" t="s">
        <v>120</v>
      </c>
      <c r="H22" s="82" t="s">
        <v>117</v>
      </c>
    </row>
    <row r="23" spans="1:8" ht="18.75">
      <c r="A23" s="63">
        <v>22</v>
      </c>
      <c r="B23" s="64" t="s">
        <v>119</v>
      </c>
      <c r="C23" s="65" t="s">
        <v>124</v>
      </c>
      <c r="D23" s="65" t="s">
        <v>117</v>
      </c>
      <c r="E23" s="65" t="s">
        <v>118</v>
      </c>
      <c r="F23" s="65" t="s">
        <v>119</v>
      </c>
      <c r="G23" s="67" t="s">
        <v>120</v>
      </c>
      <c r="H23" s="68" t="s">
        <v>121</v>
      </c>
    </row>
    <row r="24" spans="1:8" ht="18.75">
      <c r="A24" s="63">
        <v>23</v>
      </c>
      <c r="B24" s="64" t="s">
        <v>119</v>
      </c>
      <c r="C24" s="65" t="s">
        <v>121</v>
      </c>
      <c r="D24" s="67" t="s">
        <v>120</v>
      </c>
      <c r="E24" s="65" t="s">
        <v>119</v>
      </c>
      <c r="F24" s="65" t="s">
        <v>118</v>
      </c>
      <c r="G24" s="65" t="s">
        <v>122</v>
      </c>
      <c r="H24" s="68" t="s">
        <v>123</v>
      </c>
    </row>
    <row r="25" spans="1:8" ht="19.5" thickBot="1">
      <c r="A25" s="69">
        <v>24</v>
      </c>
      <c r="B25" s="70" t="s">
        <v>119</v>
      </c>
      <c r="C25" s="72" t="s">
        <v>118</v>
      </c>
      <c r="D25" s="71" t="s">
        <v>125</v>
      </c>
      <c r="E25" s="72" t="s">
        <v>119</v>
      </c>
      <c r="F25" s="72" t="s">
        <v>122</v>
      </c>
      <c r="G25" s="72" t="s">
        <v>123</v>
      </c>
      <c r="H25" s="76" t="s">
        <v>119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2"/>
  <sheetViews>
    <sheetView workbookViewId="0">
      <selection activeCell="B23" sqref="B23"/>
    </sheetView>
  </sheetViews>
  <sheetFormatPr defaultRowHeight="15.75"/>
  <cols>
    <col min="1" max="1" width="9" style="116" customWidth="1"/>
    <col min="2" max="2" width="14.625" style="116" bestFit="1" customWidth="1"/>
    <col min="3" max="3" width="9" style="116" customWidth="1"/>
    <col min="4" max="4" width="12.75" style="116" customWidth="1"/>
    <col min="5" max="6" width="9" style="116"/>
    <col min="7" max="7" width="30.375" style="117" customWidth="1"/>
    <col min="8" max="16384" width="9" style="116"/>
  </cols>
  <sheetData>
    <row r="1" spans="1:9" ht="16.5" thickBot="1">
      <c r="A1" s="118" t="s">
        <v>132</v>
      </c>
      <c r="B1" s="118" t="s">
        <v>158</v>
      </c>
      <c r="C1" s="118" t="s">
        <v>157</v>
      </c>
      <c r="D1" s="118" t="s">
        <v>138</v>
      </c>
      <c r="F1" s="116" t="s">
        <v>316</v>
      </c>
    </row>
    <row r="2" spans="1:9">
      <c r="A2" s="119" t="s">
        <v>86</v>
      </c>
      <c r="B2" s="120" t="s">
        <v>139</v>
      </c>
      <c r="C2" s="120" t="s">
        <v>7</v>
      </c>
      <c r="D2" s="121" t="s">
        <v>141</v>
      </c>
      <c r="F2" s="195" t="s">
        <v>317</v>
      </c>
      <c r="G2" s="196" t="s">
        <v>178</v>
      </c>
      <c r="H2" s="176"/>
      <c r="I2" s="176"/>
    </row>
    <row r="3" spans="1:9">
      <c r="A3" s="122" t="s">
        <v>85</v>
      </c>
      <c r="B3" s="123" t="s">
        <v>148</v>
      </c>
      <c r="C3" s="123" t="s">
        <v>7</v>
      </c>
      <c r="D3" s="124" t="s">
        <v>151</v>
      </c>
      <c r="F3" s="139" t="s">
        <v>319</v>
      </c>
      <c r="G3" s="197" t="s">
        <v>323</v>
      </c>
      <c r="H3" s="113"/>
      <c r="I3" s="113"/>
    </row>
    <row r="4" spans="1:9">
      <c r="A4" s="122" t="s">
        <v>142</v>
      </c>
      <c r="B4" s="123" t="s">
        <v>143</v>
      </c>
      <c r="C4" s="123" t="s">
        <v>7</v>
      </c>
      <c r="D4" s="124" t="s">
        <v>149</v>
      </c>
      <c r="F4" s="139" t="s">
        <v>318</v>
      </c>
      <c r="G4" s="198" t="s">
        <v>156</v>
      </c>
      <c r="H4" s="176"/>
      <c r="I4" s="176"/>
    </row>
    <row r="5" spans="1:9" ht="16.5" thickBot="1">
      <c r="A5" s="125" t="s">
        <v>87</v>
      </c>
      <c r="B5" s="126" t="s">
        <v>144</v>
      </c>
      <c r="C5" s="126" t="s">
        <v>7</v>
      </c>
      <c r="D5" s="127" t="s">
        <v>153</v>
      </c>
      <c r="F5" s="122" t="s">
        <v>832</v>
      </c>
      <c r="G5" s="128" t="s">
        <v>177</v>
      </c>
    </row>
    <row r="6" spans="1:9">
      <c r="A6" s="122" t="s">
        <v>88</v>
      </c>
      <c r="B6" s="120" t="s">
        <v>147</v>
      </c>
      <c r="C6" s="120" t="s">
        <v>7</v>
      </c>
      <c r="D6" s="121" t="s">
        <v>150</v>
      </c>
      <c r="F6" s="122" t="s">
        <v>832</v>
      </c>
      <c r="G6" s="128" t="s">
        <v>273</v>
      </c>
    </row>
    <row r="7" spans="1:9">
      <c r="A7" s="122" t="s">
        <v>102</v>
      </c>
      <c r="B7" s="123" t="s">
        <v>80</v>
      </c>
      <c r="C7" s="123" t="s">
        <v>7</v>
      </c>
      <c r="D7" s="124" t="s">
        <v>81</v>
      </c>
      <c r="F7" s="122" t="s">
        <v>832</v>
      </c>
      <c r="G7" s="128" t="s">
        <v>830</v>
      </c>
    </row>
    <row r="8" spans="1:9">
      <c r="A8" s="122" t="s">
        <v>103</v>
      </c>
      <c r="B8" s="123" t="s">
        <v>140</v>
      </c>
      <c r="C8" s="123" t="s">
        <v>7</v>
      </c>
      <c r="D8" s="124" t="s">
        <v>152</v>
      </c>
      <c r="F8" s="122"/>
      <c r="G8" s="128"/>
    </row>
    <row r="9" spans="1:9" ht="16.5" thickBot="1">
      <c r="A9" s="125" t="s">
        <v>104</v>
      </c>
      <c r="B9" s="126" t="s">
        <v>249</v>
      </c>
      <c r="C9" s="126" t="s">
        <v>7</v>
      </c>
      <c r="D9" s="127" t="s">
        <v>250</v>
      </c>
      <c r="F9" s="125"/>
      <c r="G9" s="129"/>
    </row>
    <row r="10" spans="1:9">
      <c r="A10" s="119" t="s">
        <v>105</v>
      </c>
      <c r="B10" s="120" t="s">
        <v>742</v>
      </c>
      <c r="C10" s="120" t="s">
        <v>7</v>
      </c>
      <c r="D10" s="121" t="s">
        <v>921</v>
      </c>
      <c r="F10" s="123"/>
      <c r="G10" s="191"/>
    </row>
    <row r="11" spans="1:9" ht="16.5" thickBot="1">
      <c r="A11" s="122" t="s">
        <v>106</v>
      </c>
      <c r="B11" s="123" t="s">
        <v>274</v>
      </c>
      <c r="C11" s="123" t="s">
        <v>7</v>
      </c>
      <c r="D11" s="124" t="s">
        <v>275</v>
      </c>
      <c r="F11" s="116" t="s">
        <v>204</v>
      </c>
      <c r="G11" s="130"/>
    </row>
    <row r="12" spans="1:9">
      <c r="A12" s="122" t="s">
        <v>107</v>
      </c>
      <c r="B12" s="123" t="s">
        <v>146</v>
      </c>
      <c r="C12" s="123" t="s">
        <v>7</v>
      </c>
      <c r="D12" s="124" t="s">
        <v>154</v>
      </c>
      <c r="F12" s="192" t="s">
        <v>315</v>
      </c>
      <c r="G12" s="193" t="s">
        <v>160</v>
      </c>
    </row>
    <row r="13" spans="1:9" ht="16.5" thickBot="1">
      <c r="A13" s="125" t="s">
        <v>108</v>
      </c>
      <c r="B13" s="126" t="s">
        <v>145</v>
      </c>
      <c r="C13" s="126" t="s">
        <v>7</v>
      </c>
      <c r="D13" s="127" t="s">
        <v>155</v>
      </c>
      <c r="F13" s="139" t="s">
        <v>312</v>
      </c>
      <c r="G13" s="140" t="s">
        <v>185</v>
      </c>
    </row>
    <row r="14" spans="1:9" ht="16.5" thickBot="1">
      <c r="F14" s="194" t="s">
        <v>320</v>
      </c>
      <c r="G14" s="140" t="s">
        <v>314</v>
      </c>
    </row>
    <row r="15" spans="1:9">
      <c r="A15" s="119" t="s">
        <v>86</v>
      </c>
      <c r="B15" s="120" t="s">
        <v>159</v>
      </c>
      <c r="C15" s="120" t="s">
        <v>301</v>
      </c>
      <c r="D15" s="121" t="s">
        <v>169</v>
      </c>
      <c r="F15" s="122" t="s">
        <v>312</v>
      </c>
      <c r="G15" s="132" t="s">
        <v>313</v>
      </c>
    </row>
    <row r="16" spans="1:9">
      <c r="A16" s="122" t="s">
        <v>86</v>
      </c>
      <c r="B16" s="123" t="s">
        <v>231</v>
      </c>
      <c r="C16" s="123" t="s">
        <v>301</v>
      </c>
      <c r="D16" s="124" t="s">
        <v>232</v>
      </c>
      <c r="F16" s="122" t="s">
        <v>312</v>
      </c>
      <c r="G16" s="132" t="s">
        <v>311</v>
      </c>
    </row>
    <row r="17" spans="1:8">
      <c r="A17" s="122" t="s">
        <v>277</v>
      </c>
      <c r="B17" s="123" t="s">
        <v>278</v>
      </c>
      <c r="C17" s="123" t="s">
        <v>279</v>
      </c>
      <c r="D17" s="124" t="s">
        <v>280</v>
      </c>
      <c r="F17" s="122" t="s">
        <v>312</v>
      </c>
      <c r="G17" s="132" t="s">
        <v>182</v>
      </c>
    </row>
    <row r="18" spans="1:8">
      <c r="A18" s="122" t="s">
        <v>85</v>
      </c>
      <c r="B18" s="123" t="s">
        <v>173</v>
      </c>
      <c r="C18" s="123" t="s">
        <v>6</v>
      </c>
      <c r="D18" s="124" t="s">
        <v>174</v>
      </c>
      <c r="F18" s="122" t="s">
        <v>832</v>
      </c>
      <c r="G18" s="132" t="s">
        <v>831</v>
      </c>
    </row>
    <row r="19" spans="1:8">
      <c r="A19" s="122" t="s">
        <v>85</v>
      </c>
      <c r="B19" s="123" t="s">
        <v>175</v>
      </c>
      <c r="C19" s="123" t="s">
        <v>301</v>
      </c>
      <c r="D19" s="124" t="s">
        <v>176</v>
      </c>
      <c r="F19" s="122"/>
      <c r="G19" s="132"/>
    </row>
    <row r="20" spans="1:8" ht="16.5" thickBot="1">
      <c r="A20" s="122" t="s">
        <v>142</v>
      </c>
      <c r="B20" s="123" t="s">
        <v>298</v>
      </c>
      <c r="C20" s="123" t="s">
        <v>301</v>
      </c>
      <c r="D20" s="124" t="s">
        <v>310</v>
      </c>
      <c r="F20" s="125"/>
      <c r="G20" s="133"/>
    </row>
    <row r="21" spans="1:8" ht="16.5" thickBot="1">
      <c r="A21" s="122" t="s">
        <v>414</v>
      </c>
      <c r="B21" s="123" t="s">
        <v>416</v>
      </c>
      <c r="C21" s="123" t="s">
        <v>301</v>
      </c>
      <c r="D21" s="124" t="s">
        <v>417</v>
      </c>
      <c r="G21" s="130"/>
    </row>
    <row r="22" spans="1:8">
      <c r="A22" s="122"/>
      <c r="B22" s="123"/>
      <c r="C22" s="123"/>
      <c r="D22" s="124"/>
      <c r="F22" s="119" t="s">
        <v>205</v>
      </c>
      <c r="G22" s="131"/>
    </row>
    <row r="23" spans="1:8">
      <c r="A23" s="122" t="s">
        <v>87</v>
      </c>
      <c r="B23" s="123"/>
      <c r="C23" s="123" t="s">
        <v>309</v>
      </c>
      <c r="D23" s="124"/>
      <c r="F23" s="139" t="s">
        <v>163</v>
      </c>
      <c r="G23" s="140" t="s">
        <v>180</v>
      </c>
      <c r="H23" s="177" t="s">
        <v>283</v>
      </c>
    </row>
    <row r="24" spans="1:8" ht="16.5" thickBot="1">
      <c r="A24" s="125"/>
      <c r="B24" s="126"/>
      <c r="C24" s="126"/>
      <c r="D24" s="127"/>
      <c r="F24" s="139" t="s">
        <v>88</v>
      </c>
      <c r="G24" s="140" t="s">
        <v>181</v>
      </c>
      <c r="H24" s="177" t="s">
        <v>284</v>
      </c>
    </row>
    <row r="25" spans="1:8">
      <c r="A25" s="122" t="s">
        <v>88</v>
      </c>
      <c r="B25" s="123" t="s">
        <v>167</v>
      </c>
      <c r="C25" s="123" t="s">
        <v>6</v>
      </c>
      <c r="D25" s="124" t="s">
        <v>168</v>
      </c>
      <c r="F25" s="139" t="s">
        <v>162</v>
      </c>
      <c r="G25" s="140" t="s">
        <v>206</v>
      </c>
      <c r="H25" s="116">
        <v>8</v>
      </c>
    </row>
    <row r="26" spans="1:8">
      <c r="A26" s="122"/>
      <c r="B26" s="123" t="s">
        <v>274</v>
      </c>
      <c r="C26" s="123" t="s">
        <v>6</v>
      </c>
      <c r="D26" s="124" t="s">
        <v>275</v>
      </c>
      <c r="F26" s="122" t="s">
        <v>294</v>
      </c>
      <c r="G26" s="142" t="s">
        <v>191</v>
      </c>
    </row>
    <row r="27" spans="1:8">
      <c r="A27" s="122" t="s">
        <v>161</v>
      </c>
      <c r="B27" s="123" t="s">
        <v>171</v>
      </c>
      <c r="C27" s="123" t="s">
        <v>6</v>
      </c>
      <c r="D27" s="124" t="s">
        <v>172</v>
      </c>
      <c r="F27" s="122" t="s">
        <v>294</v>
      </c>
      <c r="G27" s="142" t="s">
        <v>324</v>
      </c>
    </row>
    <row r="28" spans="1:8">
      <c r="A28" s="122"/>
      <c r="B28" s="123"/>
      <c r="C28" s="123"/>
      <c r="D28" s="124"/>
      <c r="F28" s="122" t="s">
        <v>294</v>
      </c>
      <c r="G28" s="142" t="s">
        <v>195</v>
      </c>
    </row>
    <row r="29" spans="1:8">
      <c r="A29" s="122" t="s">
        <v>162</v>
      </c>
      <c r="B29" s="123" t="s">
        <v>296</v>
      </c>
      <c r="C29" s="123" t="s">
        <v>6</v>
      </c>
      <c r="D29" s="124" t="s">
        <v>297</v>
      </c>
      <c r="F29" s="139" t="s">
        <v>282</v>
      </c>
      <c r="G29" s="140" t="s">
        <v>192</v>
      </c>
      <c r="H29" s="116">
        <v>12</v>
      </c>
    </row>
    <row r="30" spans="1:8">
      <c r="A30" s="122"/>
      <c r="B30" s="123"/>
      <c r="C30" s="123"/>
      <c r="D30" s="124"/>
      <c r="F30" s="139" t="s">
        <v>166</v>
      </c>
      <c r="G30" s="140" t="s">
        <v>189</v>
      </c>
      <c r="H30" s="177" t="s">
        <v>292</v>
      </c>
    </row>
    <row r="31" spans="1:8">
      <c r="A31" s="122" t="s">
        <v>207</v>
      </c>
      <c r="B31" s="123" t="s">
        <v>299</v>
      </c>
      <c r="C31" s="123" t="s">
        <v>301</v>
      </c>
      <c r="D31" s="124" t="s">
        <v>300</v>
      </c>
      <c r="F31" s="139" t="s">
        <v>161</v>
      </c>
      <c r="G31" s="140" t="s">
        <v>185</v>
      </c>
      <c r="H31" s="177" t="s">
        <v>287</v>
      </c>
    </row>
    <row r="32" spans="1:8" ht="16.5" thickBot="1">
      <c r="A32" s="122"/>
      <c r="B32" s="123"/>
      <c r="C32" s="123"/>
      <c r="D32" s="124"/>
      <c r="F32" s="141" t="s">
        <v>832</v>
      </c>
      <c r="G32" s="142" t="s">
        <v>177</v>
      </c>
    </row>
    <row r="33" spans="1:8">
      <c r="A33" s="119" t="s">
        <v>163</v>
      </c>
      <c r="B33" s="120"/>
      <c r="C33" s="120" t="s">
        <v>6</v>
      </c>
      <c r="D33" s="121"/>
      <c r="F33" s="141" t="s">
        <v>294</v>
      </c>
      <c r="G33" s="142" t="s">
        <v>276</v>
      </c>
    </row>
    <row r="34" spans="1:8">
      <c r="A34" s="122"/>
      <c r="B34" s="123"/>
      <c r="C34" s="123"/>
      <c r="D34" s="124"/>
      <c r="F34" s="122" t="s">
        <v>294</v>
      </c>
      <c r="G34" s="142" t="s">
        <v>196</v>
      </c>
      <c r="H34" s="177"/>
    </row>
    <row r="35" spans="1:8">
      <c r="A35" s="122" t="s">
        <v>164</v>
      </c>
      <c r="B35" s="123" t="s">
        <v>247</v>
      </c>
      <c r="C35" s="123" t="s">
        <v>6</v>
      </c>
      <c r="D35" s="124" t="s">
        <v>248</v>
      </c>
      <c r="F35" s="139" t="s">
        <v>164</v>
      </c>
      <c r="G35" s="140" t="s">
        <v>183</v>
      </c>
      <c r="H35" s="177" t="s">
        <v>286</v>
      </c>
    </row>
    <row r="36" spans="1:8">
      <c r="A36" s="122"/>
      <c r="B36" s="123"/>
      <c r="C36" s="123"/>
      <c r="D36" s="124"/>
      <c r="F36" s="139" t="s">
        <v>289</v>
      </c>
      <c r="G36" s="140" t="s">
        <v>186</v>
      </c>
      <c r="H36" s="177" t="s">
        <v>288</v>
      </c>
    </row>
    <row r="37" spans="1:8">
      <c r="A37" s="122" t="s">
        <v>165</v>
      </c>
      <c r="B37" s="123" t="s">
        <v>227</v>
      </c>
      <c r="C37" s="123" t="s">
        <v>301</v>
      </c>
      <c r="D37" s="124" t="s">
        <v>228</v>
      </c>
      <c r="F37" s="139" t="s">
        <v>207</v>
      </c>
      <c r="G37" s="140" t="s">
        <v>190</v>
      </c>
      <c r="H37" s="177">
        <v>11</v>
      </c>
    </row>
    <row r="38" spans="1:8">
      <c r="A38" s="122" t="s">
        <v>165</v>
      </c>
      <c r="B38" s="123"/>
      <c r="C38" s="123" t="s">
        <v>301</v>
      </c>
      <c r="D38" s="124"/>
      <c r="F38" s="141" t="s">
        <v>294</v>
      </c>
      <c r="G38" s="142" t="s">
        <v>188</v>
      </c>
      <c r="H38" s="116" t="s">
        <v>293</v>
      </c>
    </row>
    <row r="39" spans="1:8">
      <c r="A39" s="122" t="s">
        <v>166</v>
      </c>
      <c r="B39" s="123" t="s">
        <v>229</v>
      </c>
      <c r="C39" s="123" t="s">
        <v>6</v>
      </c>
      <c r="D39" s="124" t="s">
        <v>230</v>
      </c>
      <c r="F39" s="122" t="s">
        <v>827</v>
      </c>
      <c r="G39" s="132" t="s">
        <v>829</v>
      </c>
    </row>
    <row r="40" spans="1:8" ht="16.5" thickBot="1">
      <c r="A40" s="125" t="s">
        <v>166</v>
      </c>
      <c r="B40" s="126" t="s">
        <v>234</v>
      </c>
      <c r="C40" s="126" t="s">
        <v>301</v>
      </c>
      <c r="D40" s="127" t="s">
        <v>233</v>
      </c>
      <c r="F40" s="139" t="s">
        <v>165</v>
      </c>
      <c r="G40" s="140" t="s">
        <v>187</v>
      </c>
      <c r="H40" s="177" t="s">
        <v>290</v>
      </c>
    </row>
    <row r="41" spans="1:8">
      <c r="F41" s="141" t="s">
        <v>294</v>
      </c>
      <c r="G41" s="142" t="s">
        <v>193</v>
      </c>
    </row>
    <row r="42" spans="1:8">
      <c r="F42" s="122" t="s">
        <v>294</v>
      </c>
      <c r="G42" s="142" t="s">
        <v>194</v>
      </c>
    </row>
    <row r="43" spans="1:8">
      <c r="F43" s="122" t="s">
        <v>294</v>
      </c>
      <c r="G43" s="142" t="s">
        <v>197</v>
      </c>
      <c r="H43" s="177"/>
    </row>
    <row r="44" spans="1:8">
      <c r="F44" s="122" t="s">
        <v>294</v>
      </c>
      <c r="G44" s="142" t="s">
        <v>295</v>
      </c>
      <c r="H44" s="177"/>
    </row>
    <row r="45" spans="1:8">
      <c r="F45" s="139" t="s">
        <v>86</v>
      </c>
      <c r="G45" s="140" t="s">
        <v>182</v>
      </c>
      <c r="H45" s="177" t="s">
        <v>285</v>
      </c>
    </row>
    <row r="46" spans="1:8">
      <c r="F46" s="122" t="s">
        <v>676</v>
      </c>
      <c r="G46" s="132" t="s">
        <v>677</v>
      </c>
    </row>
    <row r="47" spans="1:8">
      <c r="F47" s="139" t="s">
        <v>142</v>
      </c>
      <c r="G47" s="140" t="s">
        <v>179</v>
      </c>
      <c r="H47" s="177" t="s">
        <v>291</v>
      </c>
    </row>
    <row r="48" spans="1:8">
      <c r="F48" s="122" t="s">
        <v>294</v>
      </c>
      <c r="G48" s="132" t="s">
        <v>184</v>
      </c>
    </row>
    <row r="49" spans="6:7">
      <c r="F49" s="122"/>
      <c r="G49" s="132"/>
    </row>
    <row r="50" spans="6:7">
      <c r="F50" s="122"/>
      <c r="G50" s="132"/>
    </row>
    <row r="51" spans="6:7">
      <c r="F51" s="122"/>
      <c r="G51" s="132"/>
    </row>
    <row r="52" spans="6:7" ht="16.5" thickBot="1">
      <c r="F52" s="125"/>
      <c r="G52" s="133"/>
    </row>
  </sheetData>
  <sortState ref="G13:G36">
    <sortCondition ref="G13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31</vt:i4>
      </vt:variant>
      <vt:variant>
        <vt:lpstr>已命名的範圍</vt:lpstr>
      </vt:variant>
      <vt:variant>
        <vt:i4>28</vt:i4>
      </vt:variant>
    </vt:vector>
  </HeadingPairs>
  <TitlesOfParts>
    <vt:vector size="59" baseType="lpstr"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SAMPLE</vt:lpstr>
      <vt:lpstr>Flight</vt:lpstr>
      <vt:lpstr>Shift</vt:lpstr>
      <vt:lpstr>Staff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'09'!Print_Area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'18'!Print_Area</vt:lpstr>
      <vt:lpstr>'19'!Print_Area</vt:lpstr>
      <vt:lpstr>'20'!Print_Area</vt:lpstr>
      <vt:lpstr>'21'!Print_Area</vt:lpstr>
      <vt:lpstr>'22'!Print_Area</vt:lpstr>
      <vt:lpstr>'23'!Print_Area</vt:lpstr>
      <vt:lpstr>'24'!Print_Area</vt:lpstr>
      <vt:lpstr>'25'!Print_Area</vt:lpstr>
      <vt:lpstr>'26'!Print_Area</vt:lpstr>
      <vt:lpstr>'27'!Print_Area</vt:lpstr>
      <vt:lpstr>SAMPLE!Print_Area</vt:lpstr>
    </vt:vector>
  </TitlesOfParts>
  <Company>immd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SDT</dc:creator>
  <cp:lastModifiedBy>NG SZE HANG</cp:lastModifiedBy>
  <cp:lastPrinted>2025-04-08T16:23:14Z</cp:lastPrinted>
  <dcterms:created xsi:type="dcterms:W3CDTF">2012-10-05T08:35:41Z</dcterms:created>
  <dcterms:modified xsi:type="dcterms:W3CDTF">2025-04-09T04:34:17Z</dcterms:modified>
</cp:coreProperties>
</file>